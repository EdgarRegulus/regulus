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5"/>
    <sheet state="visible" name="REGOLITOS" sheetId="2" r:id="rId6"/>
    <sheet state="visible" name="ASISTENCIAS" sheetId="3" r:id="rId7"/>
    <sheet state="visible" name="TEMATICA" sheetId="4" r:id="rId8"/>
    <sheet state="visible" name="GRUPOS_DE_EDAD" sheetId="5" r:id="rId9"/>
    <sheet state="visible" name="PROCEDENCIA" sheetId="6" r:id="rId10"/>
    <sheet state="visible" name="%ASISTENCIAS" sheetId="7" r:id="rId11"/>
    <sheet state="visible" name="%RECONOCIMIENTOS" sheetId="8" r:id="rId12"/>
  </sheets>
  <definedNames>
    <definedName hidden="1" localSheetId="1" name="_xlnm._FilterDatabase">REGOLITOS!$A$1:$K$861</definedName>
    <definedName hidden="1" localSheetId="2" name="_xlnm._FilterDatabase">ASISTENCIAS!$A$1:$AI$1086</definedName>
  </definedNames>
  <calcPr/>
</workbook>
</file>

<file path=xl/sharedStrings.xml><?xml version="1.0" encoding="utf-8"?>
<sst xmlns="http://schemas.openxmlformats.org/spreadsheetml/2006/main" count="8049" uniqueCount="1088">
  <si>
    <t>ID_Curso</t>
  </si>
  <si>
    <t>#</t>
  </si>
  <si>
    <t>Nombre_Curso</t>
  </si>
  <si>
    <t>Temática</t>
  </si>
  <si>
    <t>TIPO</t>
  </si>
  <si>
    <t>Año</t>
  </si>
  <si>
    <t>Mes</t>
  </si>
  <si>
    <t>Total_Sesiones</t>
  </si>
  <si>
    <t>Inscritos</t>
  </si>
  <si>
    <t>%Asistencias</t>
  </si>
  <si>
    <t>%Reconocimientos</t>
  </si>
  <si>
    <t>TIE_1</t>
  </si>
  <si>
    <t>NUESTRO HOGAR EN EL UNIVERSO</t>
  </si>
  <si>
    <t>TIERRA</t>
  </si>
  <si>
    <t>ASTRO</t>
  </si>
  <si>
    <t>JUL</t>
  </si>
  <si>
    <t>LUN_1</t>
  </si>
  <si>
    <t>EN EL OMBLIGO DE LA LUNA</t>
  </si>
  <si>
    <t>LUNA</t>
  </si>
  <si>
    <t>SEP</t>
  </si>
  <si>
    <t>SOL_1</t>
  </si>
  <si>
    <t>LA ESTRELLA QUE NOS ILUMINA</t>
  </si>
  <si>
    <t>SOL</t>
  </si>
  <si>
    <t>OCT</t>
  </si>
  <si>
    <t>SS_1</t>
  </si>
  <si>
    <t>VAGABUNDOS DEL FIRMAMENTO</t>
  </si>
  <si>
    <t>SISTEMA SOLAR</t>
  </si>
  <si>
    <t>CON_1</t>
  </si>
  <si>
    <t>EL ROMPECABEZAS DEL CIELO</t>
  </si>
  <si>
    <t>CONSTELACIONES</t>
  </si>
  <si>
    <t>NOV</t>
  </si>
  <si>
    <t>MES_1</t>
  </si>
  <si>
    <t>¿CÓMO ENCONTRAR TESOROS EN EL CIELO?</t>
  </si>
  <si>
    <t>MESSIER</t>
  </si>
  <si>
    <t>FEB</t>
  </si>
  <si>
    <t>TEL_1</t>
  </si>
  <si>
    <t>MONTAJE Y MANEJO DE TELESCOPIOS</t>
  </si>
  <si>
    <t>TELESCOPIOS</t>
  </si>
  <si>
    <t>MAR</t>
  </si>
  <si>
    <t>EST_1</t>
  </si>
  <si>
    <t>BIOGRAFÍA DE UNA ESTRELLA</t>
  </si>
  <si>
    <t>ESTRELLAS</t>
  </si>
  <si>
    <t>MAY</t>
  </si>
  <si>
    <t>AJE_1</t>
  </si>
  <si>
    <t>AJEDREZ MATEMÁTICO</t>
  </si>
  <si>
    <t>MATEMÁTICAS EN EL AJEDREZ</t>
  </si>
  <si>
    <t>MATE</t>
  </si>
  <si>
    <t>GAL_1</t>
  </si>
  <si>
    <t>EN UNA GALAXIA MUY, MUY LEJANA</t>
  </si>
  <si>
    <t>GALAXIAS</t>
  </si>
  <si>
    <t>JUN</t>
  </si>
  <si>
    <t>EXO_1</t>
  </si>
  <si>
    <t>LARGA VIDA Y... EXOPLANETAS</t>
  </si>
  <si>
    <t>EXOPLANETAS</t>
  </si>
  <si>
    <t>AGO</t>
  </si>
  <si>
    <t>EXP_1</t>
  </si>
  <si>
    <t>HOMO COSMICUS</t>
  </si>
  <si>
    <t>EXPLORACION</t>
  </si>
  <si>
    <t>PRE_1</t>
  </si>
  <si>
    <t>MATEMÁTICAS PREOLÍMPICAS</t>
  </si>
  <si>
    <t>INTRODUCCION A LAS OLIMPIADAS DE MATEMÁTICAS</t>
  </si>
  <si>
    <t>CL_1</t>
  </si>
  <si>
    <t>GUARDIANES DE LA NOCHE</t>
  </si>
  <si>
    <t>CONTAMINACION LUMINICA</t>
  </si>
  <si>
    <t>COS_1</t>
  </si>
  <si>
    <t>EL DESPERTAR DEL COSMOS</t>
  </si>
  <si>
    <t>COSMOLOGIA</t>
  </si>
  <si>
    <t>COM_1</t>
  </si>
  <si>
    <t>COMBINATORIA</t>
  </si>
  <si>
    <t>TEL_2</t>
  </si>
  <si>
    <t>DIC</t>
  </si>
  <si>
    <t>CON_2</t>
  </si>
  <si>
    <t>ENE</t>
  </si>
  <si>
    <t>NUM_1</t>
  </si>
  <si>
    <t>TEORÍA DE NÚMEROS</t>
  </si>
  <si>
    <t>IPhyC2025</t>
  </si>
  <si>
    <t>COMPETENCIA INTERNACIONAL DE FÍSICA</t>
  </si>
  <si>
    <t>FÍSICA</t>
  </si>
  <si>
    <t>FIS</t>
  </si>
  <si>
    <t>por determinar</t>
  </si>
  <si>
    <t>ID_Persona</t>
  </si>
  <si>
    <t>Nombre</t>
  </si>
  <si>
    <t>Año de ingreso</t>
  </si>
  <si>
    <t>Fecha de nacimiento</t>
  </si>
  <si>
    <t>Edad</t>
  </si>
  <si>
    <t>Ocupación</t>
  </si>
  <si>
    <t>Procedencia</t>
  </si>
  <si>
    <t>Telefono</t>
  </si>
  <si>
    <t>Correo</t>
  </si>
  <si>
    <t>Tutor</t>
  </si>
  <si>
    <t>Grupo de edad</t>
  </si>
  <si>
    <t>P0001</t>
  </si>
  <si>
    <t xml:space="preserve">Estudiante </t>
  </si>
  <si>
    <t>Estado de México</t>
  </si>
  <si>
    <t>P0002</t>
  </si>
  <si>
    <t xml:space="preserve">Docente </t>
  </si>
  <si>
    <t>P0003</t>
  </si>
  <si>
    <t>Ciudad de México</t>
  </si>
  <si>
    <t>P0004</t>
  </si>
  <si>
    <t>Servidor público</t>
  </si>
  <si>
    <t>P0005</t>
  </si>
  <si>
    <t>Perito criminalista</t>
  </si>
  <si>
    <t>P0006</t>
  </si>
  <si>
    <t>Desconocido</t>
  </si>
  <si>
    <t>Veracruz</t>
  </si>
  <si>
    <t>P0007</t>
  </si>
  <si>
    <t>Maestra</t>
  </si>
  <si>
    <t>Quintana Roo</t>
  </si>
  <si>
    <t>P0008</t>
  </si>
  <si>
    <t>Estudiante</t>
  </si>
  <si>
    <t>P0009</t>
  </si>
  <si>
    <t>Investigadora</t>
  </si>
  <si>
    <t>P0010</t>
  </si>
  <si>
    <t>P0011</t>
  </si>
  <si>
    <t>P0012</t>
  </si>
  <si>
    <t>Chile</t>
  </si>
  <si>
    <t>P0013</t>
  </si>
  <si>
    <t>P0014</t>
  </si>
  <si>
    <t>Guanajuato</t>
  </si>
  <si>
    <t>P0015</t>
  </si>
  <si>
    <t>Sinaloa</t>
  </si>
  <si>
    <t>P0016</t>
  </si>
  <si>
    <t>Docente</t>
  </si>
  <si>
    <t>P0017</t>
  </si>
  <si>
    <t>Asesor en capacitación</t>
  </si>
  <si>
    <t>P0018</t>
  </si>
  <si>
    <t>Jalisco</t>
  </si>
  <si>
    <t>P0019</t>
  </si>
  <si>
    <t xml:space="preserve">Empleada </t>
  </si>
  <si>
    <t>P0020</t>
  </si>
  <si>
    <t>P0021</t>
  </si>
  <si>
    <t>Querétaro</t>
  </si>
  <si>
    <t>P0022</t>
  </si>
  <si>
    <t>Baja California</t>
  </si>
  <si>
    <t>P0023</t>
  </si>
  <si>
    <t>Bióloga</t>
  </si>
  <si>
    <t>Guerrero</t>
  </si>
  <si>
    <t>P0024</t>
  </si>
  <si>
    <t xml:space="preserve">Profesor </t>
  </si>
  <si>
    <t>Chiapas</t>
  </si>
  <si>
    <t>P0025</t>
  </si>
  <si>
    <t xml:space="preserve">Hogar </t>
  </si>
  <si>
    <t>P0026</t>
  </si>
  <si>
    <t>Científico de datos financieros</t>
  </si>
  <si>
    <t>P0027</t>
  </si>
  <si>
    <t>Ecuador</t>
  </si>
  <si>
    <t>P0028</t>
  </si>
  <si>
    <t>P0029</t>
  </si>
  <si>
    <t>Ingeniería Civil</t>
  </si>
  <si>
    <t>P0030</t>
  </si>
  <si>
    <t>Yucatán</t>
  </si>
  <si>
    <t>P0031</t>
  </si>
  <si>
    <t>P0032</t>
  </si>
  <si>
    <t>Infancia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</si>
  <si>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</si>
  <si>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</si>
  <si>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</si>
  <si>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</si>
  <si>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</si>
  <si>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</si>
  <si>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</si>
  <si>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</si>
  <si>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Ama de casa</t>
  </si>
  <si>
    <t>Estado de México.</t>
  </si>
  <si>
    <t>P0041</t>
  </si>
  <si>
    <t>Terapeuta alternativo</t>
  </si>
  <si>
    <t>San Luís Potosí</t>
  </si>
  <si>
    <t>P0042</t>
  </si>
  <si>
    <t>P0043</t>
  </si>
  <si>
    <t>Morelos</t>
  </si>
  <si>
    <t>P0044</t>
  </si>
  <si>
    <t>Empleado</t>
  </si>
  <si>
    <t>P0045</t>
  </si>
  <si>
    <t>Odontóloga</t>
  </si>
  <si>
    <t>P0046</t>
  </si>
  <si>
    <t>P0047</t>
  </si>
  <si>
    <t>Empelado</t>
  </si>
  <si>
    <t>Campeche</t>
  </si>
  <si>
    <t>P0048</t>
  </si>
  <si>
    <t>P0049</t>
  </si>
  <si>
    <t>P0050</t>
  </si>
  <si>
    <t>P0051</t>
  </si>
  <si>
    <t>Laboratorista</t>
  </si>
  <si>
    <t>P0052</t>
  </si>
  <si>
    <t>P0053</t>
  </si>
  <si>
    <t>P0054</t>
  </si>
  <si>
    <t>P0055</t>
  </si>
  <si>
    <t>P0056</t>
  </si>
  <si>
    <t>Oaxaca</t>
  </si>
  <si>
    <t>P0057</t>
  </si>
  <si>
    <t>P0058</t>
  </si>
  <si>
    <t>Postdoctorante</t>
  </si>
  <si>
    <t>P0059</t>
  </si>
  <si>
    <t>Aula de medios</t>
  </si>
  <si>
    <t>P0060</t>
  </si>
  <si>
    <t>P0061</t>
  </si>
  <si>
    <t>P0062</t>
  </si>
  <si>
    <t>P0063</t>
  </si>
  <si>
    <t>Estudiante de Biología Marina</t>
  </si>
  <si>
    <t>Baja California Sur</t>
  </si>
  <si>
    <t>P0064</t>
  </si>
  <si>
    <t>P0065</t>
  </si>
  <si>
    <t>P0066</t>
  </si>
  <si>
    <t xml:space="preserve">Diseñadora gráfica </t>
  </si>
  <si>
    <t>P0067</t>
  </si>
  <si>
    <t>P0068</t>
  </si>
  <si>
    <t>P0069</t>
  </si>
  <si>
    <t>Ingeniería Sistemas</t>
  </si>
  <si>
    <t>P0070</t>
  </si>
  <si>
    <t xml:space="preserve">Trabajadora </t>
  </si>
  <si>
    <t>Colima</t>
  </si>
  <si>
    <t>P0071</t>
  </si>
  <si>
    <t>P0072</t>
  </si>
  <si>
    <t>P0073</t>
  </si>
  <si>
    <t>Nuevo León</t>
  </si>
  <si>
    <t>P0074</t>
  </si>
  <si>
    <t>Hogar</t>
  </si>
  <si>
    <t>P0075</t>
  </si>
  <si>
    <t>P0076</t>
  </si>
  <si>
    <t>P0077</t>
  </si>
  <si>
    <t>Estudio</t>
  </si>
  <si>
    <t>P0078</t>
  </si>
  <si>
    <t>P0079</t>
  </si>
  <si>
    <t>P0080</t>
  </si>
  <si>
    <t>Oficina</t>
  </si>
  <si>
    <t>P0081</t>
  </si>
  <si>
    <t>P0082</t>
  </si>
  <si>
    <t>P0083</t>
  </si>
  <si>
    <t>Operadora de CTP</t>
  </si>
  <si>
    <t>P0084</t>
  </si>
  <si>
    <t>Cinefotógrafa</t>
  </si>
  <si>
    <t>P0085</t>
  </si>
  <si>
    <t>P0086</t>
  </si>
  <si>
    <t>Hidalgo</t>
  </si>
  <si>
    <t>P0087</t>
  </si>
  <si>
    <t>P0088</t>
  </si>
  <si>
    <t>P0089</t>
  </si>
  <si>
    <t>P0090</t>
  </si>
  <si>
    <t>Ingeniero Industrial</t>
  </si>
  <si>
    <t>P0091</t>
  </si>
  <si>
    <t>Médico Cirujano Ortopedista</t>
  </si>
  <si>
    <t>P0092</t>
  </si>
  <si>
    <t>P0093</t>
  </si>
  <si>
    <t xml:space="preserve">Empleado </t>
  </si>
  <si>
    <t>P0094</t>
  </si>
  <si>
    <t>Turismo</t>
  </si>
  <si>
    <t>P0095</t>
  </si>
  <si>
    <t>Jubilado</t>
  </si>
  <si>
    <t>P0096</t>
  </si>
  <si>
    <t>Cocinero</t>
  </si>
  <si>
    <t>P0097</t>
  </si>
  <si>
    <t>Ingeniería Industrial</t>
  </si>
  <si>
    <t>P0098</t>
  </si>
  <si>
    <t>P0099</t>
  </si>
  <si>
    <t>P0100</t>
  </si>
  <si>
    <t>P0101</t>
  </si>
  <si>
    <t>P0102</t>
  </si>
  <si>
    <t>P0103</t>
  </si>
  <si>
    <t>P0104</t>
  </si>
  <si>
    <t>Estudiante HS</t>
  </si>
  <si>
    <t>P0105</t>
  </si>
  <si>
    <t>México</t>
  </si>
  <si>
    <t>P0106</t>
  </si>
  <si>
    <t>P0107</t>
  </si>
  <si>
    <t>Administación</t>
  </si>
  <si>
    <t>P0108</t>
  </si>
  <si>
    <t>P0109</t>
  </si>
  <si>
    <t>P0110</t>
  </si>
  <si>
    <t>P0111</t>
  </si>
  <si>
    <t>P0112</t>
  </si>
  <si>
    <t>Adulto</t>
  </si>
  <si>
    <t>P0113</t>
  </si>
  <si>
    <t>P0114</t>
  </si>
  <si>
    <t>Medico</t>
  </si>
  <si>
    <t>P0115</t>
  </si>
  <si>
    <t xml:space="preserve">Jubilado </t>
  </si>
  <si>
    <t>P0116</t>
  </si>
  <si>
    <t>P0117</t>
  </si>
  <si>
    <t>P0118</t>
  </si>
  <si>
    <t>P0119</t>
  </si>
  <si>
    <t>P0120</t>
  </si>
  <si>
    <t>P0121</t>
  </si>
  <si>
    <t>Arquitecto</t>
  </si>
  <si>
    <t>P0122</t>
  </si>
  <si>
    <t>P0123</t>
  </si>
  <si>
    <t>P0124</t>
  </si>
  <si>
    <t>P0125</t>
  </si>
  <si>
    <t>P0126</t>
  </si>
  <si>
    <t>Trabajo</t>
  </si>
  <si>
    <t>P0127</t>
  </si>
  <si>
    <t>P0128</t>
  </si>
  <si>
    <t>Empleada</t>
  </si>
  <si>
    <t>P0129</t>
  </si>
  <si>
    <t>Administración</t>
  </si>
  <si>
    <t>P0130</t>
  </si>
  <si>
    <t>Michoacán</t>
  </si>
  <si>
    <t>P0131</t>
  </si>
  <si>
    <t>Negocio en hogar</t>
  </si>
  <si>
    <t>P0132</t>
  </si>
  <si>
    <t xml:space="preserve">Ingeniero en iluminación </t>
  </si>
  <si>
    <t>P0133</t>
  </si>
  <si>
    <t>Zacatecas</t>
  </si>
  <si>
    <t>P0134</t>
  </si>
  <si>
    <t xml:space="preserve">Sistemas </t>
  </si>
  <si>
    <t>P0135</t>
  </si>
  <si>
    <t>P0136</t>
  </si>
  <si>
    <t>P0137</t>
  </si>
  <si>
    <t>P0138</t>
  </si>
  <si>
    <t>P0139</t>
  </si>
  <si>
    <t>Asistente ejecutivo</t>
  </si>
  <si>
    <t>Juárez</t>
  </si>
  <si>
    <t>P0140</t>
  </si>
  <si>
    <t>P0141</t>
  </si>
  <si>
    <t>P0142</t>
  </si>
  <si>
    <t>P0143</t>
  </si>
  <si>
    <t>P0144</t>
  </si>
  <si>
    <t xml:space="preserve">Profesora </t>
  </si>
  <si>
    <t>P0145</t>
  </si>
  <si>
    <t>P0146</t>
  </si>
  <si>
    <t>Oficinista</t>
  </si>
  <si>
    <t>P0147</t>
  </si>
  <si>
    <t>P0148</t>
  </si>
  <si>
    <t>Arquitecta</t>
  </si>
  <si>
    <t>P0149</t>
  </si>
  <si>
    <t>Optometrista</t>
  </si>
  <si>
    <t>P0150</t>
  </si>
  <si>
    <t>P0151</t>
  </si>
  <si>
    <t>Producción</t>
  </si>
  <si>
    <t>P0152</t>
  </si>
  <si>
    <t>P0153</t>
  </si>
  <si>
    <t>P0154</t>
  </si>
  <si>
    <t>P0155</t>
  </si>
  <si>
    <t>Soporte Técnico</t>
  </si>
  <si>
    <t>P0156</t>
  </si>
  <si>
    <t>P0157</t>
  </si>
  <si>
    <t xml:space="preserve">Trabajo en la aviación </t>
  </si>
  <si>
    <t>P0158</t>
  </si>
  <si>
    <t>P0159</t>
  </si>
  <si>
    <t>Médico radiólogo</t>
  </si>
  <si>
    <t>P0160</t>
  </si>
  <si>
    <t>Servidor Público</t>
  </si>
  <si>
    <t>Tabasco</t>
  </si>
  <si>
    <t>P0161</t>
  </si>
  <si>
    <t>P0162</t>
  </si>
  <si>
    <t>P0163</t>
  </si>
  <si>
    <t>P0164</t>
  </si>
  <si>
    <t>P0165</t>
  </si>
  <si>
    <t>Guatemala</t>
  </si>
  <si>
    <t>P0166</t>
  </si>
  <si>
    <t>P0167</t>
  </si>
  <si>
    <t>P0168</t>
  </si>
  <si>
    <t>P0169</t>
  </si>
  <si>
    <t>Médico</t>
  </si>
  <si>
    <t>Aguascalientes</t>
  </si>
  <si>
    <t>P0170</t>
  </si>
  <si>
    <t>P0171</t>
  </si>
  <si>
    <t>P0172</t>
  </si>
  <si>
    <t>P0173</t>
  </si>
  <si>
    <t>P0174</t>
  </si>
  <si>
    <t>P0175</t>
  </si>
  <si>
    <t>Ingeniero</t>
  </si>
  <si>
    <t>P0176</t>
  </si>
  <si>
    <t>P0177</t>
  </si>
  <si>
    <t>P0178</t>
  </si>
  <si>
    <t>Tamaulipas</t>
  </si>
  <si>
    <t>P0179</t>
  </si>
  <si>
    <t>P0180</t>
  </si>
  <si>
    <t>Puebla</t>
  </si>
  <si>
    <t>P0181</t>
  </si>
  <si>
    <t>Construcción</t>
  </si>
  <si>
    <t>P0182</t>
  </si>
  <si>
    <t>Diseñadora</t>
  </si>
  <si>
    <t>P0183</t>
  </si>
  <si>
    <t>P0184</t>
  </si>
  <si>
    <t>P0185</t>
  </si>
  <si>
    <t>P0186</t>
  </si>
  <si>
    <t>P0187</t>
  </si>
  <si>
    <t>P0188</t>
  </si>
  <si>
    <t>Jubilada</t>
  </si>
  <si>
    <t>P0189</t>
  </si>
  <si>
    <t>P0190</t>
  </si>
  <si>
    <t>Trabajar</t>
  </si>
  <si>
    <t>P0191</t>
  </si>
  <si>
    <t>Pensionado</t>
  </si>
  <si>
    <t>P0192</t>
  </si>
  <si>
    <t>Abogada</t>
  </si>
  <si>
    <t>P0193</t>
  </si>
  <si>
    <t>P0194</t>
  </si>
  <si>
    <t>P0195</t>
  </si>
  <si>
    <t>Tlaxcala</t>
  </si>
  <si>
    <t>P0196</t>
  </si>
  <si>
    <t>P0197</t>
  </si>
  <si>
    <t>P0198</t>
  </si>
  <si>
    <t>P0199</t>
  </si>
  <si>
    <t>Jugador de pádel</t>
  </si>
  <si>
    <t>Chihuahua</t>
  </si>
  <si>
    <t>P0200</t>
  </si>
  <si>
    <t>Estudiante en casa</t>
  </si>
  <si>
    <t>P0201</t>
  </si>
  <si>
    <t>Ingeniero IT</t>
  </si>
  <si>
    <t>P0202</t>
  </si>
  <si>
    <t>P0203</t>
  </si>
  <si>
    <t>Ingeniero forestal</t>
  </si>
  <si>
    <t>P0204</t>
  </si>
  <si>
    <t>Profesionista/arquitecta</t>
  </si>
  <si>
    <t>P0205</t>
  </si>
  <si>
    <t>Administradora</t>
  </si>
  <si>
    <t>P0206</t>
  </si>
  <si>
    <t>P0207</t>
  </si>
  <si>
    <t>P0208</t>
  </si>
  <si>
    <t>P0209</t>
  </si>
  <si>
    <t>P0210</t>
  </si>
  <si>
    <t>P0211</t>
  </si>
  <si>
    <t>P0212</t>
  </si>
  <si>
    <t>Abogado</t>
  </si>
  <si>
    <t>Nayarit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</si>
  <si>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</si>
  <si>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</si>
  <si>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</si>
  <si>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</si>
  <si>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</si>
  <si>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</si>
  <si>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</si>
  <si>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</si>
  <si>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</si>
  <si>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</si>
  <si>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</si>
  <si>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</si>
  <si>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</si>
  <si>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</si>
  <si>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</si>
  <si>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</si>
  <si>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</si>
  <si>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</si>
  <si>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</si>
  <si>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</si>
  <si>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</si>
  <si>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</si>
  <si>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</si>
  <si>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</si>
  <si>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</si>
  <si>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</si>
  <si>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</si>
  <si>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</si>
  <si>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</si>
  <si>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</si>
  <si>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</si>
  <si>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</si>
  <si>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</si>
  <si>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</si>
  <si>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</si>
  <si>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</si>
  <si>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</si>
  <si>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</si>
  <si>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</si>
  <si>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</si>
  <si>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</si>
  <si>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</si>
  <si>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</si>
  <si>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</si>
  <si>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</si>
  <si>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</si>
  <si>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</si>
  <si>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</si>
  <si>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</si>
  <si>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</si>
  <si>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</si>
  <si>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</si>
  <si>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</si>
  <si>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</si>
  <si>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</si>
  <si>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</si>
  <si>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</si>
  <si>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</si>
  <si>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</si>
  <si>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</si>
  <si>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</si>
  <si>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</si>
  <si>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</si>
  <si>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</si>
  <si>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</si>
  <si>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</si>
  <si>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</si>
  <si>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</si>
  <si>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</si>
  <si>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</si>
  <si>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</si>
  <si>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</si>
  <si>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</si>
  <si>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</si>
  <si>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</si>
  <si>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</si>
  <si>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</si>
  <si>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</si>
  <si>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</si>
  <si>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</si>
  <si>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</si>
  <si>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</si>
  <si>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</si>
  <si>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</si>
  <si>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</si>
  <si>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</si>
  <si>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</si>
  <si>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</si>
  <si>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</si>
  <si>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</si>
  <si>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</si>
  <si>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</si>
  <si>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</si>
  <si>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</si>
  <si>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</si>
  <si>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</si>
  <si>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</si>
  <si>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</si>
  <si>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</si>
  <si>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</si>
  <si>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</si>
  <si>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</si>
  <si>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</si>
  <si>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</si>
  <si>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</si>
  <si>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</si>
  <si>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</si>
  <si>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</si>
  <si>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</si>
  <si>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</si>
  <si>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</si>
  <si>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</si>
  <si>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</si>
  <si>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</si>
  <si>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</si>
  <si>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</si>
  <si>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</si>
  <si>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</si>
  <si>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</si>
  <si>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</si>
  <si>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</si>
  <si>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</si>
  <si>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</si>
  <si>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</si>
  <si>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</si>
  <si>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</si>
  <si>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</si>
  <si>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</si>
  <si>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</si>
  <si>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</si>
  <si>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</si>
  <si>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</si>
  <si>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</si>
  <si>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</si>
  <si>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</si>
  <si>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</si>
  <si>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</si>
  <si>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</si>
  <si>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</si>
  <si>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</si>
  <si>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</si>
  <si>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</si>
  <si>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</si>
  <si>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</si>
  <si>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</si>
  <si>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</si>
  <si>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</si>
  <si>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</si>
  <si>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</si>
  <si>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</si>
  <si>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</si>
  <si>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</si>
  <si>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</si>
  <si>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</si>
  <si>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</si>
  <si>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</si>
  <si>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</si>
  <si>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</si>
  <si>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</si>
  <si>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</si>
  <si>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</si>
  <si>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</si>
  <si>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</si>
  <si>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</si>
  <si>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</si>
  <si>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</si>
  <si>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</si>
  <si>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</si>
  <si>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</si>
  <si>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</si>
  <si>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</si>
  <si>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</si>
  <si>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</si>
  <si>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</si>
  <si>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</si>
  <si>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</si>
  <si>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</si>
  <si>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</si>
  <si>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</si>
  <si>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</si>
  <si>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</si>
  <si>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</si>
  <si>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</si>
  <si>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</si>
  <si>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</si>
  <si>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</si>
  <si>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</si>
  <si>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</si>
  <si>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</si>
  <si>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</si>
  <si>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</si>
  <si>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</si>
  <si>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</si>
  <si>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</si>
  <si>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</si>
  <si>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</si>
  <si>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</si>
  <si>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</si>
  <si>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</si>
  <si>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</si>
  <si>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</si>
  <si>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</si>
  <si>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</si>
  <si>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</si>
  <si>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</si>
  <si>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</si>
  <si>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</si>
  <si>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</si>
  <si>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</si>
  <si>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</si>
  <si>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</si>
  <si>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</si>
  <si>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</si>
  <si>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</si>
  <si>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</si>
  <si>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</si>
  <si>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</si>
  <si>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</si>
  <si>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</si>
  <si>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</si>
  <si>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</si>
  <si>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</si>
  <si>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</si>
  <si>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</si>
  <si>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</si>
  <si>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</si>
  <si>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</si>
  <si>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</si>
  <si>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</si>
  <si>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</si>
  <si>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</si>
  <si>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</si>
  <si>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</si>
  <si>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</si>
  <si>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</si>
  <si>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</si>
  <si>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</si>
  <si>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</si>
  <si>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</si>
  <si>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</si>
  <si>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</si>
  <si>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</si>
  <si>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</si>
  <si>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</si>
  <si>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</si>
  <si>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</si>
  <si>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</si>
  <si>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</si>
  <si>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</si>
  <si>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</si>
  <si>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</si>
  <si>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</si>
  <si>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</si>
  <si>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</si>
  <si>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</si>
  <si>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</si>
  <si>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</si>
  <si>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</si>
  <si>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</si>
  <si>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</si>
  <si>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</si>
  <si>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</si>
  <si>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</si>
  <si>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</si>
  <si>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</si>
  <si>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</si>
  <si>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</si>
  <si>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</si>
  <si>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</si>
  <si>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</si>
  <si>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</si>
  <si>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</si>
  <si>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</si>
  <si>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</si>
  <si>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</si>
  <si>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</si>
  <si>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</si>
  <si>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</si>
  <si>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</si>
  <si>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</si>
  <si>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</si>
  <si>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</si>
  <si>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</si>
  <si>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</si>
  <si>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</si>
  <si>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</si>
  <si>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</si>
  <si>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</si>
  <si>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</si>
  <si>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</si>
  <si>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</si>
  <si>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</si>
  <si>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</si>
  <si>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</si>
  <si>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</si>
  <si>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</si>
  <si>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</si>
  <si>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</si>
  <si>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</si>
  <si>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</si>
  <si>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</si>
  <si>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</si>
  <si>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</si>
  <si>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</si>
  <si>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</si>
  <si>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</si>
  <si>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</si>
  <si>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</si>
  <si>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</si>
  <si>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</si>
  <si>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</si>
  <si>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</si>
  <si>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</si>
  <si>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</si>
  <si>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</si>
  <si>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</si>
  <si>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</si>
  <si>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</si>
  <si>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</si>
  <si>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</si>
  <si>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</si>
  <si>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</si>
  <si>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</si>
  <si>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</si>
  <si>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</si>
  <si>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</si>
  <si>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</si>
  <si>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</si>
  <si>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</si>
  <si>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</si>
  <si>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</si>
  <si>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</si>
  <si>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</si>
  <si>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</si>
  <si>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</si>
  <si>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</si>
  <si>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</si>
  <si>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</si>
  <si>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</si>
  <si>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</si>
  <si>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</si>
  <si>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</si>
  <si>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</si>
  <si>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</si>
  <si>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</si>
  <si>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</si>
  <si>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</si>
  <si>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</si>
  <si>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</si>
  <si>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</si>
  <si>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</si>
  <si>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</si>
  <si>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</si>
  <si>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</si>
  <si>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</si>
  <si>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</si>
  <si>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</si>
  <si>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</si>
  <si>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</si>
  <si>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</si>
  <si>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</si>
  <si>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</si>
  <si>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</si>
  <si>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</si>
  <si>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</si>
  <si>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</si>
  <si>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</si>
  <si>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</si>
  <si>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</si>
  <si>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</si>
  <si>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</si>
  <si>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</si>
  <si>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</si>
  <si>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</si>
  <si>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</si>
  <si>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</si>
  <si>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</si>
  <si>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</si>
  <si>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</si>
  <si>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</si>
  <si>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</si>
  <si>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</si>
  <si>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</si>
  <si>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</si>
  <si>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</si>
  <si>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</si>
  <si>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</si>
  <si>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</si>
  <si>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</si>
  <si>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</si>
  <si>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</si>
  <si>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</si>
  <si>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</si>
  <si>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</si>
  <si>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</si>
  <si>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</si>
  <si>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</si>
  <si>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</si>
  <si>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</si>
  <si>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</si>
  <si>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</si>
  <si>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</si>
  <si>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</si>
  <si>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</si>
  <si>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</si>
  <si>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</si>
  <si>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</si>
  <si>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</si>
  <si>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</si>
  <si>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</si>
  <si>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</si>
  <si>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</si>
  <si>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</si>
  <si>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</si>
  <si>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</si>
  <si>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</si>
  <si>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</si>
  <si>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</si>
  <si>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</si>
  <si>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</si>
  <si>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</si>
  <si>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</si>
  <si>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</si>
  <si>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</si>
  <si>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</si>
  <si>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</si>
  <si>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</si>
  <si>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</si>
  <si>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</si>
  <si>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</si>
  <si>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</si>
  <si>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</si>
  <si>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</si>
  <si>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</si>
  <si>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</si>
  <si>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</si>
  <si>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</si>
  <si>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</si>
  <si>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</si>
  <si>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</si>
  <si>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</si>
  <si>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</si>
  <si>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</si>
  <si>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</si>
  <si>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</si>
  <si>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</si>
  <si>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</si>
  <si>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</si>
  <si>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</si>
  <si>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</si>
  <si>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</si>
  <si>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</si>
  <si>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</si>
  <si>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</si>
  <si>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</si>
  <si>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</si>
  <si>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</si>
  <si>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</si>
  <si>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</si>
  <si>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</si>
  <si>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</si>
  <si>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</si>
  <si>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</si>
  <si>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</si>
  <si>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</si>
  <si>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</si>
  <si>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</si>
  <si>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</si>
  <si>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</si>
  <si>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</si>
  <si>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</si>
  <si>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</si>
  <si>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</si>
  <si>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</si>
  <si>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</si>
  <si>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</si>
  <si>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</si>
  <si>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</si>
  <si>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</si>
  <si>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</si>
  <si>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</si>
  <si>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</si>
  <si>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</si>
  <si>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</si>
  <si>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</si>
  <si>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</si>
  <si>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</si>
  <si>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</si>
  <si>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</si>
  <si>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</si>
  <si>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</si>
  <si>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</si>
  <si>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</si>
  <si>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</si>
  <si>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</si>
  <si>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</si>
  <si>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</si>
  <si>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</si>
  <si>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</si>
  <si>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</si>
  <si>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</si>
  <si>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</si>
  <si>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</si>
  <si>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</si>
  <si>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</si>
  <si>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</si>
  <si>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</si>
  <si>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</si>
  <si>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</si>
  <si>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</si>
  <si>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</si>
  <si>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</si>
  <si>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</si>
  <si>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</si>
  <si>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</si>
  <si>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</si>
  <si>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</si>
  <si>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</si>
  <si>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</si>
  <si>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</si>
  <si>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</si>
  <si>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</si>
  <si>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</si>
  <si>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</si>
  <si>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</si>
  <si>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</si>
  <si>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</si>
  <si>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</si>
  <si>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</si>
  <si>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</si>
  <si>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</si>
  <si>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</si>
  <si>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</si>
  <si>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</si>
  <si>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</si>
  <si>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</si>
  <si>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</si>
  <si>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</si>
  <si>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</si>
  <si>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</si>
  <si>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</si>
  <si>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</si>
  <si>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</si>
  <si>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</si>
  <si>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</si>
  <si>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</si>
  <si>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</si>
  <si>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</si>
  <si>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</si>
  <si>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</si>
  <si>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</si>
  <si>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</si>
  <si>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</si>
  <si>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</si>
  <si>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</si>
  <si>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</si>
  <si>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</si>
  <si>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</si>
  <si>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</si>
  <si>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</si>
  <si>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</si>
  <si>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</si>
  <si>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</si>
  <si>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</si>
  <si>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</si>
  <si>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</si>
  <si>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</si>
  <si>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</si>
  <si>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</si>
  <si>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</si>
  <si>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</si>
  <si>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</si>
  <si>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</si>
  <si>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</si>
  <si>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</si>
  <si>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</si>
  <si>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</si>
  <si>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</si>
  <si>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</si>
  <si>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</si>
  <si>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</si>
  <si>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</si>
  <si>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</si>
  <si>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</si>
  <si>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</si>
  <si>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</si>
  <si>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</si>
  <si>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</si>
  <si>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</si>
  <si>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</si>
  <si>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</si>
  <si>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</si>
  <si>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</si>
  <si>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</si>
  <si>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</si>
  <si>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</si>
  <si>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</si>
  <si>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</si>
  <si>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</si>
  <si>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</si>
  <si>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</si>
  <si>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</si>
  <si>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</si>
  <si>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</si>
  <si>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</si>
  <si>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</si>
  <si>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</si>
  <si>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</si>
  <si>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</si>
  <si>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</si>
  <si>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</si>
  <si>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</si>
  <si>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</si>
  <si>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</si>
  <si>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</si>
  <si>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</si>
  <si>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</si>
  <si>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</si>
  <si>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</si>
  <si>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</si>
  <si>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</si>
  <si>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</si>
  <si>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</si>
  <si>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</si>
  <si>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</si>
  <si>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</si>
  <si>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</si>
  <si>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</si>
  <si>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</si>
  <si>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</si>
  <si>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</si>
  <si>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</si>
  <si>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</si>
  <si>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</si>
  <si>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</si>
  <si>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</si>
  <si>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</si>
  <si>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</si>
  <si>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</si>
  <si>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</si>
  <si>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</si>
  <si>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</si>
  <si>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</si>
  <si>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</si>
  <si>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</si>
  <si>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</si>
  <si>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</si>
  <si>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</si>
  <si>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Pago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</si>
  <si>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</si>
  <si>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</si>
  <si>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</si>
  <si>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</si>
  <si>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</si>
  <si>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</si>
  <si>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</si>
  <si>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</si>
  <si>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</si>
  <si>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</si>
  <si>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</si>
  <si>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%</t>
  </si>
  <si>
    <t>Reconocimiento</t>
  </si>
  <si>
    <t>Asistió</t>
  </si>
  <si>
    <t>G</t>
  </si>
  <si>
    <t>Faltó</t>
  </si>
  <si>
    <t>Asíncrono</t>
  </si>
  <si>
    <t>J</t>
  </si>
  <si>
    <t>J350</t>
  </si>
  <si>
    <t>J380</t>
  </si>
  <si>
    <t>J160</t>
  </si>
  <si>
    <t>J200</t>
  </si>
  <si>
    <t>%Asistencia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</si>
</sst>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M/yyyy"/>
  </numFmts>
  <fonts count="16">
    <font>
      <sz val="10.0"/>
      <color rgb="FF000000"/>
      <name val="Arial"/>
      <scheme val="minor"/>
    </font>
    <font>
      <b/>
      <color rgb="FFF1C232"/>
      <name val="Arial"/>
      <scheme val="minor"/>
    </font>
    <font>
      <color rgb="FF00FF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38761D"/>
      <name val="Arial"/>
      <scheme val="minor"/>
    </font>
    <font>
      <color rgb="FFF1C232"/>
      <name val="Arial"/>
      <scheme val="minor"/>
    </font>
    <font>
      <color rgb="FFFF0000"/>
      <name val="Arial"/>
      <scheme val="minor"/>
    </font>
    <font>
      <color rgb="FFFFFFFF"/>
      <name val="Arial"/>
    </font>
    <font>
      <color theme="1"/>
      <name val="Arial"/>
    </font>
    <font>
      <sz val="7.0"/>
      <color theme="1"/>
      <name val="Arial"/>
    </font>
    <font>
      <sz val="7.0"/>
      <color rgb="FF000000"/>
      <name val="Arial"/>
    </font>
    <font>
      <b/>
      <color rgb="FFF1C232"/>
      <name val="Arial"/>
    </font>
    <font>
      <sz val="8.0"/>
      <color theme="1"/>
      <name val="Arial"/>
      <scheme val="minor"/>
    </font>
    <font>
      <b/>
      <sz val="7.0"/>
      <color rgb="FF000000"/>
      <name val="Arial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3" numFmtId="164" xfId="0" applyFont="1" applyNumberFormat="1"/>
    <xf borderId="0" fillId="4" fontId="3" numFmtId="0" xfId="0" applyFill="1" applyFont="1"/>
    <xf borderId="0" fillId="5" fontId="3" numFmtId="0" xfId="0" applyFill="1" applyFont="1"/>
    <xf borderId="0" fillId="6" fontId="3" numFmtId="0" xfId="0" applyAlignment="1" applyFill="1" applyFont="1">
      <alignment readingOrder="0"/>
    </xf>
    <xf borderId="0" fillId="6" fontId="3" numFmtId="0" xfId="0" applyFont="1"/>
    <xf borderId="0" fillId="7" fontId="4" numFmtId="0" xfId="0" applyFill="1" applyFont="1"/>
    <xf borderId="0" fillId="8" fontId="3" numFmtId="0" xfId="0" applyFill="1" applyFont="1"/>
    <xf borderId="0" fillId="9" fontId="3" numFmtId="0" xfId="0" applyFill="1" applyFont="1"/>
    <xf borderId="0" fillId="10" fontId="5" numFmtId="0" xfId="0" applyAlignment="1" applyFill="1" applyFont="1">
      <alignment readingOrder="0"/>
    </xf>
    <xf borderId="0" fillId="7" fontId="6" numFmtId="0" xfId="0" applyFont="1"/>
    <xf borderId="0" fillId="11" fontId="4" numFmtId="0" xfId="0" applyAlignment="1" applyFill="1" applyFont="1">
      <alignment readingOrder="0"/>
    </xf>
    <xf borderId="0" fillId="11" fontId="4" numFmtId="0" xfId="0" applyFont="1"/>
    <xf borderId="0" fillId="8" fontId="7" numFmtId="0" xfId="0" applyAlignment="1" applyFont="1">
      <alignment readingOrder="0"/>
    </xf>
    <xf borderId="0" fillId="8" fontId="7" numFmtId="0" xfId="0" applyFont="1"/>
    <xf borderId="0" fillId="12" fontId="8" numFmtId="0" xfId="0" applyAlignment="1" applyFill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13" fontId="3" numFmtId="0" xfId="0" applyFill="1" applyFont="1"/>
    <xf borderId="0" fillId="13" fontId="3" numFmtId="0" xfId="0" applyAlignment="1" applyFont="1">
      <alignment readingOrder="0"/>
    </xf>
    <xf borderId="0" fillId="14" fontId="3" numFmtId="0" xfId="0" applyAlignment="1" applyFill="1" applyFont="1">
      <alignment readingOrder="0"/>
    </xf>
    <xf borderId="0" fillId="14" fontId="3" numFmtId="0" xfId="0" applyFont="1"/>
    <xf borderId="0" fillId="15" fontId="8" numFmtId="0" xfId="0" applyAlignment="1" applyFill="1" applyFont="1">
      <alignment vertical="bottom"/>
    </xf>
    <xf borderId="0" fillId="15" fontId="8" numFmtId="0" xfId="0" applyAlignment="1" applyFont="1">
      <alignment readingOrder="0" vertical="bottom"/>
    </xf>
    <xf borderId="0" fillId="8" fontId="3" numFmtId="0" xfId="0" applyAlignment="1" applyFont="1">
      <alignment readingOrder="0"/>
    </xf>
    <xf borderId="0" fillId="7" fontId="4" numFmtId="0" xfId="0" applyAlignment="1" applyFont="1">
      <alignment readingOrder="0"/>
    </xf>
    <xf borderId="0" fillId="16" fontId="8" numFmtId="0" xfId="0" applyAlignment="1" applyFill="1" applyFont="1">
      <alignment vertical="bottom"/>
    </xf>
    <xf borderId="0" fillId="16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3" fillId="2" fontId="1" numFmtId="165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left"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165" xfId="0" applyAlignment="1" applyFont="1" applyNumberForma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wrapText="1"/>
    </xf>
    <xf borderId="0" fillId="17" fontId="10" numFmtId="0" xfId="0" applyAlignment="1" applyFill="1" applyFont="1">
      <alignment horizontal="left" shrinkToFit="0" vertical="bottom" wrapText="1"/>
    </xf>
    <xf borderId="0" fillId="10" fontId="10" numFmtId="0" xfId="0" applyAlignment="1" applyFont="1">
      <alignment horizontal="left" shrinkToFit="0" vertical="bottom" wrapText="1"/>
    </xf>
    <xf borderId="0" fillId="10" fontId="10" numFmtId="165" xfId="0" applyAlignment="1" applyFont="1" applyNumberFormat="1">
      <alignment shrinkToFit="0" vertical="bottom" wrapText="1"/>
    </xf>
    <xf borderId="0" fillId="10" fontId="10" numFmtId="0" xfId="0" applyAlignment="1" applyFont="1">
      <alignment shrinkToFit="0" vertical="bottom" wrapText="1"/>
    </xf>
    <xf borderId="0" fillId="10" fontId="10" numFmtId="0" xfId="0" applyAlignment="1" applyFont="1">
      <alignment horizontal="left" readingOrder="0" shrinkToFit="0" vertical="bottom" wrapText="1"/>
    </xf>
    <xf borderId="0" fillId="10" fontId="10" numFmtId="0" xfId="0" applyAlignment="1" applyFont="1">
      <alignment vertical="bottom"/>
    </xf>
    <xf borderId="0" fillId="17" fontId="10" numFmtId="165" xfId="0" applyAlignment="1" applyFont="1" applyNumberFormat="1">
      <alignment shrinkToFit="0" vertical="bottom" wrapText="1"/>
    </xf>
    <xf borderId="0" fillId="17" fontId="10" numFmtId="0" xfId="0" applyAlignment="1" applyFont="1">
      <alignment shrinkToFit="0" vertical="bottom" wrapText="1"/>
    </xf>
    <xf borderId="0" fillId="17" fontId="10" numFmtId="0" xfId="0" applyAlignment="1" applyFont="1">
      <alignment horizontal="left" readingOrder="0" shrinkToFit="0" vertical="bottom" wrapText="1"/>
    </xf>
    <xf borderId="0" fillId="17" fontId="10" numFmtId="0" xfId="0" applyAlignment="1" applyFont="1">
      <alignment vertical="bottom"/>
    </xf>
    <xf borderId="0" fillId="10" fontId="11" numFmtId="0" xfId="0" applyAlignment="1" applyFont="1">
      <alignment horizontal="left" readingOrder="0" shrinkToFit="0" wrapText="1"/>
    </xf>
    <xf borderId="0" fillId="10" fontId="11" numFmtId="0" xfId="0" applyAlignment="1" applyFont="1">
      <alignment horizontal="left" readingOrder="0" shrinkToFit="0" vertical="bottom" wrapText="1"/>
    </xf>
    <xf borderId="0" fillId="17" fontId="11" numFmtId="0" xfId="0" applyAlignment="1" applyFont="1">
      <alignment horizontal="left" readingOrder="0" shrinkToFit="0" vertical="bottom" wrapText="1"/>
    </xf>
    <xf borderId="0" fillId="0" fontId="10" numFmtId="165" xfId="0" applyAlignment="1" applyFont="1" applyNumberFormat="1">
      <alignment horizontal="right" shrinkToFit="0" vertical="bottom" wrapText="1"/>
    </xf>
    <xf borderId="0" fillId="0" fontId="10" numFmtId="165" xfId="0" applyAlignment="1" applyFont="1" applyNumberFormat="1">
      <alignment horizontal="left" shrinkToFit="0" vertical="bottom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3" fillId="2" fontId="12" numFmtId="0" xfId="0" applyAlignment="1" applyBorder="1" applyFont="1">
      <alignment horizontal="center" shrinkToFit="0" vertical="bottom" wrapText="1"/>
    </xf>
    <xf borderId="1" fillId="2" fontId="12" numFmtId="0" xfId="0" applyAlignment="1" applyBorder="1" applyFont="1">
      <alignment horizontal="center" shrinkToFit="0" vertical="bottom" wrapText="1"/>
    </xf>
    <xf borderId="0" fillId="2" fontId="12" numFmtId="0" xfId="0" applyAlignment="1" applyFont="1">
      <alignment horizontal="center" readingOrder="0" shrinkToFit="0" vertical="bottom" wrapText="1"/>
    </xf>
    <xf borderId="0" fillId="2" fontId="1" numFmtId="1" xfId="0" applyAlignment="1" applyFont="1" applyNumberFormat="1">
      <alignment horizontal="center" readingOrder="0"/>
    </xf>
    <xf borderId="0" fillId="0" fontId="3" numFmtId="49" xfId="0" applyAlignment="1" applyFont="1" applyNumberFormat="1">
      <alignment readingOrder="0"/>
    </xf>
    <xf borderId="0" fillId="0" fontId="3" numFmtId="1" xfId="0" applyAlignment="1" applyFont="1" applyNumberFormat="1">
      <alignment horizontal="center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3" numFmtId="0" xfId="0" applyAlignment="1" applyFont="1">
      <alignment horizontal="left" shrinkToFit="0" vertical="top" wrapText="1"/>
    </xf>
    <xf borderId="0" fillId="0" fontId="3" numFmtId="0" xfId="0" applyFont="1"/>
    <xf borderId="0" fillId="0" fontId="13" numFmtId="0" xfId="0" applyAlignment="1" applyFont="1">
      <alignment horizontal="left" readingOrder="0"/>
    </xf>
    <xf borderId="0" fillId="9" fontId="3" numFmtId="0" xfId="0" applyAlignment="1" applyFont="1">
      <alignment readingOrder="0"/>
    </xf>
    <xf borderId="0" fillId="7" fontId="6" numFmtId="0" xfId="0" applyAlignment="1" applyFont="1">
      <alignment readingOrder="0"/>
    </xf>
    <xf borderId="0" fillId="0" fontId="14" numFmtId="0" xfId="0" applyAlignment="1" applyFont="1">
      <alignment horizontal="left" readingOrder="0" shrinkToFit="0" wrapText="1"/>
    </xf>
    <xf borderId="0" fillId="18" fontId="3" numFmtId="0" xfId="0" applyAlignment="1" applyFill="1" applyFont="1">
      <alignment horizontal="left" shrinkToFit="0" vertical="top" wrapText="1"/>
    </xf>
    <xf borderId="0" fillId="10" fontId="3" numFmtId="0" xfId="0" applyAlignment="1" applyFont="1">
      <alignment horizontal="left"/>
    </xf>
    <xf borderId="0" fillId="17" fontId="11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chartsheet" Target="chartsheets/sheet1.xml"/><Relationship Id="rId10" Type="http://schemas.openxmlformats.org/officeDocument/2006/relationships/worksheet" Target="worksheets/sheet6.xml"/><Relationship Id="rId12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%Asistencias frente a Nombre_Curso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CURSOS!$J$1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CURSOS!$C$2:$C$21</c:f>
            </c:strRef>
          </c:cat>
          <c:val>
            <c:numRef>
              <c:f>CURSOS!$J$2:$J$21</c:f>
              <c:numCache/>
            </c:numRef>
          </c:val>
        </c:ser>
        <c:axId val="734768730"/>
        <c:axId val="1476849590"/>
      </c:barChart>
      <c:catAx>
        <c:axId val="734768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Nombre_Curso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849590"/>
      </c:catAx>
      <c:valAx>
        <c:axId val="147684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%Asistencias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768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%Reconocimientos frente a Nombre_Curso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CURSOS!$K$1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CURSOS!$C$2:$C$21</c:f>
            </c:strRef>
          </c:cat>
          <c:val>
            <c:numRef>
              <c:f>CURSOS!$K$2:$K$21</c:f>
              <c:numCache/>
            </c:numRef>
          </c:val>
        </c:ser>
        <c:axId val="1908196335"/>
        <c:axId val="1920603809"/>
      </c:barChart>
      <c:catAx>
        <c:axId val="190819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Nombre_Curso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603809"/>
      </c:catAx>
      <c:valAx>
        <c:axId val="1920603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%Reconocimientos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196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99843623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86718006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75"/>
    <col customWidth="1" min="3" max="3" width="33.5"/>
    <col customWidth="1" min="4" max="4" width="45.38"/>
    <col customWidth="1" min="5" max="5" width="12.13"/>
    <col customWidth="1" min="6" max="6" width="6.13"/>
    <col customWidth="1" min="7" max="7" width="5.5"/>
    <col customWidth="1" min="11" max="11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f>1</f>
        <v>1</v>
      </c>
      <c r="C2" s="3" t="s">
        <v>12</v>
      </c>
      <c r="D2" s="3" t="s">
        <v>13</v>
      </c>
      <c r="E2" s="4" t="s">
        <v>14</v>
      </c>
      <c r="F2" s="5">
        <v>2024.0</v>
      </c>
      <c r="G2" s="5" t="s">
        <v>15</v>
      </c>
      <c r="H2" s="5">
        <v>4.0</v>
      </c>
      <c r="I2" s="6">
        <f>COUNTIF(ASISTENCIAS!$A:$A, $A2)</f>
        <v>7</v>
      </c>
      <c r="J2" s="7">
        <f>IFERROR(SUMIF(ASISTENCIAS!$A:$A, $A2, ASISTENCIAS!$X:$X) / (COUNTIF(ASISTENCIAS!$A:$A, $A2) * $H2) * 100, 0)</f>
        <v>32.14285714</v>
      </c>
      <c r="K2" s="7">
        <f>IFERROR(COUNTIFS(ASISTENCIAS!$A:$A, $A2, ASISTENCIAS!$Y:$Y, TRUE) / COUNTIF(ASISTENCIAS!$A:$A, $A2)*100,0)</f>
        <v>100</v>
      </c>
    </row>
    <row r="3">
      <c r="A3" s="8" t="s">
        <v>16</v>
      </c>
      <c r="B3" s="8">
        <f t="shared" ref="B3:B14" si="1">B2+1</f>
        <v>2</v>
      </c>
      <c r="C3" s="8" t="s">
        <v>17</v>
      </c>
      <c r="D3" s="8" t="s">
        <v>18</v>
      </c>
      <c r="E3" s="4" t="s">
        <v>14</v>
      </c>
      <c r="F3" s="5">
        <v>2024.0</v>
      </c>
      <c r="G3" s="5" t="s">
        <v>19</v>
      </c>
      <c r="H3" s="5">
        <v>5.0</v>
      </c>
      <c r="I3" s="6">
        <f>COUNTIF(ASISTENCIAS!$A:$A, $A3)</f>
        <v>16</v>
      </c>
      <c r="J3" s="7">
        <f>IFERROR(SUMIF(ASISTENCIAS!$A:$A, $A3, ASISTENCIAS!$X:$X) / (COUNTIF(ASISTENCIAS!$A:$A, $A3) * $H3) * 100, 0)</f>
        <v>71.25</v>
      </c>
      <c r="K3" s="7">
        <f>IFERROR(COUNTIFS(ASISTENCIAS!$A:$A, $A3, ASISTENCIAS!$Y:$Y, TRUE) / COUNTIF(ASISTENCIAS!$A:$A, $A3)*100,0)</f>
        <v>62.5</v>
      </c>
    </row>
    <row r="4">
      <c r="A4" s="9" t="s">
        <v>20</v>
      </c>
      <c r="B4" s="9">
        <f t="shared" si="1"/>
        <v>3</v>
      </c>
      <c r="C4" s="9" t="s">
        <v>21</v>
      </c>
      <c r="D4" s="9" t="s">
        <v>22</v>
      </c>
      <c r="E4" s="4" t="s">
        <v>14</v>
      </c>
      <c r="F4" s="5">
        <v>2024.0</v>
      </c>
      <c r="G4" s="5" t="s">
        <v>23</v>
      </c>
      <c r="H4" s="5">
        <v>5.0</v>
      </c>
      <c r="I4" s="6">
        <f>COUNTIF(ASISTENCIAS!$A:$A, $A4)</f>
        <v>9</v>
      </c>
      <c r="J4" s="7">
        <f>IFERROR(SUMIF(ASISTENCIAS!$A:$A, $A4, ASISTENCIAS!$X:$X) / (COUNTIF(ASISTENCIAS!$A:$A, $A4) * $H4) * 100, 0)</f>
        <v>62.22222222</v>
      </c>
      <c r="K4" s="7">
        <f>IFERROR(COUNTIFS(ASISTENCIAS!$A:$A, $A4, ASISTENCIAS!$Y:$Y, TRUE) / COUNTIF(ASISTENCIAS!$A:$A, $A4)*100,0)</f>
        <v>44.44444444</v>
      </c>
    </row>
    <row r="5">
      <c r="A5" s="10" t="s">
        <v>24</v>
      </c>
      <c r="B5" s="10">
        <f t="shared" si="1"/>
        <v>4</v>
      </c>
      <c r="C5" s="11" t="s">
        <v>25</v>
      </c>
      <c r="D5" s="11" t="s">
        <v>26</v>
      </c>
      <c r="E5" s="4" t="s">
        <v>14</v>
      </c>
      <c r="F5" s="5">
        <v>2024.0</v>
      </c>
      <c r="G5" s="5" t="s">
        <v>23</v>
      </c>
      <c r="H5" s="5">
        <v>5.0</v>
      </c>
      <c r="I5" s="6">
        <f>COUNTIF(ASISTENCIAS!$A:$A, $A5)</f>
        <v>17</v>
      </c>
      <c r="J5" s="7">
        <f>IFERROR(SUMIF(ASISTENCIAS!$A:$A, $A5, ASISTENCIAS!$X:$X) / (COUNTIF(ASISTENCIAS!$A:$A, $A5) * $H5) * 100, 0)</f>
        <v>69.41176471</v>
      </c>
      <c r="K5" s="7">
        <f>IFERROR(COUNTIFS(ASISTENCIAS!$A:$A, $A5, ASISTENCIAS!$Y:$Y, TRUE) / COUNTIF(ASISTENCIAS!$A:$A, $A5)*100,0)</f>
        <v>52.94117647</v>
      </c>
    </row>
    <row r="6">
      <c r="A6" s="12" t="s">
        <v>27</v>
      </c>
      <c r="B6" s="12">
        <f t="shared" si="1"/>
        <v>5</v>
      </c>
      <c r="C6" s="12" t="s">
        <v>28</v>
      </c>
      <c r="D6" s="12" t="s">
        <v>29</v>
      </c>
      <c r="E6" s="4" t="s">
        <v>14</v>
      </c>
      <c r="F6" s="5">
        <v>2024.0</v>
      </c>
      <c r="G6" s="5" t="s">
        <v>30</v>
      </c>
      <c r="H6" s="5">
        <v>5.0</v>
      </c>
      <c r="I6" s="6">
        <f>COUNTIF(ASISTENCIAS!$A:$A, $A6)</f>
        <v>25</v>
      </c>
      <c r="J6" s="7">
        <f>IFERROR(SUMIF(ASISTENCIAS!$A:$A, $A6, ASISTENCIAS!$X:$X) / (COUNTIF(ASISTENCIAS!$A:$A, $A6) * $H6) * 100, 0)</f>
        <v>56</v>
      </c>
      <c r="K6" s="7">
        <f>IFERROR(COUNTIFS(ASISTENCIAS!$A:$A, $A6, ASISTENCIAS!$Y:$Y, TRUE) / COUNTIF(ASISTENCIAS!$A:$A, $A6)*100,0)</f>
        <v>52</v>
      </c>
    </row>
    <row r="7">
      <c r="A7" s="5" t="s">
        <v>31</v>
      </c>
      <c r="B7" s="5">
        <f t="shared" si="1"/>
        <v>6</v>
      </c>
      <c r="C7" s="5" t="s">
        <v>32</v>
      </c>
      <c r="D7" s="5" t="s">
        <v>33</v>
      </c>
      <c r="E7" s="4" t="s">
        <v>14</v>
      </c>
      <c r="F7" s="5">
        <v>2025.0</v>
      </c>
      <c r="G7" s="5" t="s">
        <v>34</v>
      </c>
      <c r="H7" s="5">
        <v>5.0</v>
      </c>
      <c r="I7" s="6">
        <f>COUNTIF(ASISTENCIAS!$A:$A, $A7)</f>
        <v>27</v>
      </c>
      <c r="J7" s="7">
        <f>IFERROR(SUMIF(ASISTENCIAS!$A:$A, $A7, ASISTENCIAS!$X:$X) / (COUNTIF(ASISTENCIAS!$A:$A, $A7) * $H7) * 100, 0)</f>
        <v>88.14814815</v>
      </c>
      <c r="K7" s="7">
        <f>IFERROR(COUNTIFS(ASISTENCIAS!$A:$A, $A7, ASISTENCIAS!$Y:$Y, TRUE) / COUNTIF(ASISTENCIAS!$A:$A, $A7)*100,0)</f>
        <v>88.88888889</v>
      </c>
    </row>
    <row r="8">
      <c r="A8" s="13" t="s">
        <v>35</v>
      </c>
      <c r="B8" s="13">
        <f t="shared" si="1"/>
        <v>7</v>
      </c>
      <c r="C8" s="13" t="s">
        <v>36</v>
      </c>
      <c r="D8" s="13" t="s">
        <v>37</v>
      </c>
      <c r="E8" s="4" t="s">
        <v>14</v>
      </c>
      <c r="F8" s="5">
        <v>2025.0</v>
      </c>
      <c r="G8" s="5" t="s">
        <v>38</v>
      </c>
      <c r="H8" s="5">
        <v>3.0</v>
      </c>
      <c r="I8" s="6">
        <f>COUNTIF(ASISTENCIAS!$A:$A, $A8)</f>
        <v>14</v>
      </c>
      <c r="J8" s="7">
        <f>IFERROR(SUMIF(ASISTENCIAS!$A:$A, $A8, ASISTENCIAS!$X:$X) / (COUNTIF(ASISTENCIAS!$A:$A, $A8) * $H8) * 100, 0)</f>
        <v>71.42857143</v>
      </c>
      <c r="K8" s="7">
        <f>IFERROR(COUNTIFS(ASISTENCIAS!$A:$A, $A8, ASISTENCIAS!$Y:$Y, TRUE) / COUNTIF(ASISTENCIAS!$A:$A, $A8)*100,0)</f>
        <v>78.57142857</v>
      </c>
    </row>
    <row r="9">
      <c r="A9" s="14" t="s">
        <v>39</v>
      </c>
      <c r="B9" s="14">
        <f t="shared" si="1"/>
        <v>8</v>
      </c>
      <c r="C9" s="14" t="s">
        <v>40</v>
      </c>
      <c r="D9" s="14" t="s">
        <v>41</v>
      </c>
      <c r="E9" s="4" t="s">
        <v>14</v>
      </c>
      <c r="F9" s="5">
        <v>2025.0</v>
      </c>
      <c r="G9" s="5" t="s">
        <v>42</v>
      </c>
      <c r="H9" s="5">
        <v>5.0</v>
      </c>
      <c r="I9" s="6">
        <f>COUNTIF(ASISTENCIAS!$A:$A, $A9)</f>
        <v>13</v>
      </c>
      <c r="J9" s="7">
        <f>IFERROR(SUMIF(ASISTENCIAS!$A:$A, $A9, ASISTENCIAS!$X:$X) / (COUNTIF(ASISTENCIAS!$A:$A, $A9) * $H9) * 100, 0)</f>
        <v>64.61538462</v>
      </c>
      <c r="K9" s="7">
        <f>IFERROR(COUNTIFS(ASISTENCIAS!$A:$A, $A9, ASISTENCIAS!$Y:$Y, TRUE) / COUNTIF(ASISTENCIAS!$A:$A, $A9)*100,0)</f>
        <v>69.23076923</v>
      </c>
    </row>
    <row r="10">
      <c r="A10" s="15" t="s">
        <v>43</v>
      </c>
      <c r="B10" s="15">
        <f t="shared" si="1"/>
        <v>9</v>
      </c>
      <c r="C10" s="15" t="s">
        <v>44</v>
      </c>
      <c r="D10" s="15" t="s">
        <v>45</v>
      </c>
      <c r="E10" s="4" t="s">
        <v>46</v>
      </c>
      <c r="F10" s="5">
        <v>2025.0</v>
      </c>
      <c r="G10" s="5" t="s">
        <v>42</v>
      </c>
      <c r="H10" s="5">
        <v>8.0</v>
      </c>
      <c r="I10" s="6">
        <f>COUNTIF(ASISTENCIAS!$A:$A, $A10)</f>
        <v>22</v>
      </c>
      <c r="J10" s="7">
        <f>IFERROR(SUMIF(ASISTENCIAS!$A:$A, $A10, ASISTENCIAS!$X:$X) / (COUNTIF(ASISTENCIAS!$A:$A, $A10) * $H10) * 100, 0)</f>
        <v>65.34090909</v>
      </c>
      <c r="K10" s="7">
        <f>IFERROR(COUNTIFS(ASISTENCIAS!$A:$A, $A10, ASISTENCIAS!$Y:$Y, TRUE) / COUNTIF(ASISTENCIAS!$A:$A, $A10)*100,0)</f>
        <v>54.54545455</v>
      </c>
    </row>
    <row r="11">
      <c r="A11" s="16" t="s">
        <v>47</v>
      </c>
      <c r="B11" s="16">
        <f t="shared" si="1"/>
        <v>10</v>
      </c>
      <c r="C11" s="16" t="s">
        <v>48</v>
      </c>
      <c r="D11" s="16" t="s">
        <v>49</v>
      </c>
      <c r="E11" s="4" t="s">
        <v>14</v>
      </c>
      <c r="F11" s="5">
        <v>2025.0</v>
      </c>
      <c r="G11" s="5" t="s">
        <v>50</v>
      </c>
      <c r="H11" s="5">
        <v>5.0</v>
      </c>
      <c r="I11" s="6">
        <f>COUNTIF(ASISTENCIAS!$A:$A, $A11)</f>
        <v>13</v>
      </c>
      <c r="J11" s="7">
        <f>IFERROR(SUMIF(ASISTENCIAS!$A:$A, $A11, ASISTENCIAS!$X:$X) / (COUNTIF(ASISTENCIAS!$A:$A, $A11) * $H11) * 100, 0)</f>
        <v>89.23076923</v>
      </c>
      <c r="K11" s="7">
        <f>IFERROR(COUNTIFS(ASISTENCIAS!$A:$A, $A11, ASISTENCIAS!$Y:$Y, TRUE) / COUNTIF(ASISTENCIAS!$A:$A, $A11)*100,0)</f>
        <v>92.30769231</v>
      </c>
    </row>
    <row r="12">
      <c r="A12" s="17" t="s">
        <v>51</v>
      </c>
      <c r="B12" s="17">
        <f t="shared" si="1"/>
        <v>11</v>
      </c>
      <c r="C12" s="18" t="s">
        <v>52</v>
      </c>
      <c r="D12" s="18" t="s">
        <v>53</v>
      </c>
      <c r="E12" s="4" t="s">
        <v>14</v>
      </c>
      <c r="F12" s="5">
        <v>2025.0</v>
      </c>
      <c r="G12" s="5" t="s">
        <v>54</v>
      </c>
      <c r="H12" s="5">
        <v>5.0</v>
      </c>
      <c r="I12" s="6">
        <f>COUNTIF(ASISTENCIAS!$A:$A, $A12)</f>
        <v>18</v>
      </c>
      <c r="J12" s="7">
        <f>IFERROR(SUMIF(ASISTENCIAS!$A:$A, $A12, ASISTENCIAS!$X:$X) / (COUNTIF(ASISTENCIAS!$A:$A, $A12) * $H12) * 100, 0)</f>
        <v>62.22222222</v>
      </c>
      <c r="K12" s="7">
        <f>IFERROR(COUNTIFS(ASISTENCIAS!$A:$A, $A12, ASISTENCIAS!$Y:$Y, TRUE) / COUNTIF(ASISTENCIAS!$A:$A, $A12)*100,0)</f>
        <v>61.11111111</v>
      </c>
    </row>
    <row r="13">
      <c r="A13" s="19" t="s">
        <v>55</v>
      </c>
      <c r="B13" s="19">
        <f t="shared" si="1"/>
        <v>12</v>
      </c>
      <c r="C13" s="20" t="s">
        <v>56</v>
      </c>
      <c r="D13" s="20" t="s">
        <v>57</v>
      </c>
      <c r="E13" s="4" t="s">
        <v>14</v>
      </c>
      <c r="F13" s="5">
        <v>2025.0</v>
      </c>
      <c r="G13" s="5" t="s">
        <v>19</v>
      </c>
      <c r="H13" s="5">
        <v>5.0</v>
      </c>
      <c r="I13" s="6">
        <f>COUNTIF(ASISTENCIAS!$A:$A, $A13)</f>
        <v>12</v>
      </c>
      <c r="J13" s="7">
        <f>IFERROR(SUMIF(ASISTENCIAS!$A:$A, $A13, ASISTENCIAS!$X:$X) / (COUNTIF(ASISTENCIAS!$A:$A, $A13) * $H13) * 100, 0)</f>
        <v>81.66666667</v>
      </c>
      <c r="K13" s="7">
        <f>IFERROR(COUNTIFS(ASISTENCIAS!$A:$A, $A13, ASISTENCIAS!$Y:$Y, TRUE) / COUNTIF(ASISTENCIAS!$A:$A, $A13)*100,0)</f>
        <v>75</v>
      </c>
    </row>
    <row r="14">
      <c r="A14" s="21" t="s">
        <v>58</v>
      </c>
      <c r="B14" s="21">
        <f t="shared" si="1"/>
        <v>13</v>
      </c>
      <c r="C14" s="21" t="s">
        <v>59</v>
      </c>
      <c r="D14" s="21" t="s">
        <v>60</v>
      </c>
      <c r="E14" s="4" t="s">
        <v>46</v>
      </c>
      <c r="F14" s="22">
        <v>2025.0</v>
      </c>
      <c r="G14" s="23" t="s">
        <v>19</v>
      </c>
      <c r="H14" s="5">
        <v>8.0</v>
      </c>
      <c r="I14" s="6">
        <f>COUNTIF(ASISTENCIAS!$A:$A, $A14)</f>
        <v>8</v>
      </c>
      <c r="J14" s="7">
        <f>IFERROR(SUMIF(ASISTENCIAS!$A:$A, $A14, ASISTENCIAS!$X:$X) / (COUNTIF(ASISTENCIAS!$A:$A, $A14) * $H14) * 100, 0)</f>
        <v>68.75</v>
      </c>
      <c r="K14" s="7">
        <f>IFERROR(COUNTIFS(ASISTENCIAS!$A:$A, $A14, ASISTENCIAS!$Y:$Y, TRUE) / COUNTIF(ASISTENCIAS!$A:$A, $A14)*100,0)</f>
        <v>75</v>
      </c>
    </row>
    <row r="15">
      <c r="A15" s="24" t="s">
        <v>61</v>
      </c>
      <c r="B15" s="25">
        <v>14.0</v>
      </c>
      <c r="C15" s="24" t="s">
        <v>62</v>
      </c>
      <c r="D15" s="24" t="s">
        <v>63</v>
      </c>
      <c r="E15" s="4" t="s">
        <v>14</v>
      </c>
      <c r="F15" s="5">
        <v>2025.0</v>
      </c>
      <c r="G15" s="5" t="s">
        <v>23</v>
      </c>
      <c r="H15" s="5">
        <v>10.0</v>
      </c>
      <c r="I15" s="6">
        <f>COUNTIF(ASISTENCIAS!$A:$A, $A15)</f>
        <v>84</v>
      </c>
      <c r="J15" s="7">
        <f>IFERROR(SUMIF(ASISTENCIAS!$A:$A, $A15, ASISTENCIAS!$X:$X) / (COUNTIF(ASISTENCIAS!$A:$A, $A15) * $H15) * 100, 0)</f>
        <v>41.9047619</v>
      </c>
      <c r="K15" s="7">
        <f>IFERROR(COUNTIFS(ASISTENCIAS!$A:$A, $A15, ASISTENCIAS!$Y:$Y, TRUE) / COUNTIF(ASISTENCIAS!$A:$A, $A15)*100,0)</f>
        <v>57.14285714</v>
      </c>
    </row>
    <row r="16">
      <c r="A16" s="26" t="s">
        <v>64</v>
      </c>
      <c r="B16" s="26">
        <v>15.0</v>
      </c>
      <c r="C16" s="27" t="s">
        <v>65</v>
      </c>
      <c r="D16" s="27" t="s">
        <v>66</v>
      </c>
      <c r="E16" s="4" t="s">
        <v>14</v>
      </c>
      <c r="F16" s="5">
        <v>2025.0</v>
      </c>
      <c r="G16" s="5" t="s">
        <v>30</v>
      </c>
      <c r="H16" s="5">
        <v>5.0</v>
      </c>
      <c r="I16" s="6">
        <f>COUNTIF(ASISTENCIAS!$A:$A, $A16)</f>
        <v>16</v>
      </c>
      <c r="J16" s="7">
        <f>IFERROR(SUMIF(ASISTENCIAS!$A:$A, $A16, ASISTENCIAS!$X:$X) / (COUNTIF(ASISTENCIAS!$A:$A, $A16) * $H16) * 100, 0)</f>
        <v>96.25</v>
      </c>
      <c r="K16" s="7">
        <f>IFERROR(COUNTIFS(ASISTENCIAS!$A:$A, $A16, ASISTENCIAS!$Y:$Y, TRUE) / COUNTIF(ASISTENCIAS!$A:$A, $A16)*100,0)</f>
        <v>81.25</v>
      </c>
    </row>
    <row r="17">
      <c r="A17" s="28" t="s">
        <v>67</v>
      </c>
      <c r="B17" s="29">
        <v>16.0</v>
      </c>
      <c r="C17" s="28" t="s">
        <v>68</v>
      </c>
      <c r="D17" s="28" t="s">
        <v>68</v>
      </c>
      <c r="E17" s="4" t="s">
        <v>46</v>
      </c>
      <c r="F17" s="22">
        <v>2025.0</v>
      </c>
      <c r="G17" s="23" t="s">
        <v>30</v>
      </c>
      <c r="H17" s="5">
        <v>8.0</v>
      </c>
      <c r="I17" s="6">
        <f>COUNTIF(ASISTENCIAS!$A:$A, $A17)</f>
        <v>9</v>
      </c>
      <c r="J17" s="7">
        <f>IFERROR(SUMIF(ASISTENCIAS!$A:$A, $A17, ASISTENCIAS!$X:$X) / (COUNTIF(ASISTENCIAS!$A:$A, $A17) * $H17) * 100, 0)</f>
        <v>97.22222222</v>
      </c>
      <c r="K17" s="7">
        <f>IFERROR(COUNTIFS(ASISTENCIAS!$A:$A, $A17, ASISTENCIAS!$Y:$Y, TRUE) / COUNTIF(ASISTENCIAS!$A:$A, $A17)*100,0)</f>
        <v>100</v>
      </c>
    </row>
    <row r="18">
      <c r="A18" s="13" t="s">
        <v>69</v>
      </c>
      <c r="B18" s="30">
        <v>17.0</v>
      </c>
      <c r="C18" s="13" t="s">
        <v>36</v>
      </c>
      <c r="D18" s="13" t="s">
        <v>37</v>
      </c>
      <c r="E18" s="4" t="s">
        <v>14</v>
      </c>
      <c r="F18" s="5">
        <v>2025.0</v>
      </c>
      <c r="G18" s="5" t="s">
        <v>70</v>
      </c>
      <c r="H18" s="5">
        <v>5.0</v>
      </c>
      <c r="I18" s="6">
        <f>COUNTIF(ASISTENCIAS!$A:$A, $A18)</f>
        <v>15</v>
      </c>
      <c r="J18" s="7">
        <f>IFERROR(SUMIF(ASISTENCIAS!$A:$A, $A18, ASISTENCIAS!$X:$X) / (COUNTIF(ASISTENCIAS!$A:$A, $A18) * $H18) * 100, 0)</f>
        <v>73.33333333</v>
      </c>
      <c r="K18" s="7">
        <f>IFERROR(COUNTIFS(ASISTENCIAS!$A:$A, $A18, ASISTENCIAS!$Y:$Y, TRUE) / COUNTIF(ASISTENCIAS!$A:$A, $A18)*100,0)</f>
        <v>73.33333333</v>
      </c>
    </row>
    <row r="19">
      <c r="A19" s="31" t="s">
        <v>71</v>
      </c>
      <c r="B19" s="31">
        <v>18.0</v>
      </c>
      <c r="C19" s="12" t="s">
        <v>28</v>
      </c>
      <c r="D19" s="12" t="s">
        <v>29</v>
      </c>
      <c r="E19" s="4" t="s">
        <v>14</v>
      </c>
      <c r="F19" s="5">
        <v>2026.0</v>
      </c>
      <c r="G19" s="5" t="s">
        <v>72</v>
      </c>
      <c r="H19" s="5">
        <v>5.0</v>
      </c>
      <c r="I19" s="6">
        <f>COUNTIF(ASISTENCIAS!$A:$A, $A19)</f>
        <v>37</v>
      </c>
      <c r="J19" s="7">
        <f>IFERROR(SUMIF(ASISTENCIAS!$A:$A, $A19, ASISTENCIAS!$X:$X) / (COUNTIF(ASISTENCIAS!$A:$A, $A19) * $H19) * 100, 0)</f>
        <v>10.81081081</v>
      </c>
      <c r="K19" s="7">
        <f>IFERROR(COUNTIFS(ASISTENCIAS!$A:$A, $A19, ASISTENCIAS!$Y:$Y, TRUE) / COUNTIF(ASISTENCIAS!$A:$A, $A19)*100,0)</f>
        <v>0</v>
      </c>
    </row>
    <row r="20">
      <c r="A20" s="32" t="s">
        <v>73</v>
      </c>
      <c r="B20" s="33">
        <v>19.0</v>
      </c>
      <c r="C20" s="32" t="s">
        <v>74</v>
      </c>
      <c r="D20" s="32" t="s">
        <v>74</v>
      </c>
      <c r="E20" s="4" t="s">
        <v>46</v>
      </c>
      <c r="F20" s="22">
        <v>2026.0</v>
      </c>
      <c r="G20" s="23" t="s">
        <v>72</v>
      </c>
      <c r="H20" s="5">
        <v>8.0</v>
      </c>
      <c r="I20" s="6">
        <f>COUNTIF(ASISTENCIAS!$A:$A, $A20)</f>
        <v>7</v>
      </c>
      <c r="J20" s="7">
        <f>IFERROR(SUMIF(ASISTENCIAS!$A:$A, $A20, ASISTENCIAS!$X:$X) / (COUNTIF(ASISTENCIAS!$A:$A, $A20) * $H20) * 100, 0)</f>
        <v>23.21428571</v>
      </c>
      <c r="K20" s="7">
        <f>IFERROR(COUNTIFS(ASISTENCIAS!$A:$A, $A20, ASISTENCIAS!$Y:$Y, TRUE) / COUNTIF(ASISTENCIAS!$A:$A, $A20)*100,0)</f>
        <v>0</v>
      </c>
    </row>
    <row r="21">
      <c r="A21" s="23" t="s">
        <v>75</v>
      </c>
      <c r="B21" s="23">
        <v>20.0</v>
      </c>
      <c r="C21" s="23" t="s">
        <v>76</v>
      </c>
      <c r="D21" s="23" t="s">
        <v>77</v>
      </c>
      <c r="E21" s="4" t="s">
        <v>78</v>
      </c>
      <c r="F21" s="23">
        <v>2026.0</v>
      </c>
      <c r="G21" s="23" t="s">
        <v>72</v>
      </c>
      <c r="H21" s="5" t="s">
        <v>79</v>
      </c>
      <c r="I21" s="6">
        <f>COUNTIF(ASISTENCIAS!$A:$A, $A21)</f>
        <v>8</v>
      </c>
      <c r="J21" s="5" t="s">
        <v>79</v>
      </c>
      <c r="K21" s="5" t="s">
        <v>79</v>
      </c>
    </row>
    <row r="22">
      <c r="A22" s="34"/>
      <c r="B22" s="34"/>
      <c r="C22" s="34"/>
      <c r="D22" s="34"/>
      <c r="E22" s="23"/>
      <c r="F22" s="34"/>
      <c r="G22" s="34"/>
      <c r="H22" s="35"/>
    </row>
    <row r="23">
      <c r="E23" s="36"/>
      <c r="H23" s="35"/>
    </row>
    <row r="24">
      <c r="E24" s="36"/>
      <c r="H24" s="35"/>
    </row>
    <row r="25">
      <c r="E25" s="36"/>
      <c r="H25" s="35"/>
    </row>
    <row r="26">
      <c r="E26" s="36"/>
      <c r="H26" s="35"/>
    </row>
    <row r="27">
      <c r="E27" s="36"/>
      <c r="H27" s="35"/>
    </row>
    <row r="28">
      <c r="E28" s="36"/>
      <c r="H28" s="35"/>
    </row>
    <row r="29">
      <c r="E29" s="36"/>
      <c r="H29" s="35"/>
    </row>
    <row r="30">
      <c r="E30" s="36"/>
      <c r="H30" s="35"/>
    </row>
    <row r="31">
      <c r="E31" s="36"/>
      <c r="H31" s="35"/>
    </row>
    <row r="32">
      <c r="E32" s="36"/>
      <c r="H32" s="35"/>
    </row>
    <row r="33">
      <c r="E33" s="36"/>
      <c r="H33" s="35"/>
    </row>
    <row r="34">
      <c r="E34" s="36"/>
      <c r="H34" s="35"/>
    </row>
    <row r="35">
      <c r="E35" s="36"/>
      <c r="H35" s="35"/>
    </row>
    <row r="36">
      <c r="E36" s="36"/>
      <c r="H36" s="35"/>
    </row>
    <row r="37">
      <c r="E37" s="36"/>
      <c r="H37" s="35"/>
    </row>
    <row r="38">
      <c r="E38" s="36"/>
      <c r="H38" s="35"/>
    </row>
    <row r="39">
      <c r="E39" s="36"/>
      <c r="H39" s="35"/>
    </row>
    <row r="40">
      <c r="E40" s="36"/>
      <c r="H40" s="35"/>
    </row>
    <row r="41">
      <c r="E41" s="36"/>
      <c r="H41" s="35"/>
    </row>
    <row r="42">
      <c r="E42" s="36"/>
      <c r="H42" s="35"/>
    </row>
    <row r="43">
      <c r="E43" s="36"/>
      <c r="H43" s="35"/>
    </row>
    <row r="44">
      <c r="E44" s="36"/>
      <c r="H44" s="35"/>
    </row>
    <row r="45">
      <c r="E45" s="36"/>
      <c r="H45" s="35"/>
    </row>
    <row r="46">
      <c r="E46" s="36"/>
      <c r="H46" s="35"/>
    </row>
    <row r="47">
      <c r="E47" s="36"/>
      <c r="H47" s="35"/>
    </row>
    <row r="48">
      <c r="E48" s="36"/>
      <c r="H48" s="35"/>
    </row>
    <row r="49">
      <c r="E49" s="36"/>
      <c r="H49" s="35"/>
    </row>
    <row r="50">
      <c r="E50" s="36"/>
      <c r="H50" s="35"/>
    </row>
    <row r="51">
      <c r="E51" s="36"/>
      <c r="H51" s="35"/>
    </row>
    <row r="52">
      <c r="E52" s="36"/>
      <c r="H52" s="35"/>
    </row>
    <row r="53">
      <c r="E53" s="36"/>
      <c r="H53" s="35"/>
    </row>
    <row r="54">
      <c r="E54" s="36"/>
      <c r="H54" s="35"/>
    </row>
    <row r="55">
      <c r="E55" s="36"/>
      <c r="H55" s="35"/>
    </row>
    <row r="56">
      <c r="E56" s="36"/>
      <c r="H56" s="35"/>
    </row>
    <row r="57">
      <c r="E57" s="36"/>
      <c r="H57" s="35"/>
    </row>
    <row r="58">
      <c r="E58" s="36"/>
      <c r="H58" s="35"/>
    </row>
    <row r="59">
      <c r="E59" s="36"/>
      <c r="H59" s="35"/>
    </row>
    <row r="60">
      <c r="E60" s="36"/>
      <c r="H60" s="35"/>
    </row>
    <row r="61">
      <c r="E61" s="36"/>
      <c r="H61" s="35"/>
    </row>
    <row r="62">
      <c r="E62" s="36"/>
      <c r="H62" s="35"/>
    </row>
    <row r="63">
      <c r="E63" s="36"/>
      <c r="H63" s="35"/>
    </row>
    <row r="64">
      <c r="E64" s="36"/>
      <c r="H64" s="35"/>
    </row>
    <row r="65">
      <c r="E65" s="36"/>
      <c r="H65" s="35"/>
    </row>
    <row r="66">
      <c r="E66" s="36"/>
      <c r="H66" s="35"/>
    </row>
    <row r="67">
      <c r="E67" s="36"/>
      <c r="H67" s="35"/>
    </row>
    <row r="68">
      <c r="E68" s="36"/>
      <c r="H68" s="35"/>
    </row>
    <row r="69">
      <c r="E69" s="36"/>
      <c r="H69" s="35"/>
    </row>
    <row r="70">
      <c r="E70" s="36"/>
      <c r="H70" s="35"/>
    </row>
    <row r="71">
      <c r="E71" s="36"/>
      <c r="H71" s="35"/>
    </row>
    <row r="72">
      <c r="E72" s="36"/>
      <c r="H72" s="35"/>
    </row>
    <row r="73">
      <c r="E73" s="36"/>
      <c r="H73" s="35"/>
    </row>
    <row r="74">
      <c r="E74" s="36"/>
      <c r="H74" s="35"/>
    </row>
    <row r="75">
      <c r="E75" s="36"/>
      <c r="H75" s="35"/>
    </row>
    <row r="76">
      <c r="E76" s="36"/>
      <c r="H76" s="35"/>
    </row>
    <row r="77">
      <c r="E77" s="36"/>
      <c r="H77" s="35"/>
    </row>
    <row r="78">
      <c r="E78" s="36"/>
      <c r="H78" s="35"/>
    </row>
    <row r="79">
      <c r="E79" s="36"/>
      <c r="H79" s="35"/>
    </row>
    <row r="80">
      <c r="E80" s="36"/>
      <c r="H80" s="35"/>
    </row>
    <row r="81">
      <c r="E81" s="36"/>
      <c r="H81" s="35"/>
    </row>
    <row r="82">
      <c r="E82" s="36"/>
      <c r="H82" s="35"/>
    </row>
    <row r="83">
      <c r="E83" s="36"/>
      <c r="H83" s="35"/>
    </row>
    <row r="84">
      <c r="E84" s="36"/>
      <c r="H84" s="35"/>
    </row>
    <row r="85">
      <c r="E85" s="36"/>
      <c r="H85" s="35"/>
    </row>
    <row r="86">
      <c r="E86" s="36"/>
      <c r="H86" s="35"/>
    </row>
    <row r="87">
      <c r="E87" s="36"/>
      <c r="H87" s="35"/>
    </row>
    <row r="88">
      <c r="E88" s="36"/>
      <c r="H88" s="35"/>
    </row>
    <row r="89">
      <c r="E89" s="36"/>
      <c r="H89" s="35"/>
    </row>
    <row r="90">
      <c r="E90" s="36"/>
      <c r="H90" s="35"/>
    </row>
    <row r="91">
      <c r="E91" s="36"/>
      <c r="H91" s="35"/>
    </row>
    <row r="92">
      <c r="E92" s="36"/>
      <c r="H92" s="35"/>
    </row>
    <row r="93">
      <c r="E93" s="36"/>
      <c r="H93" s="35"/>
    </row>
    <row r="94">
      <c r="E94" s="36"/>
      <c r="H94" s="35"/>
    </row>
    <row r="95">
      <c r="E95" s="36"/>
      <c r="H95" s="35"/>
    </row>
    <row r="96">
      <c r="E96" s="36"/>
      <c r="H96" s="35"/>
    </row>
    <row r="97">
      <c r="E97" s="36"/>
      <c r="H97" s="35"/>
    </row>
    <row r="98">
      <c r="E98" s="36"/>
      <c r="H98" s="35"/>
    </row>
    <row r="99">
      <c r="E99" s="36"/>
      <c r="H99" s="35"/>
    </row>
    <row r="100">
      <c r="E100" s="36"/>
      <c r="H100" s="35"/>
    </row>
    <row r="101">
      <c r="E101" s="36"/>
      <c r="H101" s="35"/>
    </row>
    <row r="102">
      <c r="E102" s="36"/>
      <c r="H102" s="35"/>
    </row>
    <row r="103">
      <c r="E103" s="36"/>
      <c r="H103" s="35"/>
    </row>
    <row r="104">
      <c r="E104" s="36"/>
      <c r="H104" s="35"/>
    </row>
    <row r="105">
      <c r="E105" s="36"/>
      <c r="H105" s="35"/>
    </row>
    <row r="106">
      <c r="E106" s="36"/>
      <c r="H106" s="35"/>
    </row>
    <row r="107">
      <c r="E107" s="36"/>
      <c r="H107" s="35"/>
    </row>
    <row r="108">
      <c r="E108" s="36"/>
      <c r="H108" s="35"/>
    </row>
    <row r="109">
      <c r="E109" s="36"/>
      <c r="H109" s="35"/>
    </row>
    <row r="110">
      <c r="E110" s="36"/>
      <c r="H110" s="35"/>
    </row>
    <row r="111">
      <c r="E111" s="36"/>
      <c r="H111" s="35"/>
    </row>
    <row r="112">
      <c r="E112" s="36"/>
      <c r="H112" s="35"/>
    </row>
    <row r="113">
      <c r="E113" s="36"/>
      <c r="H113" s="35"/>
    </row>
    <row r="114">
      <c r="E114" s="36"/>
      <c r="H114" s="35"/>
    </row>
    <row r="115">
      <c r="E115" s="36"/>
      <c r="H115" s="35"/>
    </row>
    <row r="116">
      <c r="E116" s="36"/>
      <c r="H116" s="35"/>
    </row>
    <row r="117">
      <c r="E117" s="36"/>
      <c r="H117" s="35"/>
    </row>
    <row r="118">
      <c r="E118" s="36"/>
      <c r="H118" s="35"/>
    </row>
    <row r="119">
      <c r="E119" s="36"/>
      <c r="H119" s="35"/>
    </row>
    <row r="120">
      <c r="E120" s="36"/>
      <c r="H120" s="35"/>
    </row>
    <row r="121">
      <c r="E121" s="36"/>
      <c r="H121" s="35"/>
    </row>
    <row r="122">
      <c r="E122" s="36"/>
      <c r="H122" s="35"/>
    </row>
    <row r="123">
      <c r="E123" s="36"/>
      <c r="H123" s="35"/>
    </row>
    <row r="124">
      <c r="E124" s="36"/>
      <c r="H124" s="35"/>
    </row>
    <row r="125">
      <c r="E125" s="36"/>
      <c r="H125" s="35"/>
    </row>
    <row r="126">
      <c r="E126" s="36"/>
      <c r="H126" s="35"/>
    </row>
    <row r="127">
      <c r="E127" s="36"/>
      <c r="H127" s="35"/>
    </row>
    <row r="128">
      <c r="E128" s="36"/>
      <c r="H128" s="35"/>
    </row>
    <row r="129">
      <c r="E129" s="36"/>
      <c r="H129" s="35"/>
    </row>
    <row r="130">
      <c r="E130" s="36"/>
      <c r="H130" s="35"/>
    </row>
    <row r="131">
      <c r="E131" s="36"/>
      <c r="H131" s="35"/>
    </row>
    <row r="132">
      <c r="E132" s="36"/>
      <c r="H132" s="35"/>
    </row>
    <row r="133">
      <c r="E133" s="36"/>
      <c r="H133" s="35"/>
    </row>
    <row r="134">
      <c r="E134" s="36"/>
      <c r="H134" s="35"/>
    </row>
    <row r="135">
      <c r="E135" s="36"/>
      <c r="H135" s="35"/>
    </row>
    <row r="136">
      <c r="E136" s="36"/>
      <c r="H136" s="35"/>
    </row>
    <row r="137">
      <c r="E137" s="36"/>
      <c r="H137" s="35"/>
    </row>
    <row r="138">
      <c r="E138" s="36"/>
      <c r="H138" s="35"/>
    </row>
    <row r="139">
      <c r="E139" s="36"/>
      <c r="H139" s="35"/>
    </row>
    <row r="140">
      <c r="E140" s="36"/>
      <c r="H140" s="35"/>
    </row>
    <row r="141">
      <c r="E141" s="36"/>
      <c r="H141" s="35"/>
    </row>
    <row r="142">
      <c r="E142" s="36"/>
      <c r="H142" s="35"/>
    </row>
    <row r="143">
      <c r="E143" s="36"/>
      <c r="H143" s="35"/>
    </row>
    <row r="144">
      <c r="E144" s="36"/>
      <c r="H144" s="35"/>
    </row>
    <row r="145">
      <c r="E145" s="36"/>
      <c r="H145" s="35"/>
    </row>
    <row r="146">
      <c r="E146" s="36"/>
      <c r="H146" s="35"/>
    </row>
    <row r="147">
      <c r="E147" s="36"/>
      <c r="H147" s="35"/>
    </row>
    <row r="148">
      <c r="E148" s="36"/>
      <c r="H148" s="35"/>
    </row>
    <row r="149">
      <c r="E149" s="36"/>
      <c r="H149" s="35"/>
    </row>
    <row r="150">
      <c r="E150" s="36"/>
      <c r="H150" s="35"/>
    </row>
    <row r="151">
      <c r="E151" s="36"/>
      <c r="H151" s="35"/>
    </row>
    <row r="152">
      <c r="E152" s="36"/>
      <c r="H152" s="35"/>
    </row>
    <row r="153">
      <c r="E153" s="36"/>
      <c r="H153" s="35"/>
    </row>
    <row r="154">
      <c r="E154" s="36"/>
      <c r="H154" s="35"/>
    </row>
    <row r="155">
      <c r="E155" s="36"/>
      <c r="H155" s="35"/>
    </row>
    <row r="156">
      <c r="E156" s="36"/>
      <c r="H156" s="35"/>
    </row>
    <row r="157">
      <c r="E157" s="36"/>
      <c r="H157" s="35"/>
    </row>
    <row r="158">
      <c r="E158" s="36"/>
      <c r="H158" s="35"/>
    </row>
    <row r="159">
      <c r="E159" s="36"/>
      <c r="H159" s="35"/>
    </row>
    <row r="160">
      <c r="E160" s="36"/>
      <c r="H160" s="35"/>
    </row>
    <row r="161">
      <c r="E161" s="36"/>
      <c r="H161" s="35"/>
    </row>
    <row r="162">
      <c r="E162" s="36"/>
      <c r="H162" s="35"/>
    </row>
    <row r="163">
      <c r="E163" s="36"/>
      <c r="H163" s="35"/>
    </row>
    <row r="164">
      <c r="E164" s="36"/>
      <c r="H164" s="35"/>
    </row>
    <row r="165">
      <c r="E165" s="36"/>
      <c r="H165" s="35"/>
    </row>
    <row r="166">
      <c r="E166" s="36"/>
      <c r="H166" s="35"/>
    </row>
    <row r="167">
      <c r="E167" s="36"/>
      <c r="H167" s="35"/>
    </row>
    <row r="168">
      <c r="E168" s="36"/>
      <c r="H168" s="35"/>
    </row>
    <row r="169">
      <c r="E169" s="36"/>
      <c r="H169" s="35"/>
    </row>
    <row r="170">
      <c r="E170" s="36"/>
      <c r="H170" s="35"/>
    </row>
    <row r="171">
      <c r="E171" s="36"/>
      <c r="H171" s="35"/>
    </row>
    <row r="172">
      <c r="E172" s="36"/>
      <c r="H172" s="35"/>
    </row>
    <row r="173">
      <c r="E173" s="36"/>
      <c r="H173" s="35"/>
    </row>
    <row r="174">
      <c r="E174" s="36"/>
      <c r="H174" s="35"/>
    </row>
    <row r="175">
      <c r="E175" s="36"/>
      <c r="H175" s="35"/>
    </row>
    <row r="176">
      <c r="E176" s="36"/>
      <c r="H176" s="35"/>
    </row>
    <row r="177">
      <c r="E177" s="36"/>
      <c r="H177" s="35"/>
    </row>
    <row r="178">
      <c r="E178" s="36"/>
      <c r="H178" s="35"/>
    </row>
    <row r="179">
      <c r="E179" s="36"/>
      <c r="H179" s="35"/>
    </row>
    <row r="180">
      <c r="E180" s="36"/>
      <c r="H180" s="35"/>
    </row>
    <row r="181">
      <c r="E181" s="36"/>
      <c r="H181" s="35"/>
    </row>
    <row r="182">
      <c r="E182" s="36"/>
      <c r="H182" s="35"/>
    </row>
    <row r="183">
      <c r="E183" s="36"/>
      <c r="H183" s="35"/>
    </row>
    <row r="184">
      <c r="E184" s="36"/>
      <c r="H184" s="35"/>
    </row>
    <row r="185">
      <c r="E185" s="36"/>
      <c r="H185" s="35"/>
    </row>
    <row r="186">
      <c r="E186" s="36"/>
      <c r="H186" s="35"/>
    </row>
    <row r="187">
      <c r="E187" s="36"/>
      <c r="H187" s="35"/>
    </row>
    <row r="188">
      <c r="E188" s="36"/>
      <c r="H188" s="35"/>
    </row>
    <row r="189">
      <c r="E189" s="36"/>
      <c r="H189" s="35"/>
    </row>
    <row r="190">
      <c r="E190" s="36"/>
      <c r="H190" s="35"/>
    </row>
    <row r="191">
      <c r="E191" s="36"/>
      <c r="H191" s="35"/>
    </row>
    <row r="192">
      <c r="E192" s="36"/>
      <c r="H192" s="35"/>
    </row>
    <row r="193">
      <c r="E193" s="36"/>
      <c r="H193" s="35"/>
    </row>
    <row r="194">
      <c r="E194" s="36"/>
      <c r="H194" s="35"/>
    </row>
    <row r="195">
      <c r="E195" s="36"/>
      <c r="H195" s="35"/>
    </row>
    <row r="196">
      <c r="E196" s="36"/>
      <c r="H196" s="35"/>
    </row>
    <row r="197">
      <c r="E197" s="36"/>
      <c r="H197" s="35"/>
    </row>
    <row r="198">
      <c r="E198" s="36"/>
      <c r="H198" s="35"/>
    </row>
    <row r="199">
      <c r="E199" s="36"/>
      <c r="H199" s="35"/>
    </row>
    <row r="200">
      <c r="E200" s="36"/>
      <c r="H200" s="35"/>
    </row>
    <row r="201">
      <c r="E201" s="36"/>
      <c r="H201" s="35"/>
    </row>
    <row r="202">
      <c r="E202" s="36"/>
      <c r="H202" s="35"/>
    </row>
    <row r="203">
      <c r="E203" s="36"/>
      <c r="H203" s="35"/>
    </row>
    <row r="204">
      <c r="E204" s="36"/>
      <c r="H204" s="35"/>
    </row>
    <row r="205">
      <c r="E205" s="36"/>
      <c r="H205" s="35"/>
    </row>
    <row r="206">
      <c r="E206" s="36"/>
      <c r="H206" s="35"/>
    </row>
    <row r="207">
      <c r="E207" s="36"/>
      <c r="H207" s="35"/>
    </row>
    <row r="208">
      <c r="E208" s="36"/>
      <c r="H208" s="35"/>
    </row>
    <row r="209">
      <c r="E209" s="36"/>
      <c r="H209" s="35"/>
    </row>
    <row r="210">
      <c r="E210" s="36"/>
      <c r="H210" s="35"/>
    </row>
    <row r="211">
      <c r="E211" s="36"/>
      <c r="H211" s="35"/>
    </row>
    <row r="212">
      <c r="E212" s="36"/>
      <c r="H212" s="35"/>
    </row>
    <row r="213">
      <c r="E213" s="36"/>
      <c r="H213" s="35"/>
    </row>
    <row r="214">
      <c r="E214" s="36"/>
      <c r="H214" s="35"/>
    </row>
    <row r="215">
      <c r="E215" s="36"/>
      <c r="H215" s="35"/>
    </row>
    <row r="216">
      <c r="E216" s="36"/>
      <c r="H216" s="35"/>
    </row>
    <row r="217">
      <c r="E217" s="36"/>
      <c r="H217" s="35"/>
    </row>
    <row r="218">
      <c r="E218" s="36"/>
      <c r="H218" s="35"/>
    </row>
    <row r="219">
      <c r="E219" s="36"/>
      <c r="H219" s="35"/>
    </row>
    <row r="220">
      <c r="E220" s="36"/>
      <c r="H220" s="35"/>
    </row>
    <row r="221">
      <c r="E221" s="36"/>
      <c r="H221" s="35"/>
    </row>
    <row r="222">
      <c r="E222" s="36"/>
      <c r="H222" s="35"/>
    </row>
    <row r="223">
      <c r="E223" s="36"/>
      <c r="H223" s="35"/>
    </row>
    <row r="224">
      <c r="E224" s="36"/>
      <c r="H224" s="35"/>
    </row>
    <row r="225">
      <c r="E225" s="36"/>
      <c r="H225" s="35"/>
    </row>
    <row r="226">
      <c r="E226" s="36"/>
      <c r="H226" s="35"/>
    </row>
    <row r="227">
      <c r="E227" s="36"/>
      <c r="H227" s="35"/>
    </row>
    <row r="228">
      <c r="E228" s="36"/>
      <c r="H228" s="35"/>
    </row>
    <row r="229">
      <c r="E229" s="36"/>
      <c r="H229" s="35"/>
    </row>
    <row r="230">
      <c r="E230" s="36"/>
      <c r="H230" s="35"/>
    </row>
    <row r="231">
      <c r="E231" s="36"/>
      <c r="H231" s="35"/>
    </row>
    <row r="232">
      <c r="E232" s="36"/>
      <c r="H232" s="35"/>
    </row>
    <row r="233">
      <c r="E233" s="36"/>
      <c r="H233" s="35"/>
    </row>
    <row r="234">
      <c r="E234" s="36"/>
      <c r="H234" s="35"/>
    </row>
    <row r="235">
      <c r="E235" s="36"/>
      <c r="H235" s="35"/>
    </row>
    <row r="236">
      <c r="E236" s="36"/>
      <c r="H236" s="35"/>
    </row>
    <row r="237">
      <c r="E237" s="36"/>
      <c r="H237" s="35"/>
    </row>
    <row r="238">
      <c r="E238" s="36"/>
      <c r="H238" s="35"/>
    </row>
    <row r="239">
      <c r="E239" s="36"/>
      <c r="H239" s="35"/>
    </row>
    <row r="240">
      <c r="E240" s="36"/>
      <c r="H240" s="35"/>
    </row>
    <row r="241">
      <c r="E241" s="36"/>
      <c r="H241" s="35"/>
    </row>
    <row r="242">
      <c r="E242" s="36"/>
      <c r="H242" s="35"/>
    </row>
    <row r="243">
      <c r="E243" s="36"/>
      <c r="H243" s="35"/>
    </row>
    <row r="244">
      <c r="E244" s="36"/>
      <c r="H244" s="35"/>
    </row>
    <row r="245">
      <c r="E245" s="36"/>
      <c r="H245" s="35"/>
    </row>
    <row r="246">
      <c r="E246" s="36"/>
      <c r="H246" s="35"/>
    </row>
    <row r="247">
      <c r="E247" s="36"/>
      <c r="H247" s="35"/>
    </row>
    <row r="248">
      <c r="E248" s="36"/>
      <c r="H248" s="35"/>
    </row>
    <row r="249">
      <c r="E249" s="36"/>
      <c r="H249" s="35"/>
    </row>
    <row r="250">
      <c r="E250" s="36"/>
      <c r="H250" s="35"/>
    </row>
    <row r="251">
      <c r="E251" s="36"/>
      <c r="H251" s="35"/>
    </row>
    <row r="252">
      <c r="E252" s="36"/>
      <c r="H252" s="35"/>
    </row>
    <row r="253">
      <c r="E253" s="36"/>
      <c r="H253" s="35"/>
    </row>
    <row r="254">
      <c r="E254" s="36"/>
      <c r="H254" s="35"/>
    </row>
    <row r="255">
      <c r="E255" s="36"/>
      <c r="H255" s="35"/>
    </row>
    <row r="256">
      <c r="E256" s="36"/>
      <c r="H256" s="35"/>
    </row>
    <row r="257">
      <c r="E257" s="36"/>
      <c r="H257" s="35"/>
    </row>
    <row r="258">
      <c r="E258" s="36"/>
      <c r="H258" s="35"/>
    </row>
    <row r="259">
      <c r="E259" s="36"/>
      <c r="H259" s="35"/>
    </row>
    <row r="260">
      <c r="E260" s="36"/>
      <c r="H260" s="35"/>
    </row>
    <row r="261">
      <c r="E261" s="36"/>
      <c r="H261" s="35"/>
    </row>
    <row r="262">
      <c r="E262" s="36"/>
      <c r="H262" s="35"/>
    </row>
    <row r="263">
      <c r="E263" s="36"/>
      <c r="H263" s="35"/>
    </row>
    <row r="264">
      <c r="E264" s="36"/>
      <c r="H264" s="35"/>
    </row>
    <row r="265">
      <c r="E265" s="36"/>
      <c r="H265" s="35"/>
    </row>
    <row r="266">
      <c r="E266" s="36"/>
      <c r="H266" s="35"/>
    </row>
    <row r="267">
      <c r="E267" s="36"/>
      <c r="H267" s="35"/>
    </row>
    <row r="268">
      <c r="E268" s="36"/>
      <c r="H268" s="35"/>
    </row>
    <row r="269">
      <c r="E269" s="36"/>
      <c r="H269" s="35"/>
    </row>
    <row r="270">
      <c r="E270" s="36"/>
      <c r="H270" s="35"/>
    </row>
    <row r="271">
      <c r="E271" s="36"/>
      <c r="H271" s="35"/>
    </row>
    <row r="272">
      <c r="E272" s="36"/>
      <c r="H272" s="35"/>
    </row>
    <row r="273">
      <c r="E273" s="36"/>
      <c r="H273" s="35"/>
    </row>
    <row r="274">
      <c r="E274" s="36"/>
      <c r="H274" s="35"/>
    </row>
    <row r="275">
      <c r="E275" s="36"/>
      <c r="H275" s="35"/>
    </row>
    <row r="276">
      <c r="E276" s="36"/>
      <c r="H276" s="35"/>
    </row>
    <row r="277">
      <c r="E277" s="36"/>
      <c r="H277" s="35"/>
    </row>
    <row r="278">
      <c r="E278" s="36"/>
      <c r="H278" s="35"/>
    </row>
    <row r="279">
      <c r="E279" s="36"/>
      <c r="H279" s="35"/>
    </row>
    <row r="280">
      <c r="E280" s="36"/>
      <c r="H280" s="35"/>
    </row>
    <row r="281">
      <c r="E281" s="36"/>
      <c r="H281" s="35"/>
    </row>
    <row r="282">
      <c r="E282" s="36"/>
      <c r="H282" s="35"/>
    </row>
    <row r="283">
      <c r="E283" s="36"/>
      <c r="H283" s="35"/>
    </row>
    <row r="284">
      <c r="E284" s="36"/>
      <c r="H284" s="35"/>
    </row>
    <row r="285">
      <c r="E285" s="36"/>
      <c r="H285" s="35"/>
    </row>
    <row r="286">
      <c r="E286" s="36"/>
      <c r="H286" s="35"/>
    </row>
    <row r="287">
      <c r="E287" s="36"/>
      <c r="H287" s="35"/>
    </row>
    <row r="288">
      <c r="E288" s="36"/>
      <c r="H288" s="35"/>
    </row>
    <row r="289">
      <c r="E289" s="36"/>
      <c r="H289" s="35"/>
    </row>
    <row r="290">
      <c r="E290" s="36"/>
      <c r="H290" s="35"/>
    </row>
    <row r="291">
      <c r="E291" s="36"/>
      <c r="H291" s="35"/>
    </row>
    <row r="292">
      <c r="E292" s="36"/>
      <c r="H292" s="35"/>
    </row>
    <row r="293">
      <c r="E293" s="36"/>
      <c r="H293" s="35"/>
    </row>
    <row r="294">
      <c r="E294" s="36"/>
      <c r="H294" s="35"/>
    </row>
    <row r="295">
      <c r="E295" s="36"/>
      <c r="H295" s="35"/>
    </row>
    <row r="296">
      <c r="E296" s="36"/>
      <c r="H296" s="35"/>
    </row>
    <row r="297">
      <c r="E297" s="36"/>
      <c r="H297" s="35"/>
    </row>
    <row r="298">
      <c r="E298" s="36"/>
      <c r="H298" s="35"/>
    </row>
    <row r="299">
      <c r="E299" s="36"/>
      <c r="H299" s="35"/>
    </row>
    <row r="300">
      <c r="E300" s="36"/>
      <c r="H300" s="35"/>
    </row>
    <row r="301">
      <c r="E301" s="36"/>
      <c r="H301" s="35"/>
    </row>
    <row r="302">
      <c r="E302" s="36"/>
      <c r="H302" s="35"/>
    </row>
    <row r="303">
      <c r="E303" s="36"/>
      <c r="H303" s="35"/>
    </row>
    <row r="304">
      <c r="E304" s="36"/>
      <c r="H304" s="35"/>
    </row>
    <row r="305">
      <c r="E305" s="36"/>
      <c r="H305" s="35"/>
    </row>
    <row r="306">
      <c r="E306" s="36"/>
      <c r="H306" s="35"/>
    </row>
    <row r="307">
      <c r="E307" s="36"/>
      <c r="H307" s="35"/>
    </row>
    <row r="308">
      <c r="E308" s="36"/>
      <c r="H308" s="35"/>
    </row>
    <row r="309">
      <c r="E309" s="36"/>
      <c r="H309" s="35"/>
    </row>
    <row r="310">
      <c r="E310" s="36"/>
      <c r="H310" s="35"/>
    </row>
    <row r="311">
      <c r="E311" s="36"/>
      <c r="H311" s="35"/>
    </row>
    <row r="312">
      <c r="E312" s="36"/>
      <c r="H312" s="35"/>
    </row>
    <row r="313">
      <c r="E313" s="36"/>
      <c r="H313" s="35"/>
    </row>
    <row r="314">
      <c r="E314" s="36"/>
      <c r="H314" s="35"/>
    </row>
    <row r="315">
      <c r="E315" s="36"/>
      <c r="H315" s="35"/>
    </row>
    <row r="316">
      <c r="E316" s="36"/>
      <c r="H316" s="35"/>
    </row>
    <row r="317">
      <c r="E317" s="36"/>
      <c r="H317" s="35"/>
    </row>
    <row r="318">
      <c r="E318" s="36"/>
      <c r="H318" s="35"/>
    </row>
    <row r="319">
      <c r="E319" s="36"/>
      <c r="H319" s="35"/>
    </row>
    <row r="320">
      <c r="E320" s="36"/>
      <c r="H320" s="35"/>
    </row>
    <row r="321">
      <c r="E321" s="36"/>
      <c r="H321" s="35"/>
    </row>
    <row r="322">
      <c r="E322" s="36"/>
      <c r="H322" s="35"/>
    </row>
    <row r="323">
      <c r="E323" s="36"/>
      <c r="H323" s="35"/>
    </row>
    <row r="324">
      <c r="E324" s="36"/>
      <c r="H324" s="35"/>
    </row>
    <row r="325">
      <c r="E325" s="36"/>
      <c r="H325" s="35"/>
    </row>
    <row r="326">
      <c r="E326" s="36"/>
      <c r="H326" s="35"/>
    </row>
    <row r="327">
      <c r="E327" s="36"/>
      <c r="H327" s="35"/>
    </row>
    <row r="328">
      <c r="E328" s="36"/>
      <c r="H328" s="35"/>
    </row>
    <row r="329">
      <c r="E329" s="36"/>
      <c r="H329" s="35"/>
    </row>
    <row r="330">
      <c r="E330" s="36"/>
      <c r="H330" s="35"/>
    </row>
    <row r="331">
      <c r="E331" s="36"/>
      <c r="H331" s="35"/>
    </row>
    <row r="332">
      <c r="E332" s="36"/>
      <c r="H332" s="35"/>
    </row>
    <row r="333">
      <c r="E333" s="36"/>
      <c r="H333" s="35"/>
    </row>
    <row r="334">
      <c r="E334" s="36"/>
      <c r="H334" s="35"/>
    </row>
    <row r="335">
      <c r="E335" s="36"/>
      <c r="H335" s="35"/>
    </row>
    <row r="336">
      <c r="E336" s="36"/>
      <c r="H336" s="35"/>
    </row>
    <row r="337">
      <c r="E337" s="36"/>
      <c r="H337" s="35"/>
    </row>
    <row r="338">
      <c r="E338" s="36"/>
      <c r="H338" s="35"/>
    </row>
    <row r="339">
      <c r="E339" s="36"/>
      <c r="H339" s="35"/>
    </row>
    <row r="340">
      <c r="E340" s="36"/>
      <c r="H340" s="35"/>
    </row>
    <row r="341">
      <c r="E341" s="36"/>
      <c r="H341" s="35"/>
    </row>
    <row r="342">
      <c r="E342" s="36"/>
      <c r="H342" s="35"/>
    </row>
    <row r="343">
      <c r="E343" s="36"/>
      <c r="H343" s="35"/>
    </row>
    <row r="344">
      <c r="E344" s="36"/>
      <c r="H344" s="35"/>
    </row>
    <row r="345">
      <c r="E345" s="36"/>
      <c r="H345" s="35"/>
    </row>
    <row r="346">
      <c r="E346" s="36"/>
      <c r="H346" s="35"/>
    </row>
    <row r="347">
      <c r="E347" s="36"/>
      <c r="H347" s="35"/>
    </row>
    <row r="348">
      <c r="E348" s="36"/>
      <c r="H348" s="35"/>
    </row>
    <row r="349">
      <c r="E349" s="36"/>
      <c r="H349" s="35"/>
    </row>
    <row r="350">
      <c r="E350" s="36"/>
      <c r="H350" s="35"/>
    </row>
    <row r="351">
      <c r="E351" s="36"/>
      <c r="H351" s="35"/>
    </row>
    <row r="352">
      <c r="E352" s="36"/>
      <c r="H352" s="35"/>
    </row>
    <row r="353">
      <c r="E353" s="36"/>
      <c r="H353" s="35"/>
    </row>
    <row r="354">
      <c r="E354" s="36"/>
      <c r="H354" s="35"/>
    </row>
    <row r="355">
      <c r="E355" s="36"/>
      <c r="H355" s="35"/>
    </row>
    <row r="356">
      <c r="E356" s="36"/>
      <c r="H356" s="35"/>
    </row>
    <row r="357">
      <c r="E357" s="36"/>
      <c r="H357" s="35"/>
    </row>
    <row r="358">
      <c r="E358" s="36"/>
      <c r="H358" s="35"/>
    </row>
    <row r="359">
      <c r="E359" s="36"/>
      <c r="H359" s="35"/>
    </row>
    <row r="360">
      <c r="E360" s="36"/>
      <c r="H360" s="35"/>
    </row>
    <row r="361">
      <c r="E361" s="36"/>
      <c r="H361" s="35"/>
    </row>
    <row r="362">
      <c r="E362" s="36"/>
      <c r="H362" s="35"/>
    </row>
    <row r="363">
      <c r="E363" s="36"/>
      <c r="H363" s="35"/>
    </row>
    <row r="364">
      <c r="E364" s="36"/>
      <c r="H364" s="35"/>
    </row>
    <row r="365">
      <c r="E365" s="36"/>
      <c r="H365" s="35"/>
    </row>
    <row r="366">
      <c r="E366" s="36"/>
      <c r="H366" s="35"/>
    </row>
    <row r="367">
      <c r="E367" s="36"/>
      <c r="H367" s="35"/>
    </row>
    <row r="368">
      <c r="E368" s="36"/>
      <c r="H368" s="35"/>
    </row>
    <row r="369">
      <c r="E369" s="36"/>
      <c r="H369" s="35"/>
    </row>
    <row r="370">
      <c r="E370" s="36"/>
      <c r="H370" s="35"/>
    </row>
    <row r="371">
      <c r="E371" s="36"/>
      <c r="H371" s="35"/>
    </row>
    <row r="372">
      <c r="E372" s="36"/>
      <c r="H372" s="35"/>
    </row>
    <row r="373">
      <c r="E373" s="36"/>
      <c r="H373" s="35"/>
    </row>
    <row r="374">
      <c r="E374" s="36"/>
      <c r="H374" s="35"/>
    </row>
    <row r="375">
      <c r="E375" s="36"/>
      <c r="H375" s="35"/>
    </row>
    <row r="376">
      <c r="E376" s="36"/>
      <c r="H376" s="35"/>
    </row>
    <row r="377">
      <c r="E377" s="36"/>
      <c r="H377" s="35"/>
    </row>
    <row r="378">
      <c r="E378" s="36"/>
      <c r="H378" s="35"/>
    </row>
    <row r="379">
      <c r="E379" s="36"/>
      <c r="H379" s="35"/>
    </row>
    <row r="380">
      <c r="E380" s="36"/>
      <c r="H380" s="35"/>
    </row>
    <row r="381">
      <c r="E381" s="36"/>
      <c r="H381" s="35"/>
    </row>
    <row r="382">
      <c r="E382" s="36"/>
      <c r="H382" s="35"/>
    </row>
    <row r="383">
      <c r="E383" s="36"/>
      <c r="H383" s="35"/>
    </row>
    <row r="384">
      <c r="E384" s="36"/>
      <c r="H384" s="35"/>
    </row>
    <row r="385">
      <c r="E385" s="36"/>
      <c r="H385" s="35"/>
    </row>
    <row r="386">
      <c r="E386" s="36"/>
      <c r="H386" s="35"/>
    </row>
    <row r="387">
      <c r="E387" s="36"/>
      <c r="H387" s="35"/>
    </row>
    <row r="388">
      <c r="E388" s="36"/>
      <c r="H388" s="35"/>
    </row>
    <row r="389">
      <c r="E389" s="36"/>
      <c r="H389" s="35"/>
    </row>
    <row r="390">
      <c r="E390" s="36"/>
      <c r="H390" s="35"/>
    </row>
    <row r="391">
      <c r="E391" s="36"/>
      <c r="H391" s="35"/>
    </row>
    <row r="392">
      <c r="E392" s="36"/>
      <c r="H392" s="35"/>
    </row>
    <row r="393">
      <c r="E393" s="36"/>
      <c r="H393" s="35"/>
    </row>
    <row r="394">
      <c r="E394" s="36"/>
      <c r="H394" s="35"/>
    </row>
    <row r="395">
      <c r="E395" s="36"/>
      <c r="H395" s="35"/>
    </row>
    <row r="396">
      <c r="E396" s="36"/>
      <c r="H396" s="35"/>
    </row>
    <row r="397">
      <c r="E397" s="36"/>
      <c r="H397" s="35"/>
    </row>
    <row r="398">
      <c r="E398" s="36"/>
      <c r="H398" s="35"/>
    </row>
    <row r="399">
      <c r="E399" s="36"/>
      <c r="H399" s="35"/>
    </row>
    <row r="400">
      <c r="E400" s="36"/>
      <c r="H400" s="35"/>
    </row>
    <row r="401">
      <c r="E401" s="36"/>
      <c r="H401" s="35"/>
    </row>
    <row r="402">
      <c r="E402" s="36"/>
      <c r="H402" s="35"/>
    </row>
    <row r="403">
      <c r="E403" s="36"/>
      <c r="H403" s="35"/>
    </row>
    <row r="404">
      <c r="E404" s="36"/>
      <c r="H404" s="35"/>
    </row>
    <row r="405">
      <c r="E405" s="36"/>
      <c r="H405" s="35"/>
    </row>
    <row r="406">
      <c r="E406" s="36"/>
      <c r="H406" s="35"/>
    </row>
    <row r="407">
      <c r="E407" s="36"/>
      <c r="H407" s="35"/>
    </row>
    <row r="408">
      <c r="E408" s="36"/>
      <c r="H408" s="35"/>
    </row>
    <row r="409">
      <c r="E409" s="36"/>
      <c r="H409" s="35"/>
    </row>
    <row r="410">
      <c r="E410" s="36"/>
      <c r="H410" s="35"/>
    </row>
    <row r="411">
      <c r="E411" s="36"/>
      <c r="H411" s="35"/>
    </row>
    <row r="412">
      <c r="E412" s="36"/>
      <c r="H412" s="35"/>
    </row>
    <row r="413">
      <c r="E413" s="36"/>
      <c r="H413" s="35"/>
    </row>
    <row r="414">
      <c r="E414" s="36"/>
      <c r="H414" s="35"/>
    </row>
    <row r="415">
      <c r="E415" s="36"/>
      <c r="H415" s="35"/>
    </row>
    <row r="416">
      <c r="E416" s="36"/>
      <c r="H416" s="35"/>
    </row>
    <row r="417">
      <c r="E417" s="36"/>
      <c r="H417" s="35"/>
    </row>
    <row r="418">
      <c r="E418" s="36"/>
      <c r="H418" s="35"/>
    </row>
    <row r="419">
      <c r="E419" s="36"/>
      <c r="H419" s="35"/>
    </row>
    <row r="420">
      <c r="E420" s="36"/>
      <c r="H420" s="35"/>
    </row>
    <row r="421">
      <c r="E421" s="36"/>
      <c r="H421" s="35"/>
    </row>
    <row r="422">
      <c r="E422" s="36"/>
      <c r="H422" s="35"/>
    </row>
    <row r="423">
      <c r="E423" s="36"/>
      <c r="H423" s="35"/>
    </row>
    <row r="424">
      <c r="E424" s="36"/>
      <c r="H424" s="35"/>
    </row>
    <row r="425">
      <c r="E425" s="36"/>
      <c r="H425" s="35"/>
    </row>
    <row r="426">
      <c r="E426" s="36"/>
      <c r="H426" s="35"/>
    </row>
    <row r="427">
      <c r="E427" s="36"/>
      <c r="H427" s="35"/>
    </row>
    <row r="428">
      <c r="E428" s="36"/>
      <c r="H428" s="35"/>
    </row>
    <row r="429">
      <c r="E429" s="36"/>
      <c r="H429" s="35"/>
    </row>
    <row r="430">
      <c r="E430" s="36"/>
      <c r="H430" s="35"/>
    </row>
    <row r="431">
      <c r="E431" s="36"/>
      <c r="H431" s="35"/>
    </row>
    <row r="432">
      <c r="E432" s="36"/>
      <c r="H432" s="35"/>
    </row>
    <row r="433">
      <c r="E433" s="36"/>
      <c r="H433" s="35"/>
    </row>
    <row r="434">
      <c r="E434" s="36"/>
      <c r="H434" s="35"/>
    </row>
    <row r="435">
      <c r="E435" s="36"/>
      <c r="H435" s="35"/>
    </row>
    <row r="436">
      <c r="E436" s="36"/>
      <c r="H436" s="35"/>
    </row>
    <row r="437">
      <c r="E437" s="36"/>
      <c r="H437" s="35"/>
    </row>
    <row r="438">
      <c r="E438" s="36"/>
      <c r="H438" s="35"/>
    </row>
    <row r="439">
      <c r="E439" s="36"/>
      <c r="H439" s="35"/>
    </row>
    <row r="440">
      <c r="E440" s="36"/>
      <c r="H440" s="35"/>
    </row>
    <row r="441">
      <c r="E441" s="36"/>
      <c r="H441" s="35"/>
    </row>
    <row r="442">
      <c r="E442" s="36"/>
      <c r="H442" s="35"/>
    </row>
    <row r="443">
      <c r="E443" s="36"/>
      <c r="H443" s="35"/>
    </row>
    <row r="444">
      <c r="E444" s="36"/>
      <c r="H444" s="35"/>
    </row>
    <row r="445">
      <c r="E445" s="36"/>
      <c r="H445" s="35"/>
    </row>
    <row r="446">
      <c r="E446" s="36"/>
      <c r="H446" s="35"/>
    </row>
    <row r="447">
      <c r="E447" s="36"/>
      <c r="H447" s="35"/>
    </row>
    <row r="448">
      <c r="E448" s="36"/>
      <c r="H448" s="35"/>
    </row>
    <row r="449">
      <c r="E449" s="36"/>
      <c r="H449" s="35"/>
    </row>
    <row r="450">
      <c r="E450" s="36"/>
      <c r="H450" s="35"/>
    </row>
    <row r="451">
      <c r="E451" s="36"/>
      <c r="H451" s="35"/>
    </row>
    <row r="452">
      <c r="E452" s="36"/>
      <c r="H452" s="35"/>
    </row>
    <row r="453">
      <c r="E453" s="36"/>
      <c r="H453" s="35"/>
    </row>
    <row r="454">
      <c r="E454" s="36"/>
      <c r="H454" s="35"/>
    </row>
    <row r="455">
      <c r="E455" s="36"/>
      <c r="H455" s="35"/>
    </row>
    <row r="456">
      <c r="E456" s="36"/>
      <c r="H456" s="35"/>
    </row>
    <row r="457">
      <c r="E457" s="36"/>
      <c r="H457" s="35"/>
    </row>
    <row r="458">
      <c r="E458" s="36"/>
      <c r="H458" s="35"/>
    </row>
    <row r="459">
      <c r="E459" s="36"/>
      <c r="H459" s="35"/>
    </row>
    <row r="460">
      <c r="E460" s="36"/>
      <c r="H460" s="35"/>
    </row>
    <row r="461">
      <c r="E461" s="36"/>
      <c r="H461" s="35"/>
    </row>
    <row r="462">
      <c r="E462" s="36"/>
      <c r="H462" s="35"/>
    </row>
    <row r="463">
      <c r="E463" s="36"/>
      <c r="H463" s="35"/>
    </row>
    <row r="464">
      <c r="E464" s="36"/>
      <c r="H464" s="35"/>
    </row>
    <row r="465">
      <c r="E465" s="36"/>
      <c r="H465" s="35"/>
    </row>
    <row r="466">
      <c r="E466" s="36"/>
      <c r="H466" s="35"/>
    </row>
    <row r="467">
      <c r="E467" s="36"/>
      <c r="H467" s="35"/>
    </row>
    <row r="468">
      <c r="E468" s="36"/>
      <c r="H468" s="35"/>
    </row>
    <row r="469">
      <c r="E469" s="36"/>
      <c r="H469" s="35"/>
    </row>
    <row r="470">
      <c r="E470" s="36"/>
      <c r="H470" s="35"/>
    </row>
    <row r="471">
      <c r="E471" s="36"/>
      <c r="H471" s="35"/>
    </row>
    <row r="472">
      <c r="E472" s="36"/>
      <c r="H472" s="35"/>
    </row>
    <row r="473">
      <c r="E473" s="36"/>
      <c r="H473" s="35"/>
    </row>
    <row r="474">
      <c r="E474" s="36"/>
      <c r="H474" s="35"/>
    </row>
    <row r="475">
      <c r="E475" s="36"/>
      <c r="H475" s="35"/>
    </row>
    <row r="476">
      <c r="E476" s="36"/>
      <c r="H476" s="35"/>
    </row>
    <row r="477">
      <c r="E477" s="36"/>
      <c r="H477" s="35"/>
    </row>
    <row r="478">
      <c r="E478" s="36"/>
      <c r="H478" s="35"/>
    </row>
    <row r="479">
      <c r="E479" s="36"/>
      <c r="H479" s="35"/>
    </row>
    <row r="480">
      <c r="E480" s="36"/>
      <c r="H480" s="35"/>
    </row>
    <row r="481">
      <c r="E481" s="36"/>
      <c r="H481" s="35"/>
    </row>
    <row r="482">
      <c r="E482" s="36"/>
      <c r="H482" s="35"/>
    </row>
    <row r="483">
      <c r="E483" s="36"/>
      <c r="H483" s="35"/>
    </row>
    <row r="484">
      <c r="E484" s="36"/>
      <c r="H484" s="35"/>
    </row>
    <row r="485">
      <c r="E485" s="36"/>
      <c r="H485" s="35"/>
    </row>
    <row r="486">
      <c r="E486" s="36"/>
      <c r="H486" s="35"/>
    </row>
    <row r="487">
      <c r="E487" s="36"/>
      <c r="H487" s="35"/>
    </row>
    <row r="488">
      <c r="E488" s="36"/>
      <c r="H488" s="35"/>
    </row>
    <row r="489">
      <c r="E489" s="36"/>
      <c r="H489" s="35"/>
    </row>
    <row r="490">
      <c r="E490" s="36"/>
      <c r="H490" s="35"/>
    </row>
    <row r="491">
      <c r="E491" s="36"/>
      <c r="H491" s="35"/>
    </row>
    <row r="492">
      <c r="E492" s="36"/>
      <c r="H492" s="35"/>
    </row>
    <row r="493">
      <c r="E493" s="36"/>
      <c r="H493" s="35"/>
    </row>
    <row r="494">
      <c r="E494" s="36"/>
      <c r="H494" s="35"/>
    </row>
    <row r="495">
      <c r="E495" s="36"/>
      <c r="H495" s="35"/>
    </row>
    <row r="496">
      <c r="E496" s="36"/>
      <c r="H496" s="35"/>
    </row>
    <row r="497">
      <c r="E497" s="36"/>
      <c r="H497" s="35"/>
    </row>
    <row r="498">
      <c r="E498" s="36"/>
      <c r="H498" s="35"/>
    </row>
    <row r="499">
      <c r="E499" s="36"/>
      <c r="H499" s="35"/>
    </row>
    <row r="500">
      <c r="E500" s="36"/>
      <c r="H500" s="35"/>
    </row>
    <row r="501">
      <c r="E501" s="36"/>
      <c r="H501" s="35"/>
    </row>
    <row r="502">
      <c r="E502" s="36"/>
      <c r="H502" s="35"/>
    </row>
    <row r="503">
      <c r="E503" s="36"/>
      <c r="H503" s="35"/>
    </row>
    <row r="504">
      <c r="E504" s="36"/>
      <c r="H504" s="35"/>
    </row>
    <row r="505">
      <c r="E505" s="36"/>
      <c r="H505" s="35"/>
    </row>
    <row r="506">
      <c r="E506" s="36"/>
      <c r="H506" s="35"/>
    </row>
    <row r="507">
      <c r="E507" s="36"/>
      <c r="H507" s="35"/>
    </row>
    <row r="508">
      <c r="E508" s="36"/>
      <c r="H508" s="35"/>
    </row>
    <row r="509">
      <c r="E509" s="36"/>
      <c r="H509" s="35"/>
    </row>
    <row r="510">
      <c r="E510" s="36"/>
      <c r="H510" s="35"/>
    </row>
    <row r="511">
      <c r="E511" s="36"/>
      <c r="H511" s="35"/>
    </row>
    <row r="512">
      <c r="E512" s="36"/>
      <c r="H512" s="35"/>
    </row>
    <row r="513">
      <c r="E513" s="36"/>
      <c r="H513" s="35"/>
    </row>
    <row r="514">
      <c r="E514" s="36"/>
      <c r="H514" s="35"/>
    </row>
    <row r="515">
      <c r="E515" s="36"/>
      <c r="H515" s="35"/>
    </row>
    <row r="516">
      <c r="E516" s="36"/>
      <c r="H516" s="35"/>
    </row>
    <row r="517">
      <c r="E517" s="36"/>
      <c r="H517" s="35"/>
    </row>
    <row r="518">
      <c r="E518" s="36"/>
      <c r="H518" s="35"/>
    </row>
    <row r="519">
      <c r="E519" s="36"/>
      <c r="H519" s="35"/>
    </row>
    <row r="520">
      <c r="E520" s="36"/>
      <c r="H520" s="35"/>
    </row>
    <row r="521">
      <c r="E521" s="36"/>
      <c r="H521" s="35"/>
    </row>
    <row r="522">
      <c r="E522" s="36"/>
      <c r="H522" s="35"/>
    </row>
    <row r="523">
      <c r="E523" s="36"/>
      <c r="H523" s="35"/>
    </row>
    <row r="524">
      <c r="E524" s="36"/>
      <c r="H524" s="35"/>
    </row>
    <row r="525">
      <c r="E525" s="36"/>
      <c r="H525" s="35"/>
    </row>
    <row r="526">
      <c r="E526" s="36"/>
      <c r="H526" s="35"/>
    </row>
    <row r="527">
      <c r="E527" s="36"/>
      <c r="H527" s="35"/>
    </row>
    <row r="528">
      <c r="E528" s="36"/>
      <c r="H528" s="35"/>
    </row>
    <row r="529">
      <c r="E529" s="36"/>
      <c r="H529" s="35"/>
    </row>
    <row r="530">
      <c r="E530" s="36"/>
      <c r="H530" s="35"/>
    </row>
    <row r="531">
      <c r="E531" s="36"/>
      <c r="H531" s="35"/>
    </row>
    <row r="532">
      <c r="E532" s="36"/>
      <c r="H532" s="35"/>
    </row>
    <row r="533">
      <c r="E533" s="36"/>
      <c r="H533" s="35"/>
    </row>
    <row r="534">
      <c r="E534" s="36"/>
      <c r="H534" s="35"/>
    </row>
    <row r="535">
      <c r="E535" s="36"/>
      <c r="H535" s="35"/>
    </row>
    <row r="536">
      <c r="E536" s="36"/>
      <c r="H536" s="35"/>
    </row>
    <row r="537">
      <c r="E537" s="36"/>
      <c r="H537" s="35"/>
    </row>
    <row r="538">
      <c r="E538" s="36"/>
      <c r="H538" s="35"/>
    </row>
    <row r="539">
      <c r="E539" s="36"/>
      <c r="H539" s="35"/>
    </row>
    <row r="540">
      <c r="E540" s="36"/>
      <c r="H540" s="35"/>
    </row>
    <row r="541">
      <c r="E541" s="36"/>
      <c r="H541" s="35"/>
    </row>
    <row r="542">
      <c r="E542" s="36"/>
      <c r="H542" s="35"/>
    </row>
    <row r="543">
      <c r="E543" s="36"/>
      <c r="H543" s="35"/>
    </row>
    <row r="544">
      <c r="E544" s="36"/>
      <c r="H544" s="35"/>
    </row>
    <row r="545">
      <c r="E545" s="36"/>
      <c r="H545" s="35"/>
    </row>
    <row r="546">
      <c r="E546" s="36"/>
      <c r="H546" s="35"/>
    </row>
    <row r="547">
      <c r="E547" s="36"/>
      <c r="H547" s="35"/>
    </row>
    <row r="548">
      <c r="E548" s="36"/>
      <c r="H548" s="35"/>
    </row>
    <row r="549">
      <c r="E549" s="36"/>
      <c r="H549" s="35"/>
    </row>
    <row r="550">
      <c r="E550" s="36"/>
      <c r="H550" s="35"/>
    </row>
    <row r="551">
      <c r="E551" s="36"/>
      <c r="H551" s="35"/>
    </row>
    <row r="552">
      <c r="E552" s="36"/>
      <c r="H552" s="35"/>
    </row>
    <row r="553">
      <c r="E553" s="36"/>
      <c r="H553" s="35"/>
    </row>
    <row r="554">
      <c r="E554" s="36"/>
      <c r="H554" s="35"/>
    </row>
    <row r="555">
      <c r="E555" s="36"/>
      <c r="H555" s="35"/>
    </row>
    <row r="556">
      <c r="E556" s="36"/>
      <c r="H556" s="35"/>
    </row>
    <row r="557">
      <c r="E557" s="36"/>
      <c r="H557" s="35"/>
    </row>
    <row r="558">
      <c r="E558" s="36"/>
      <c r="H558" s="35"/>
    </row>
    <row r="559">
      <c r="E559" s="36"/>
      <c r="H559" s="35"/>
    </row>
    <row r="560">
      <c r="E560" s="36"/>
      <c r="H560" s="35"/>
    </row>
    <row r="561">
      <c r="E561" s="36"/>
      <c r="H561" s="35"/>
    </row>
    <row r="562">
      <c r="E562" s="36"/>
      <c r="H562" s="35"/>
    </row>
    <row r="563">
      <c r="E563" s="36"/>
      <c r="H563" s="35"/>
    </row>
    <row r="564">
      <c r="E564" s="36"/>
      <c r="H564" s="35"/>
    </row>
    <row r="565">
      <c r="E565" s="36"/>
      <c r="H565" s="35"/>
    </row>
    <row r="566">
      <c r="E566" s="36"/>
      <c r="H566" s="35"/>
    </row>
    <row r="567">
      <c r="E567" s="36"/>
      <c r="H567" s="35"/>
    </row>
    <row r="568">
      <c r="E568" s="36"/>
      <c r="H568" s="35"/>
    </row>
    <row r="569">
      <c r="E569" s="36"/>
      <c r="H569" s="35"/>
    </row>
    <row r="570">
      <c r="E570" s="36"/>
      <c r="H570" s="35"/>
    </row>
    <row r="571">
      <c r="E571" s="36"/>
      <c r="H571" s="35"/>
    </row>
    <row r="572">
      <c r="E572" s="36"/>
      <c r="H572" s="35"/>
    </row>
    <row r="573">
      <c r="E573" s="36"/>
      <c r="H573" s="35"/>
    </row>
    <row r="574">
      <c r="E574" s="36"/>
      <c r="H574" s="35"/>
    </row>
    <row r="575">
      <c r="E575" s="36"/>
      <c r="H575" s="35"/>
    </row>
    <row r="576">
      <c r="E576" s="36"/>
      <c r="H576" s="35"/>
    </row>
    <row r="577">
      <c r="E577" s="36"/>
      <c r="H577" s="35"/>
    </row>
    <row r="578">
      <c r="E578" s="36"/>
      <c r="H578" s="35"/>
    </row>
    <row r="579">
      <c r="E579" s="36"/>
      <c r="H579" s="35"/>
    </row>
    <row r="580">
      <c r="E580" s="36"/>
      <c r="H580" s="35"/>
    </row>
    <row r="581">
      <c r="E581" s="36"/>
      <c r="H581" s="35"/>
    </row>
    <row r="582">
      <c r="E582" s="36"/>
      <c r="H582" s="35"/>
    </row>
    <row r="583">
      <c r="E583" s="36"/>
      <c r="H583" s="35"/>
    </row>
    <row r="584">
      <c r="E584" s="36"/>
      <c r="H584" s="35"/>
    </row>
    <row r="585">
      <c r="E585" s="36"/>
      <c r="H585" s="35"/>
    </row>
    <row r="586">
      <c r="E586" s="36"/>
      <c r="H586" s="35"/>
    </row>
    <row r="587">
      <c r="E587" s="36"/>
      <c r="H587" s="35"/>
    </row>
    <row r="588">
      <c r="E588" s="36"/>
      <c r="H588" s="35"/>
    </row>
    <row r="589">
      <c r="E589" s="36"/>
      <c r="H589" s="35"/>
    </row>
    <row r="590">
      <c r="E590" s="36"/>
      <c r="H590" s="35"/>
    </row>
    <row r="591">
      <c r="E591" s="36"/>
      <c r="H591" s="35"/>
    </row>
    <row r="592">
      <c r="E592" s="36"/>
      <c r="H592" s="35"/>
    </row>
    <row r="593">
      <c r="E593" s="36"/>
      <c r="H593" s="35"/>
    </row>
    <row r="594">
      <c r="E594" s="36"/>
      <c r="H594" s="35"/>
    </row>
    <row r="595">
      <c r="E595" s="36"/>
      <c r="H595" s="35"/>
    </row>
    <row r="596">
      <c r="E596" s="36"/>
      <c r="H596" s="35"/>
    </row>
    <row r="597">
      <c r="E597" s="36"/>
      <c r="H597" s="35"/>
    </row>
    <row r="598">
      <c r="E598" s="36"/>
      <c r="H598" s="35"/>
    </row>
    <row r="599">
      <c r="E599" s="36"/>
      <c r="H599" s="35"/>
    </row>
    <row r="600">
      <c r="E600" s="36"/>
      <c r="H600" s="35"/>
    </row>
    <row r="601">
      <c r="E601" s="36"/>
      <c r="H601" s="35"/>
    </row>
    <row r="602">
      <c r="E602" s="36"/>
      <c r="H602" s="35"/>
    </row>
    <row r="603">
      <c r="E603" s="36"/>
      <c r="H603" s="35"/>
    </row>
    <row r="604">
      <c r="E604" s="36"/>
      <c r="H604" s="35"/>
    </row>
    <row r="605">
      <c r="E605" s="36"/>
      <c r="H605" s="35"/>
    </row>
    <row r="606">
      <c r="E606" s="36"/>
      <c r="H606" s="35"/>
    </row>
    <row r="607">
      <c r="E607" s="36"/>
      <c r="H607" s="35"/>
    </row>
    <row r="608">
      <c r="E608" s="36"/>
      <c r="H608" s="35"/>
    </row>
    <row r="609">
      <c r="E609" s="36"/>
      <c r="H609" s="35"/>
    </row>
    <row r="610">
      <c r="E610" s="36"/>
      <c r="H610" s="35"/>
    </row>
    <row r="611">
      <c r="E611" s="36"/>
      <c r="H611" s="35"/>
    </row>
    <row r="612">
      <c r="E612" s="36"/>
      <c r="H612" s="35"/>
    </row>
    <row r="613">
      <c r="E613" s="36"/>
      <c r="H613" s="35"/>
    </row>
    <row r="614">
      <c r="E614" s="36"/>
      <c r="H614" s="35"/>
    </row>
    <row r="615">
      <c r="E615" s="36"/>
      <c r="H615" s="35"/>
    </row>
    <row r="616">
      <c r="E616" s="36"/>
      <c r="H616" s="35"/>
    </row>
    <row r="617">
      <c r="E617" s="36"/>
      <c r="H617" s="35"/>
    </row>
    <row r="618">
      <c r="E618" s="36"/>
      <c r="H618" s="35"/>
    </row>
    <row r="619">
      <c r="E619" s="36"/>
      <c r="H619" s="35"/>
    </row>
    <row r="620">
      <c r="E620" s="36"/>
      <c r="H620" s="35"/>
    </row>
    <row r="621">
      <c r="E621" s="36"/>
      <c r="H621" s="35"/>
    </row>
    <row r="622">
      <c r="E622" s="36"/>
      <c r="H622" s="35"/>
    </row>
    <row r="623">
      <c r="E623" s="36"/>
      <c r="H623" s="35"/>
    </row>
    <row r="624">
      <c r="E624" s="36"/>
      <c r="H624" s="35"/>
    </row>
    <row r="625">
      <c r="E625" s="36"/>
      <c r="H625" s="35"/>
    </row>
    <row r="626">
      <c r="E626" s="36"/>
      <c r="H626" s="35"/>
    </row>
    <row r="627">
      <c r="E627" s="36"/>
      <c r="H627" s="35"/>
    </row>
    <row r="628">
      <c r="E628" s="36"/>
      <c r="H628" s="35"/>
    </row>
    <row r="629">
      <c r="E629" s="36"/>
      <c r="H629" s="35"/>
    </row>
    <row r="630">
      <c r="E630" s="36"/>
      <c r="H630" s="35"/>
    </row>
    <row r="631">
      <c r="E631" s="36"/>
      <c r="H631" s="35"/>
    </row>
    <row r="632">
      <c r="E632" s="36"/>
      <c r="H632" s="35"/>
    </row>
    <row r="633">
      <c r="E633" s="36"/>
      <c r="H633" s="35"/>
    </row>
    <row r="634">
      <c r="E634" s="36"/>
      <c r="H634" s="35"/>
    </row>
    <row r="635">
      <c r="E635" s="36"/>
      <c r="H635" s="35"/>
    </row>
    <row r="636">
      <c r="E636" s="36"/>
      <c r="H636" s="35"/>
    </row>
    <row r="637">
      <c r="E637" s="36"/>
      <c r="H637" s="35"/>
    </row>
    <row r="638">
      <c r="E638" s="36"/>
      <c r="H638" s="35"/>
    </row>
    <row r="639">
      <c r="E639" s="36"/>
      <c r="H639" s="35"/>
    </row>
    <row r="640">
      <c r="E640" s="36"/>
      <c r="H640" s="35"/>
    </row>
    <row r="641">
      <c r="E641" s="36"/>
      <c r="H641" s="35"/>
    </row>
    <row r="642">
      <c r="E642" s="36"/>
      <c r="H642" s="35"/>
    </row>
    <row r="643">
      <c r="E643" s="36"/>
      <c r="H643" s="35"/>
    </row>
    <row r="644">
      <c r="E644" s="36"/>
      <c r="H644" s="35"/>
    </row>
    <row r="645">
      <c r="E645" s="36"/>
      <c r="H645" s="35"/>
    </row>
    <row r="646">
      <c r="E646" s="36"/>
      <c r="H646" s="35"/>
    </row>
    <row r="647">
      <c r="E647" s="36"/>
      <c r="H647" s="35"/>
    </row>
    <row r="648">
      <c r="E648" s="36"/>
      <c r="H648" s="35"/>
    </row>
    <row r="649">
      <c r="E649" s="36"/>
      <c r="H649" s="35"/>
    </row>
    <row r="650">
      <c r="E650" s="36"/>
      <c r="H650" s="35"/>
    </row>
    <row r="651">
      <c r="E651" s="36"/>
      <c r="H651" s="35"/>
    </row>
    <row r="652">
      <c r="E652" s="36"/>
      <c r="H652" s="35"/>
    </row>
    <row r="653">
      <c r="E653" s="36"/>
      <c r="H653" s="35"/>
    </row>
    <row r="654">
      <c r="E654" s="36"/>
      <c r="H654" s="35"/>
    </row>
    <row r="655">
      <c r="E655" s="36"/>
      <c r="H655" s="35"/>
    </row>
    <row r="656">
      <c r="E656" s="36"/>
      <c r="H656" s="35"/>
    </row>
    <row r="657">
      <c r="E657" s="36"/>
      <c r="H657" s="35"/>
    </row>
    <row r="658">
      <c r="E658" s="36"/>
      <c r="H658" s="35"/>
    </row>
    <row r="659">
      <c r="E659" s="36"/>
      <c r="H659" s="35"/>
    </row>
    <row r="660">
      <c r="E660" s="36"/>
      <c r="H660" s="35"/>
    </row>
    <row r="661">
      <c r="E661" s="36"/>
      <c r="H661" s="35"/>
    </row>
    <row r="662">
      <c r="E662" s="36"/>
      <c r="H662" s="35"/>
    </row>
    <row r="663">
      <c r="E663" s="36"/>
      <c r="H663" s="35"/>
    </row>
    <row r="664">
      <c r="E664" s="36"/>
      <c r="H664" s="35"/>
    </row>
    <row r="665">
      <c r="E665" s="36"/>
      <c r="H665" s="35"/>
    </row>
    <row r="666">
      <c r="E666" s="36"/>
      <c r="H666" s="35"/>
    </row>
    <row r="667">
      <c r="E667" s="36"/>
      <c r="H667" s="35"/>
    </row>
    <row r="668">
      <c r="E668" s="36"/>
      <c r="H668" s="35"/>
    </row>
    <row r="669">
      <c r="E669" s="36"/>
      <c r="H669" s="35"/>
    </row>
    <row r="670">
      <c r="E670" s="36"/>
      <c r="H670" s="35"/>
    </row>
    <row r="671">
      <c r="E671" s="36"/>
      <c r="H671" s="35"/>
    </row>
    <row r="672">
      <c r="E672" s="36"/>
      <c r="H672" s="35"/>
    </row>
    <row r="673">
      <c r="E673" s="36"/>
      <c r="H673" s="35"/>
    </row>
    <row r="674">
      <c r="E674" s="36"/>
      <c r="H674" s="35"/>
    </row>
    <row r="675">
      <c r="E675" s="36"/>
      <c r="H675" s="35"/>
    </row>
    <row r="676">
      <c r="E676" s="36"/>
      <c r="H676" s="35"/>
    </row>
    <row r="677">
      <c r="E677" s="36"/>
      <c r="H677" s="35"/>
    </row>
    <row r="678">
      <c r="E678" s="36"/>
      <c r="H678" s="35"/>
    </row>
    <row r="679">
      <c r="E679" s="36"/>
      <c r="H679" s="35"/>
    </row>
    <row r="680">
      <c r="E680" s="36"/>
      <c r="H680" s="35"/>
    </row>
    <row r="681">
      <c r="E681" s="36"/>
      <c r="H681" s="35"/>
    </row>
    <row r="682">
      <c r="E682" s="36"/>
      <c r="H682" s="35"/>
    </row>
    <row r="683">
      <c r="E683" s="36"/>
      <c r="H683" s="35"/>
    </row>
    <row r="684">
      <c r="E684" s="36"/>
      <c r="H684" s="35"/>
    </row>
    <row r="685">
      <c r="E685" s="36"/>
      <c r="H685" s="35"/>
    </row>
    <row r="686">
      <c r="E686" s="36"/>
      <c r="H686" s="35"/>
    </row>
    <row r="687">
      <c r="E687" s="36"/>
      <c r="H687" s="35"/>
    </row>
    <row r="688">
      <c r="E688" s="36"/>
      <c r="H688" s="35"/>
    </row>
    <row r="689">
      <c r="E689" s="36"/>
      <c r="H689" s="35"/>
    </row>
    <row r="690">
      <c r="E690" s="36"/>
      <c r="H690" s="35"/>
    </row>
    <row r="691">
      <c r="E691" s="36"/>
      <c r="H691" s="35"/>
    </row>
    <row r="692">
      <c r="E692" s="36"/>
      <c r="H692" s="35"/>
    </row>
    <row r="693">
      <c r="E693" s="36"/>
      <c r="H693" s="35"/>
    </row>
    <row r="694">
      <c r="E694" s="36"/>
      <c r="H694" s="35"/>
    </row>
    <row r="695">
      <c r="E695" s="36"/>
      <c r="H695" s="35"/>
    </row>
    <row r="696">
      <c r="E696" s="36"/>
      <c r="H696" s="35"/>
    </row>
    <row r="697">
      <c r="E697" s="36"/>
      <c r="H697" s="35"/>
    </row>
    <row r="698">
      <c r="E698" s="36"/>
      <c r="H698" s="35"/>
    </row>
    <row r="699">
      <c r="E699" s="36"/>
      <c r="H699" s="35"/>
    </row>
    <row r="700">
      <c r="E700" s="36"/>
      <c r="H700" s="35"/>
    </row>
    <row r="701">
      <c r="E701" s="36"/>
      <c r="H701" s="35"/>
    </row>
    <row r="702">
      <c r="E702" s="36"/>
      <c r="H702" s="35"/>
    </row>
    <row r="703">
      <c r="E703" s="36"/>
      <c r="H703" s="35"/>
    </row>
    <row r="704">
      <c r="E704" s="36"/>
      <c r="H704" s="35"/>
    </row>
    <row r="705">
      <c r="E705" s="36"/>
      <c r="H705" s="35"/>
    </row>
    <row r="706">
      <c r="E706" s="36"/>
      <c r="H706" s="35"/>
    </row>
    <row r="707">
      <c r="E707" s="36"/>
      <c r="H707" s="35"/>
    </row>
    <row r="708">
      <c r="E708" s="36"/>
      <c r="H708" s="35"/>
    </row>
    <row r="709">
      <c r="E709" s="36"/>
      <c r="H709" s="35"/>
    </row>
    <row r="710">
      <c r="E710" s="36"/>
      <c r="H710" s="35"/>
    </row>
    <row r="711">
      <c r="E711" s="36"/>
      <c r="H711" s="35"/>
    </row>
    <row r="712">
      <c r="E712" s="36"/>
      <c r="H712" s="35"/>
    </row>
    <row r="713">
      <c r="E713" s="36"/>
      <c r="H713" s="35"/>
    </row>
    <row r="714">
      <c r="E714" s="36"/>
      <c r="H714" s="35"/>
    </row>
    <row r="715">
      <c r="E715" s="36"/>
      <c r="H715" s="35"/>
    </row>
    <row r="716">
      <c r="E716" s="36"/>
      <c r="H716" s="35"/>
    </row>
    <row r="717">
      <c r="E717" s="36"/>
      <c r="H717" s="35"/>
    </row>
    <row r="718">
      <c r="E718" s="36"/>
      <c r="H718" s="35"/>
    </row>
    <row r="719">
      <c r="E719" s="36"/>
      <c r="H719" s="35"/>
    </row>
    <row r="720">
      <c r="E720" s="36"/>
      <c r="H720" s="35"/>
    </row>
    <row r="721">
      <c r="E721" s="36"/>
      <c r="H721" s="35"/>
    </row>
    <row r="722">
      <c r="E722" s="36"/>
      <c r="H722" s="35"/>
    </row>
    <row r="723">
      <c r="E723" s="36"/>
      <c r="H723" s="35"/>
    </row>
    <row r="724">
      <c r="E724" s="36"/>
      <c r="H724" s="35"/>
    </row>
    <row r="725">
      <c r="E725" s="36"/>
      <c r="H725" s="35"/>
    </row>
    <row r="726">
      <c r="E726" s="36"/>
      <c r="H726" s="35"/>
    </row>
    <row r="727">
      <c r="E727" s="36"/>
      <c r="H727" s="35"/>
    </row>
    <row r="728">
      <c r="E728" s="36"/>
      <c r="H728" s="35"/>
    </row>
    <row r="729">
      <c r="E729" s="36"/>
      <c r="H729" s="35"/>
    </row>
    <row r="730">
      <c r="E730" s="36"/>
      <c r="H730" s="35"/>
    </row>
    <row r="731">
      <c r="E731" s="36"/>
      <c r="H731" s="35"/>
    </row>
    <row r="732">
      <c r="E732" s="36"/>
      <c r="H732" s="35"/>
    </row>
    <row r="733">
      <c r="E733" s="36"/>
      <c r="H733" s="35"/>
    </row>
    <row r="734">
      <c r="E734" s="36"/>
      <c r="H734" s="35"/>
    </row>
    <row r="735">
      <c r="E735" s="36"/>
      <c r="H735" s="35"/>
    </row>
    <row r="736">
      <c r="E736" s="36"/>
      <c r="H736" s="35"/>
    </row>
    <row r="737">
      <c r="E737" s="36"/>
      <c r="H737" s="35"/>
    </row>
    <row r="738">
      <c r="E738" s="36"/>
      <c r="H738" s="35"/>
    </row>
    <row r="739">
      <c r="E739" s="36"/>
      <c r="H739" s="35"/>
    </row>
    <row r="740">
      <c r="E740" s="36"/>
      <c r="H740" s="35"/>
    </row>
    <row r="741">
      <c r="E741" s="36"/>
      <c r="H741" s="35"/>
    </row>
    <row r="742">
      <c r="E742" s="36"/>
      <c r="H742" s="35"/>
    </row>
    <row r="743">
      <c r="E743" s="36"/>
      <c r="H743" s="35"/>
    </row>
    <row r="744">
      <c r="E744" s="36"/>
      <c r="H744" s="35"/>
    </row>
    <row r="745">
      <c r="E745" s="36"/>
      <c r="H745" s="35"/>
    </row>
    <row r="746">
      <c r="E746" s="36"/>
      <c r="H746" s="35"/>
    </row>
    <row r="747">
      <c r="E747" s="36"/>
      <c r="H747" s="35"/>
    </row>
    <row r="748">
      <c r="E748" s="36"/>
      <c r="H748" s="35"/>
    </row>
    <row r="749">
      <c r="E749" s="36"/>
      <c r="H749" s="35"/>
    </row>
    <row r="750">
      <c r="E750" s="36"/>
      <c r="H750" s="35"/>
    </row>
    <row r="751">
      <c r="E751" s="36"/>
      <c r="H751" s="35"/>
    </row>
    <row r="752">
      <c r="E752" s="36"/>
      <c r="H752" s="35"/>
    </row>
    <row r="753">
      <c r="E753" s="36"/>
      <c r="H753" s="35"/>
    </row>
    <row r="754">
      <c r="E754" s="36"/>
      <c r="H754" s="35"/>
    </row>
    <row r="755">
      <c r="E755" s="36"/>
      <c r="H755" s="35"/>
    </row>
    <row r="756">
      <c r="E756" s="36"/>
      <c r="H756" s="35"/>
    </row>
    <row r="757">
      <c r="E757" s="36"/>
      <c r="H757" s="35"/>
    </row>
    <row r="758">
      <c r="E758" s="36"/>
      <c r="H758" s="35"/>
    </row>
    <row r="759">
      <c r="E759" s="36"/>
      <c r="H759" s="35"/>
    </row>
    <row r="760">
      <c r="E760" s="36"/>
      <c r="H760" s="35"/>
    </row>
    <row r="761">
      <c r="E761" s="36"/>
      <c r="H761" s="35"/>
    </row>
    <row r="762">
      <c r="E762" s="36"/>
      <c r="H762" s="35"/>
    </row>
    <row r="763">
      <c r="E763" s="36"/>
      <c r="H763" s="35"/>
    </row>
    <row r="764">
      <c r="E764" s="36"/>
      <c r="H764" s="35"/>
    </row>
    <row r="765">
      <c r="E765" s="36"/>
      <c r="H765" s="35"/>
    </row>
    <row r="766">
      <c r="E766" s="36"/>
      <c r="H766" s="35"/>
    </row>
    <row r="767">
      <c r="E767" s="36"/>
      <c r="H767" s="35"/>
    </row>
    <row r="768">
      <c r="E768" s="36"/>
      <c r="H768" s="35"/>
    </row>
    <row r="769">
      <c r="E769" s="36"/>
      <c r="H769" s="35"/>
    </row>
    <row r="770">
      <c r="E770" s="36"/>
      <c r="H770" s="35"/>
    </row>
    <row r="771">
      <c r="E771" s="36"/>
      <c r="H771" s="35"/>
    </row>
    <row r="772">
      <c r="E772" s="36"/>
      <c r="H772" s="35"/>
    </row>
    <row r="773">
      <c r="E773" s="36"/>
      <c r="H773" s="35"/>
    </row>
    <row r="774">
      <c r="E774" s="36"/>
      <c r="H774" s="35"/>
    </row>
    <row r="775">
      <c r="E775" s="36"/>
      <c r="H775" s="35"/>
    </row>
    <row r="776">
      <c r="E776" s="36"/>
      <c r="H776" s="35"/>
    </row>
    <row r="777">
      <c r="E777" s="36"/>
      <c r="H777" s="35"/>
    </row>
    <row r="778">
      <c r="E778" s="36"/>
      <c r="H778" s="35"/>
    </row>
    <row r="779">
      <c r="E779" s="36"/>
      <c r="H779" s="35"/>
    </row>
    <row r="780">
      <c r="E780" s="36"/>
      <c r="H780" s="35"/>
    </row>
    <row r="781">
      <c r="E781" s="36"/>
      <c r="H781" s="35"/>
    </row>
    <row r="782">
      <c r="E782" s="36"/>
      <c r="H782" s="35"/>
    </row>
    <row r="783">
      <c r="E783" s="36"/>
      <c r="H783" s="35"/>
    </row>
    <row r="784">
      <c r="E784" s="36"/>
      <c r="H784" s="35"/>
    </row>
    <row r="785">
      <c r="E785" s="36"/>
      <c r="H785" s="35"/>
    </row>
    <row r="786">
      <c r="E786" s="36"/>
      <c r="H786" s="35"/>
    </row>
    <row r="787">
      <c r="E787" s="36"/>
      <c r="H787" s="35"/>
    </row>
    <row r="788">
      <c r="E788" s="36"/>
      <c r="H788" s="35"/>
    </row>
    <row r="789">
      <c r="E789" s="36"/>
      <c r="H789" s="35"/>
    </row>
    <row r="790">
      <c r="E790" s="36"/>
      <c r="H790" s="35"/>
    </row>
    <row r="791">
      <c r="E791" s="36"/>
      <c r="H791" s="35"/>
    </row>
    <row r="792">
      <c r="E792" s="36"/>
      <c r="H792" s="35"/>
    </row>
    <row r="793">
      <c r="E793" s="36"/>
      <c r="H793" s="35"/>
    </row>
    <row r="794">
      <c r="E794" s="36"/>
      <c r="H794" s="35"/>
    </row>
    <row r="795">
      <c r="E795" s="36"/>
      <c r="H795" s="35"/>
    </row>
    <row r="796">
      <c r="E796" s="36"/>
      <c r="H796" s="35"/>
    </row>
    <row r="797">
      <c r="E797" s="36"/>
      <c r="H797" s="35"/>
    </row>
    <row r="798">
      <c r="E798" s="36"/>
      <c r="H798" s="35"/>
    </row>
    <row r="799">
      <c r="E799" s="36"/>
      <c r="H799" s="35"/>
    </row>
    <row r="800">
      <c r="E800" s="36"/>
      <c r="H800" s="35"/>
    </row>
    <row r="801">
      <c r="E801" s="36"/>
      <c r="H801" s="35"/>
    </row>
    <row r="802">
      <c r="E802" s="36"/>
      <c r="H802" s="35"/>
    </row>
    <row r="803">
      <c r="E803" s="36"/>
      <c r="H803" s="35"/>
    </row>
    <row r="804">
      <c r="E804" s="36"/>
      <c r="H804" s="35"/>
    </row>
    <row r="805">
      <c r="E805" s="36"/>
      <c r="H805" s="35"/>
    </row>
    <row r="806">
      <c r="E806" s="36"/>
      <c r="H806" s="35"/>
    </row>
    <row r="807">
      <c r="E807" s="36"/>
      <c r="H807" s="35"/>
    </row>
    <row r="808">
      <c r="E808" s="36"/>
      <c r="H808" s="35"/>
    </row>
    <row r="809">
      <c r="E809" s="36"/>
      <c r="H809" s="35"/>
    </row>
    <row r="810">
      <c r="E810" s="36"/>
      <c r="H810" s="35"/>
    </row>
    <row r="811">
      <c r="E811" s="36"/>
      <c r="H811" s="35"/>
    </row>
    <row r="812">
      <c r="E812" s="36"/>
      <c r="H812" s="35"/>
    </row>
    <row r="813">
      <c r="E813" s="36"/>
      <c r="H813" s="35"/>
    </row>
    <row r="814">
      <c r="E814" s="36"/>
      <c r="H814" s="35"/>
    </row>
    <row r="815">
      <c r="E815" s="36"/>
      <c r="H815" s="35"/>
    </row>
    <row r="816">
      <c r="E816" s="36"/>
      <c r="H816" s="35"/>
    </row>
    <row r="817">
      <c r="E817" s="36"/>
      <c r="H817" s="35"/>
    </row>
    <row r="818">
      <c r="E818" s="36"/>
      <c r="H818" s="35"/>
    </row>
    <row r="819">
      <c r="E819" s="36"/>
      <c r="H819" s="35"/>
    </row>
    <row r="820">
      <c r="E820" s="36"/>
      <c r="H820" s="35"/>
    </row>
    <row r="821">
      <c r="E821" s="36"/>
      <c r="H821" s="35"/>
    </row>
    <row r="822">
      <c r="E822" s="36"/>
      <c r="H822" s="35"/>
    </row>
    <row r="823">
      <c r="E823" s="36"/>
      <c r="H823" s="35"/>
    </row>
    <row r="824">
      <c r="E824" s="36"/>
      <c r="H824" s="35"/>
    </row>
    <row r="825">
      <c r="E825" s="36"/>
      <c r="H825" s="35"/>
    </row>
    <row r="826">
      <c r="E826" s="36"/>
      <c r="H826" s="35"/>
    </row>
    <row r="827">
      <c r="E827" s="36"/>
      <c r="H827" s="35"/>
    </row>
    <row r="828">
      <c r="E828" s="36"/>
      <c r="H828" s="35"/>
    </row>
    <row r="829">
      <c r="E829" s="36"/>
      <c r="H829" s="35"/>
    </row>
    <row r="830">
      <c r="E830" s="36"/>
      <c r="H830" s="35"/>
    </row>
    <row r="831">
      <c r="E831" s="36"/>
      <c r="H831" s="35"/>
    </row>
    <row r="832">
      <c r="E832" s="36"/>
      <c r="H832" s="35"/>
    </row>
    <row r="833">
      <c r="E833" s="36"/>
      <c r="H833" s="35"/>
    </row>
    <row r="834">
      <c r="E834" s="36"/>
      <c r="H834" s="35"/>
    </row>
    <row r="835">
      <c r="E835" s="36"/>
      <c r="H835" s="35"/>
    </row>
    <row r="836">
      <c r="E836" s="36"/>
      <c r="H836" s="35"/>
    </row>
    <row r="837">
      <c r="E837" s="36"/>
      <c r="H837" s="35"/>
    </row>
    <row r="838">
      <c r="E838" s="36"/>
      <c r="H838" s="35"/>
    </row>
    <row r="839">
      <c r="E839" s="36"/>
      <c r="H839" s="35"/>
    </row>
    <row r="840">
      <c r="E840" s="36"/>
      <c r="H840" s="35"/>
    </row>
    <row r="841">
      <c r="E841" s="36"/>
      <c r="H841" s="35"/>
    </row>
    <row r="842">
      <c r="E842" s="36"/>
      <c r="H842" s="35"/>
    </row>
    <row r="843">
      <c r="E843" s="36"/>
      <c r="H843" s="35"/>
    </row>
    <row r="844">
      <c r="E844" s="36"/>
      <c r="H844" s="35"/>
    </row>
    <row r="845">
      <c r="E845" s="36"/>
      <c r="H845" s="35"/>
    </row>
    <row r="846">
      <c r="E846" s="36"/>
      <c r="H846" s="35"/>
    </row>
    <row r="847">
      <c r="E847" s="36"/>
      <c r="H847" s="35"/>
    </row>
    <row r="848">
      <c r="E848" s="36"/>
      <c r="H848" s="35"/>
    </row>
    <row r="849">
      <c r="E849" s="36"/>
      <c r="H849" s="35"/>
    </row>
    <row r="850">
      <c r="E850" s="36"/>
      <c r="H850" s="35"/>
    </row>
    <row r="851">
      <c r="E851" s="36"/>
      <c r="H851" s="35"/>
    </row>
    <row r="852">
      <c r="E852" s="36"/>
      <c r="H852" s="35"/>
    </row>
    <row r="853">
      <c r="E853" s="36"/>
      <c r="H853" s="35"/>
    </row>
    <row r="854">
      <c r="E854" s="36"/>
      <c r="H854" s="35"/>
    </row>
    <row r="855">
      <c r="E855" s="36"/>
      <c r="H855" s="35"/>
    </row>
    <row r="856">
      <c r="E856" s="36"/>
      <c r="H856" s="35"/>
    </row>
    <row r="857">
      <c r="E857" s="36"/>
      <c r="H857" s="35"/>
    </row>
    <row r="858">
      <c r="E858" s="36"/>
      <c r="H858" s="35"/>
    </row>
    <row r="859">
      <c r="E859" s="36"/>
      <c r="H859" s="35"/>
    </row>
    <row r="860">
      <c r="E860" s="36"/>
      <c r="H860" s="35"/>
    </row>
    <row r="861">
      <c r="E861" s="36"/>
      <c r="H861" s="35"/>
    </row>
    <row r="862">
      <c r="E862" s="36"/>
      <c r="H862" s="35"/>
    </row>
    <row r="863">
      <c r="E863" s="36"/>
      <c r="H863" s="35"/>
    </row>
    <row r="864">
      <c r="E864" s="36"/>
      <c r="H864" s="35"/>
    </row>
    <row r="865">
      <c r="E865" s="36"/>
      <c r="H865" s="35"/>
    </row>
    <row r="866">
      <c r="E866" s="36"/>
      <c r="H866" s="35"/>
    </row>
    <row r="867">
      <c r="E867" s="36"/>
      <c r="H867" s="35"/>
    </row>
    <row r="868">
      <c r="E868" s="36"/>
      <c r="H868" s="35"/>
    </row>
    <row r="869">
      <c r="E869" s="36"/>
      <c r="H869" s="35"/>
    </row>
    <row r="870">
      <c r="E870" s="36"/>
      <c r="H870" s="35"/>
    </row>
    <row r="871">
      <c r="E871" s="36"/>
      <c r="H871" s="35"/>
    </row>
    <row r="872">
      <c r="E872" s="36"/>
      <c r="H872" s="35"/>
    </row>
    <row r="873">
      <c r="E873" s="36"/>
      <c r="H873" s="35"/>
    </row>
    <row r="874">
      <c r="E874" s="36"/>
      <c r="H874" s="35"/>
    </row>
    <row r="875">
      <c r="E875" s="36"/>
      <c r="H875" s="35"/>
    </row>
    <row r="876">
      <c r="E876" s="36"/>
      <c r="H876" s="35"/>
    </row>
    <row r="877">
      <c r="E877" s="36"/>
      <c r="H877" s="35"/>
    </row>
    <row r="878">
      <c r="E878" s="36"/>
      <c r="H878" s="35"/>
    </row>
    <row r="879">
      <c r="E879" s="36"/>
      <c r="H879" s="35"/>
    </row>
    <row r="880">
      <c r="E880" s="36"/>
      <c r="H880" s="35"/>
    </row>
    <row r="881">
      <c r="E881" s="36"/>
      <c r="H881" s="35"/>
    </row>
    <row r="882">
      <c r="E882" s="36"/>
      <c r="H882" s="35"/>
    </row>
    <row r="883">
      <c r="E883" s="36"/>
      <c r="H883" s="35"/>
    </row>
    <row r="884">
      <c r="E884" s="36"/>
      <c r="H884" s="35"/>
    </row>
    <row r="885">
      <c r="E885" s="36"/>
      <c r="H885" s="35"/>
    </row>
    <row r="886">
      <c r="E886" s="36"/>
      <c r="H886" s="35"/>
    </row>
    <row r="887">
      <c r="E887" s="36"/>
      <c r="H887" s="35"/>
    </row>
    <row r="888">
      <c r="E888" s="36"/>
      <c r="H888" s="35"/>
    </row>
    <row r="889">
      <c r="E889" s="36"/>
      <c r="H889" s="35"/>
    </row>
    <row r="890">
      <c r="E890" s="36"/>
      <c r="H890" s="35"/>
    </row>
    <row r="891">
      <c r="E891" s="36"/>
      <c r="H891" s="35"/>
    </row>
    <row r="892">
      <c r="E892" s="36"/>
      <c r="H892" s="35"/>
    </row>
    <row r="893">
      <c r="E893" s="36"/>
      <c r="H893" s="35"/>
    </row>
    <row r="894">
      <c r="E894" s="36"/>
      <c r="H894" s="35"/>
    </row>
    <row r="895">
      <c r="E895" s="36"/>
      <c r="H895" s="35"/>
    </row>
    <row r="896">
      <c r="E896" s="36"/>
      <c r="H896" s="35"/>
    </row>
    <row r="897">
      <c r="E897" s="36"/>
      <c r="H897" s="35"/>
    </row>
    <row r="898">
      <c r="E898" s="36"/>
      <c r="H898" s="35"/>
    </row>
    <row r="899">
      <c r="E899" s="36"/>
      <c r="H899" s="35"/>
    </row>
    <row r="900">
      <c r="E900" s="36"/>
      <c r="H900" s="35"/>
    </row>
    <row r="901">
      <c r="E901" s="36"/>
      <c r="H901" s="35"/>
    </row>
    <row r="902">
      <c r="E902" s="36"/>
      <c r="H902" s="35"/>
    </row>
    <row r="903">
      <c r="E903" s="36"/>
      <c r="H903" s="35"/>
    </row>
    <row r="904">
      <c r="E904" s="36"/>
      <c r="H904" s="35"/>
    </row>
    <row r="905">
      <c r="E905" s="36"/>
      <c r="H905" s="35"/>
    </row>
    <row r="906">
      <c r="E906" s="36"/>
      <c r="H906" s="35"/>
    </row>
    <row r="907">
      <c r="E907" s="36"/>
      <c r="H907" s="35"/>
    </row>
    <row r="908">
      <c r="E908" s="36"/>
      <c r="H908" s="35"/>
    </row>
    <row r="909">
      <c r="E909" s="36"/>
      <c r="H909" s="35"/>
    </row>
    <row r="910">
      <c r="E910" s="36"/>
      <c r="H910" s="35"/>
    </row>
    <row r="911">
      <c r="E911" s="36"/>
      <c r="H911" s="35"/>
    </row>
    <row r="912">
      <c r="E912" s="36"/>
      <c r="H912" s="35"/>
    </row>
    <row r="913">
      <c r="E913" s="36"/>
      <c r="H913" s="35"/>
    </row>
    <row r="914">
      <c r="E914" s="36"/>
      <c r="H914" s="35"/>
    </row>
    <row r="915">
      <c r="E915" s="36"/>
      <c r="H915" s="35"/>
    </row>
    <row r="916">
      <c r="E916" s="36"/>
      <c r="H916" s="35"/>
    </row>
    <row r="917">
      <c r="E917" s="36"/>
      <c r="H917" s="35"/>
    </row>
    <row r="918">
      <c r="E918" s="36"/>
      <c r="H918" s="35"/>
    </row>
    <row r="919">
      <c r="E919" s="36"/>
      <c r="H919" s="35"/>
    </row>
    <row r="920">
      <c r="E920" s="36"/>
      <c r="H920" s="35"/>
    </row>
    <row r="921">
      <c r="E921" s="36"/>
      <c r="H921" s="35"/>
    </row>
    <row r="922">
      <c r="E922" s="36"/>
      <c r="H922" s="35"/>
    </row>
    <row r="923">
      <c r="E923" s="36"/>
      <c r="H923" s="35"/>
    </row>
    <row r="924">
      <c r="E924" s="36"/>
      <c r="H924" s="35"/>
    </row>
    <row r="925">
      <c r="E925" s="36"/>
      <c r="H925" s="35"/>
    </row>
    <row r="926">
      <c r="E926" s="36"/>
      <c r="H926" s="35"/>
    </row>
    <row r="927">
      <c r="E927" s="36"/>
      <c r="H927" s="35"/>
    </row>
    <row r="928">
      <c r="E928" s="36"/>
      <c r="H928" s="35"/>
    </row>
    <row r="929">
      <c r="E929" s="36"/>
      <c r="H929" s="35"/>
    </row>
    <row r="930">
      <c r="E930" s="36"/>
      <c r="H930" s="35"/>
    </row>
    <row r="931">
      <c r="E931" s="36"/>
      <c r="H931" s="35"/>
    </row>
    <row r="932">
      <c r="E932" s="36"/>
      <c r="H932" s="35"/>
    </row>
    <row r="933">
      <c r="E933" s="36"/>
      <c r="H933" s="35"/>
    </row>
    <row r="934">
      <c r="E934" s="36"/>
      <c r="H934" s="35"/>
    </row>
    <row r="935">
      <c r="E935" s="36"/>
      <c r="H935" s="35"/>
    </row>
    <row r="936">
      <c r="E936" s="36"/>
      <c r="H936" s="35"/>
    </row>
    <row r="937">
      <c r="E937" s="36"/>
      <c r="H937" s="35"/>
    </row>
    <row r="938">
      <c r="E938" s="36"/>
      <c r="H938" s="35"/>
    </row>
    <row r="939">
      <c r="E939" s="36"/>
      <c r="H939" s="35"/>
    </row>
    <row r="940">
      <c r="E940" s="36"/>
      <c r="H940" s="35"/>
    </row>
    <row r="941">
      <c r="E941" s="36"/>
      <c r="H941" s="35"/>
    </row>
    <row r="942">
      <c r="E942" s="36"/>
      <c r="H942" s="35"/>
    </row>
    <row r="943">
      <c r="E943" s="36"/>
      <c r="H943" s="35"/>
    </row>
    <row r="944">
      <c r="E944" s="36"/>
      <c r="H944" s="35"/>
    </row>
    <row r="945">
      <c r="E945" s="36"/>
      <c r="H945" s="35"/>
    </row>
    <row r="946">
      <c r="E946" s="36"/>
      <c r="H946" s="35"/>
    </row>
    <row r="947">
      <c r="E947" s="36"/>
      <c r="H947" s="35"/>
    </row>
    <row r="948">
      <c r="E948" s="36"/>
      <c r="H948" s="35"/>
    </row>
    <row r="949">
      <c r="E949" s="36"/>
      <c r="H949" s="35"/>
    </row>
    <row r="950">
      <c r="E950" s="36"/>
      <c r="H950" s="35"/>
    </row>
    <row r="951">
      <c r="E951" s="36"/>
      <c r="H951" s="35"/>
    </row>
    <row r="952">
      <c r="E952" s="36"/>
      <c r="H952" s="35"/>
    </row>
    <row r="953">
      <c r="E953" s="36"/>
      <c r="H953" s="35"/>
    </row>
    <row r="954">
      <c r="E954" s="36"/>
      <c r="H954" s="35"/>
    </row>
    <row r="955">
      <c r="E955" s="36"/>
      <c r="H955" s="35"/>
    </row>
    <row r="956">
      <c r="E956" s="36"/>
      <c r="H956" s="35"/>
    </row>
    <row r="957">
      <c r="E957" s="36"/>
      <c r="H957" s="35"/>
    </row>
    <row r="958">
      <c r="E958" s="36"/>
      <c r="H958" s="35"/>
    </row>
    <row r="959">
      <c r="E959" s="36"/>
      <c r="H959" s="35"/>
    </row>
    <row r="960">
      <c r="E960" s="36"/>
      <c r="H960" s="35"/>
    </row>
    <row r="961">
      <c r="E961" s="36"/>
      <c r="H961" s="35"/>
    </row>
    <row r="962">
      <c r="E962" s="36"/>
      <c r="H962" s="35"/>
    </row>
    <row r="963">
      <c r="E963" s="36"/>
      <c r="H963" s="35"/>
    </row>
    <row r="964">
      <c r="E964" s="36"/>
      <c r="H964" s="35"/>
    </row>
    <row r="965">
      <c r="E965" s="36"/>
      <c r="H965" s="35"/>
    </row>
    <row r="966">
      <c r="E966" s="36"/>
      <c r="H966" s="35"/>
    </row>
    <row r="967">
      <c r="E967" s="36"/>
      <c r="H967" s="35"/>
    </row>
    <row r="968">
      <c r="E968" s="36"/>
      <c r="H968" s="35"/>
    </row>
    <row r="969">
      <c r="E969" s="36"/>
      <c r="H969" s="35"/>
    </row>
    <row r="970">
      <c r="E970" s="36"/>
      <c r="H970" s="35"/>
    </row>
    <row r="971">
      <c r="E971" s="36"/>
      <c r="H971" s="35"/>
    </row>
    <row r="972">
      <c r="E972" s="36"/>
      <c r="H972" s="35"/>
    </row>
    <row r="973">
      <c r="E973" s="36"/>
      <c r="H973" s="35"/>
    </row>
    <row r="974">
      <c r="E974" s="36"/>
      <c r="H974" s="35"/>
    </row>
    <row r="975">
      <c r="E975" s="36"/>
      <c r="H975" s="35"/>
    </row>
    <row r="976">
      <c r="E976" s="36"/>
      <c r="H976" s="35"/>
    </row>
    <row r="977">
      <c r="E977" s="36"/>
      <c r="H977" s="35"/>
    </row>
    <row r="978">
      <c r="E978" s="36"/>
      <c r="H978" s="35"/>
    </row>
    <row r="979">
      <c r="E979" s="36"/>
      <c r="H979" s="35"/>
    </row>
    <row r="980">
      <c r="E980" s="36"/>
      <c r="H980" s="35"/>
    </row>
    <row r="981">
      <c r="E981" s="36"/>
      <c r="H981" s="35"/>
    </row>
    <row r="982">
      <c r="E982" s="36"/>
      <c r="H982" s="35"/>
    </row>
    <row r="983">
      <c r="E983" s="36"/>
      <c r="H983" s="35"/>
    </row>
    <row r="984">
      <c r="E984" s="36"/>
      <c r="H984" s="35"/>
    </row>
    <row r="985">
      <c r="E985" s="36"/>
      <c r="H985" s="35"/>
    </row>
    <row r="986">
      <c r="E986" s="36"/>
      <c r="H986" s="35"/>
    </row>
    <row r="987">
      <c r="E987" s="36"/>
      <c r="H987" s="35"/>
    </row>
    <row r="988">
      <c r="E988" s="36"/>
      <c r="H988" s="35"/>
    </row>
    <row r="989">
      <c r="E989" s="36"/>
      <c r="H989" s="35"/>
    </row>
    <row r="990">
      <c r="E990" s="36"/>
      <c r="H990" s="35"/>
    </row>
    <row r="991">
      <c r="E991" s="36"/>
      <c r="H991" s="35"/>
    </row>
    <row r="992">
      <c r="E992" s="36"/>
      <c r="H992" s="35"/>
    </row>
    <row r="993">
      <c r="E993" s="36"/>
      <c r="H993" s="35"/>
    </row>
    <row r="994">
      <c r="E994" s="36"/>
      <c r="H994" s="35"/>
    </row>
    <row r="995">
      <c r="E995" s="36"/>
      <c r="H995" s="35"/>
    </row>
    <row r="996">
      <c r="E996" s="36"/>
      <c r="H996" s="35"/>
    </row>
    <row r="997">
      <c r="E997" s="36"/>
      <c r="H997" s="35"/>
    </row>
    <row r="998">
      <c r="E998" s="36"/>
      <c r="H998" s="35"/>
    </row>
    <row r="999">
      <c r="E999" s="36"/>
      <c r="H999" s="35"/>
    </row>
    <row r="1000">
      <c r="E1000" s="36"/>
      <c r="H1000" s="35"/>
    </row>
  </sheetData>
  <dataValidations>
    <dataValidation type="list" allowBlank="1" showErrorMessage="1" sqref="E2:E21">
      <formula1>"ASTRO,MATE,FIS"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6.75"/>
    <col customWidth="1" min="3" max="3" width="10.13"/>
    <col customWidth="1" min="4" max="4" width="13.63"/>
    <col customWidth="1" min="5" max="5" width="9.25"/>
    <col customWidth="1" min="6" max="7" width="18.38"/>
    <col customWidth="1" min="9" max="9" width="17.38"/>
    <col customWidth="1" min="11" max="11" width="12.63"/>
  </cols>
  <sheetData>
    <row r="1" ht="33.0" customHeight="1">
      <c r="A1" s="37" t="s">
        <v>80</v>
      </c>
      <c r="B1" s="38" t="s">
        <v>81</v>
      </c>
      <c r="C1" s="39" t="s">
        <v>82</v>
      </c>
      <c r="D1" s="40" t="s">
        <v>83</v>
      </c>
      <c r="E1" s="39" t="s">
        <v>84</v>
      </c>
      <c r="F1" s="39" t="s">
        <v>85</v>
      </c>
      <c r="G1" s="39" t="s">
        <v>86</v>
      </c>
      <c r="H1" s="41" t="s">
        <v>87</v>
      </c>
      <c r="I1" s="41" t="s">
        <v>88</v>
      </c>
      <c r="J1" s="41" t="s">
        <v>89</v>
      </c>
      <c r="K1" s="39" t="s">
        <v>90</v>
      </c>
    </row>
    <row r="2">
      <c r="A2" s="42" t="s">
        <v>91</v>
      </c>
      <c r="B2" s="43" t="str">
        <f t="shared" ref="B2:B214" si="1">"NombreDePersona_"&amp;TEXT(ROW(A1),"000")</f>
        <v>NombreDePersona_001</v>
      </c>
      <c r="C2" s="42">
        <v>2025.0</v>
      </c>
      <c r="D2" s="44">
        <f t="shared" ref="D2:D214" si="2">TODAY() - RANDBETWEEN(8*365, 99*365)</f>
        <v>25545</v>
      </c>
      <c r="E2" s="43">
        <f t="shared" ref="E2:E214" si="3">DATEDIF(D2, TODAY(), "Y")</f>
        <v>56</v>
      </c>
      <c r="F2" s="45" t="s">
        <v>92</v>
      </c>
      <c r="G2" s="43" t="s">
        <v>93</v>
      </c>
      <c r="H2" s="43" t="str">
        <f t="shared" ref="H2:H214" si="4">"55 55 "&amp;TEXT(ROW(A1)-1,"0000")&amp;" "&amp;TEXT(ROW(A1)-1,"0000")</f>
        <v>55 55 0000 0000</v>
      </c>
      <c r="I2" s="43" t="str">
        <f t="shared" ref="I2:I214" si="5">"usuario"&amp;ROW(A1)-1&amp;"@ejemplo.com"</f>
        <v>usuario0@ejemplo.com</v>
      </c>
      <c r="J2" s="46" t="str">
        <f t="shared" ref="J2:J214" si="6">IF(
 DATEDIF(D2, DATE(2025,1,1), "Y") &lt; 18,
  "Tutor_" &amp; TEXT(ROW(A1)-1,"000"),
  ""
)
</f>
        <v/>
      </c>
      <c r="K2" s="47" t="str">
        <f t="shared" ref="K2:K32" si="7">IF(
  E2="",
  "", IF(
  ISNUMBER(E2),
  IF(E2&lt;=12,"Infancia",
    IF(E2&lt;=17,"Adolescente",
      IF(E2&lt;=29,"Jóven adulto",
        IF(E2&lt;=59,"Adulto",
          IF(E2&gt;=60,"Adulto Mayor","Desconocido")
        )
      )
    )
  ),
  "Desconocido"
))</f>
        <v>Adulto</v>
      </c>
    </row>
    <row r="3">
      <c r="A3" s="42" t="s">
        <v>94</v>
      </c>
      <c r="B3" s="43" t="str">
        <f t="shared" si="1"/>
        <v>NombreDePersona_002</v>
      </c>
      <c r="C3" s="42">
        <v>2025.0</v>
      </c>
      <c r="D3" s="44">
        <f t="shared" si="2"/>
        <v>42369</v>
      </c>
      <c r="E3" s="43">
        <f t="shared" si="3"/>
        <v>10</v>
      </c>
      <c r="F3" s="42" t="s">
        <v>95</v>
      </c>
      <c r="G3" s="42" t="s">
        <v>93</v>
      </c>
      <c r="H3" s="43" t="str">
        <f t="shared" si="4"/>
        <v>55 55 0001 0001</v>
      </c>
      <c r="I3" s="43" t="str">
        <f t="shared" si="5"/>
        <v>usuario1@ejemplo.com</v>
      </c>
      <c r="J3" s="46" t="str">
        <f t="shared" si="6"/>
        <v>Tutor_001</v>
      </c>
      <c r="K3" s="47" t="str">
        <f t="shared" si="7"/>
        <v>Infancia</v>
      </c>
    </row>
    <row r="4">
      <c r="A4" s="42" t="s">
        <v>96</v>
      </c>
      <c r="B4" s="43" t="str">
        <f t="shared" si="1"/>
        <v>NombreDePersona_003</v>
      </c>
      <c r="C4" s="42">
        <v>2025.0</v>
      </c>
      <c r="D4" s="44">
        <f t="shared" si="2"/>
        <v>13147</v>
      </c>
      <c r="E4" s="43">
        <f t="shared" si="3"/>
        <v>90</v>
      </c>
      <c r="F4" s="42" t="s">
        <v>95</v>
      </c>
      <c r="G4" s="42" t="s">
        <v>97</v>
      </c>
      <c r="H4" s="43" t="str">
        <f t="shared" si="4"/>
        <v>55 55 0002 0002</v>
      </c>
      <c r="I4" s="43" t="str">
        <f t="shared" si="5"/>
        <v>usuario2@ejemplo.com</v>
      </c>
      <c r="J4" s="46" t="str">
        <f t="shared" si="6"/>
        <v/>
      </c>
      <c r="K4" s="47" t="str">
        <f t="shared" si="7"/>
        <v>Adulto Mayor</v>
      </c>
    </row>
    <row r="5">
      <c r="A5" s="42" t="s">
        <v>98</v>
      </c>
      <c r="B5" s="43" t="str">
        <f t="shared" si="1"/>
        <v>NombreDePersona_004</v>
      </c>
      <c r="C5" s="42">
        <v>2025.0</v>
      </c>
      <c r="D5" s="44">
        <f t="shared" si="2"/>
        <v>39872</v>
      </c>
      <c r="E5" s="43">
        <f t="shared" si="3"/>
        <v>16</v>
      </c>
      <c r="F5" s="42" t="s">
        <v>99</v>
      </c>
      <c r="G5" s="47" t="s">
        <v>97</v>
      </c>
      <c r="H5" s="43" t="str">
        <f t="shared" si="4"/>
        <v>55 55 0003 0003</v>
      </c>
      <c r="I5" s="43" t="str">
        <f t="shared" si="5"/>
        <v>usuario3@ejemplo.com</v>
      </c>
      <c r="J5" s="46" t="str">
        <f t="shared" si="6"/>
        <v>Tutor_003</v>
      </c>
      <c r="K5" s="47" t="str">
        <f t="shared" si="7"/>
        <v>Adolescente</v>
      </c>
    </row>
    <row r="6">
      <c r="A6" s="42" t="s">
        <v>100</v>
      </c>
      <c r="B6" s="43" t="str">
        <f t="shared" si="1"/>
        <v>NombreDePersona_005</v>
      </c>
      <c r="C6" s="42">
        <v>2025.0</v>
      </c>
      <c r="D6" s="44">
        <f t="shared" si="2"/>
        <v>38936</v>
      </c>
      <c r="E6" s="43">
        <f t="shared" si="3"/>
        <v>19</v>
      </c>
      <c r="F6" s="42" t="s">
        <v>101</v>
      </c>
      <c r="G6" s="42" t="s">
        <v>97</v>
      </c>
      <c r="H6" s="43" t="str">
        <f t="shared" si="4"/>
        <v>55 55 0004 0004</v>
      </c>
      <c r="I6" s="43" t="str">
        <f t="shared" si="5"/>
        <v>usuario4@ejemplo.com</v>
      </c>
      <c r="J6" s="46" t="str">
        <f t="shared" si="6"/>
        <v/>
      </c>
      <c r="K6" s="47" t="str">
        <f t="shared" si="7"/>
        <v>Jóven adulto</v>
      </c>
    </row>
    <row r="7">
      <c r="A7" s="42" t="s">
        <v>102</v>
      </c>
      <c r="B7" s="43" t="str">
        <f t="shared" si="1"/>
        <v>NombreDePersona_006</v>
      </c>
      <c r="C7" s="42">
        <v>2024.0</v>
      </c>
      <c r="D7" s="44">
        <f t="shared" si="2"/>
        <v>27887</v>
      </c>
      <c r="E7" s="43">
        <f t="shared" si="3"/>
        <v>49</v>
      </c>
      <c r="F7" s="47" t="s">
        <v>103</v>
      </c>
      <c r="G7" s="47" t="s">
        <v>104</v>
      </c>
      <c r="H7" s="43" t="str">
        <f t="shared" si="4"/>
        <v>55 55 0005 0005</v>
      </c>
      <c r="I7" s="43" t="str">
        <f t="shared" si="5"/>
        <v>usuario5@ejemplo.com</v>
      </c>
      <c r="J7" s="46" t="str">
        <f t="shared" si="6"/>
        <v/>
      </c>
      <c r="K7" s="47" t="str">
        <f t="shared" si="7"/>
        <v>Adulto</v>
      </c>
    </row>
    <row r="8">
      <c r="A8" s="42" t="s">
        <v>105</v>
      </c>
      <c r="B8" s="43" t="str">
        <f t="shared" si="1"/>
        <v>NombreDePersona_007</v>
      </c>
      <c r="C8" s="42">
        <v>2025.0</v>
      </c>
      <c r="D8" s="44">
        <f t="shared" si="2"/>
        <v>34115</v>
      </c>
      <c r="E8" s="43">
        <f t="shared" si="3"/>
        <v>32</v>
      </c>
      <c r="F8" s="42" t="s">
        <v>106</v>
      </c>
      <c r="G8" s="42" t="s">
        <v>107</v>
      </c>
      <c r="H8" s="43" t="str">
        <f t="shared" si="4"/>
        <v>55 55 0006 0006</v>
      </c>
      <c r="I8" s="43" t="str">
        <f t="shared" si="5"/>
        <v>usuario6@ejemplo.com</v>
      </c>
      <c r="J8" s="46" t="str">
        <f t="shared" si="6"/>
        <v/>
      </c>
      <c r="K8" s="47" t="str">
        <f t="shared" si="7"/>
        <v>Adulto</v>
      </c>
    </row>
    <row r="9">
      <c r="A9" s="42" t="s">
        <v>108</v>
      </c>
      <c r="B9" s="43" t="str">
        <f t="shared" si="1"/>
        <v>NombreDePersona_008</v>
      </c>
      <c r="C9" s="47">
        <v>2025.0</v>
      </c>
      <c r="D9" s="44">
        <f t="shared" si="2"/>
        <v>11303</v>
      </c>
      <c r="E9" s="43">
        <f t="shared" si="3"/>
        <v>95</v>
      </c>
      <c r="F9" s="47" t="s">
        <v>109</v>
      </c>
      <c r="G9" s="48" t="s">
        <v>97</v>
      </c>
      <c r="H9" s="43" t="str">
        <f t="shared" si="4"/>
        <v>55 55 0007 0007</v>
      </c>
      <c r="I9" s="43" t="str">
        <f t="shared" si="5"/>
        <v>usuario7@ejemplo.com</v>
      </c>
      <c r="J9" s="46" t="str">
        <f t="shared" si="6"/>
        <v/>
      </c>
      <c r="K9" s="47" t="str">
        <f t="shared" si="7"/>
        <v>Adulto Mayor</v>
      </c>
    </row>
    <row r="10">
      <c r="A10" s="42" t="s">
        <v>110</v>
      </c>
      <c r="B10" s="43" t="str">
        <f t="shared" si="1"/>
        <v>NombreDePersona_009</v>
      </c>
      <c r="C10" s="42">
        <v>2024.0</v>
      </c>
      <c r="D10" s="44">
        <f t="shared" si="2"/>
        <v>18576</v>
      </c>
      <c r="E10" s="43">
        <f t="shared" si="3"/>
        <v>75</v>
      </c>
      <c r="F10" s="42" t="s">
        <v>111</v>
      </c>
      <c r="G10" s="47" t="s">
        <v>97</v>
      </c>
      <c r="H10" s="43" t="str">
        <f t="shared" si="4"/>
        <v>55 55 0008 0008</v>
      </c>
      <c r="I10" s="43" t="str">
        <f t="shared" si="5"/>
        <v>usuario8@ejemplo.com</v>
      </c>
      <c r="J10" s="46" t="str">
        <f t="shared" si="6"/>
        <v/>
      </c>
      <c r="K10" s="47" t="str">
        <f t="shared" si="7"/>
        <v>Adulto Mayor</v>
      </c>
    </row>
    <row r="11">
      <c r="A11" s="42" t="s">
        <v>112</v>
      </c>
      <c r="B11" s="43" t="str">
        <f t="shared" si="1"/>
        <v>NombreDePersona_010</v>
      </c>
      <c r="C11" s="42">
        <v>2025.0</v>
      </c>
      <c r="D11" s="44">
        <f t="shared" si="2"/>
        <v>27024</v>
      </c>
      <c r="E11" s="43">
        <f t="shared" si="3"/>
        <v>52</v>
      </c>
      <c r="F11" s="42" t="s">
        <v>109</v>
      </c>
      <c r="G11" s="42" t="s">
        <v>93</v>
      </c>
      <c r="H11" s="43" t="str">
        <f t="shared" si="4"/>
        <v>55 55 0009 0009</v>
      </c>
      <c r="I11" s="43" t="str">
        <f t="shared" si="5"/>
        <v>usuario9@ejemplo.com</v>
      </c>
      <c r="J11" s="46" t="str">
        <f t="shared" si="6"/>
        <v/>
      </c>
      <c r="K11" s="47" t="str">
        <f t="shared" si="7"/>
        <v>Adulto</v>
      </c>
    </row>
    <row r="12">
      <c r="A12" s="42" t="s">
        <v>113</v>
      </c>
      <c r="B12" s="43" t="str">
        <f t="shared" si="1"/>
        <v>NombreDePersona_011</v>
      </c>
      <c r="C12" s="42">
        <v>2024.0</v>
      </c>
      <c r="D12" s="44">
        <f t="shared" si="2"/>
        <v>17400</v>
      </c>
      <c r="E12" s="43">
        <f t="shared" si="3"/>
        <v>78</v>
      </c>
      <c r="F12" s="47" t="s">
        <v>109</v>
      </c>
      <c r="G12" s="47" t="s">
        <v>103</v>
      </c>
      <c r="H12" s="43" t="str">
        <f t="shared" si="4"/>
        <v>55 55 0010 0010</v>
      </c>
      <c r="I12" s="43" t="str">
        <f t="shared" si="5"/>
        <v>usuario10@ejemplo.com</v>
      </c>
      <c r="J12" s="46" t="str">
        <f t="shared" si="6"/>
        <v/>
      </c>
      <c r="K12" s="47" t="str">
        <f t="shared" si="7"/>
        <v>Adulto Mayor</v>
      </c>
    </row>
    <row r="13">
      <c r="A13" s="42" t="s">
        <v>114</v>
      </c>
      <c r="B13" s="43" t="str">
        <f t="shared" si="1"/>
        <v>NombreDePersona_012</v>
      </c>
      <c r="C13" s="42">
        <v>2025.0</v>
      </c>
      <c r="D13" s="44">
        <f t="shared" si="2"/>
        <v>21417</v>
      </c>
      <c r="E13" s="43">
        <f t="shared" si="3"/>
        <v>67</v>
      </c>
      <c r="F13" s="42" t="s">
        <v>109</v>
      </c>
      <c r="G13" s="42" t="s">
        <v>115</v>
      </c>
      <c r="H13" s="43" t="str">
        <f t="shared" si="4"/>
        <v>55 55 0011 0011</v>
      </c>
      <c r="I13" s="43" t="str">
        <f t="shared" si="5"/>
        <v>usuario11@ejemplo.com</v>
      </c>
      <c r="J13" s="46" t="str">
        <f t="shared" si="6"/>
        <v/>
      </c>
      <c r="K13" s="47" t="str">
        <f t="shared" si="7"/>
        <v>Adulto Mayor</v>
      </c>
    </row>
    <row r="14">
      <c r="A14" s="42" t="s">
        <v>116</v>
      </c>
      <c r="B14" s="43" t="str">
        <f t="shared" si="1"/>
        <v>NombreDePersona_013</v>
      </c>
      <c r="C14" s="47">
        <v>2025.0</v>
      </c>
      <c r="D14" s="44">
        <f t="shared" si="2"/>
        <v>40308</v>
      </c>
      <c r="E14" s="43">
        <f t="shared" si="3"/>
        <v>15</v>
      </c>
      <c r="F14" s="47" t="s">
        <v>109</v>
      </c>
      <c r="G14" s="47" t="s">
        <v>97</v>
      </c>
      <c r="H14" s="43" t="str">
        <f t="shared" si="4"/>
        <v>55 55 0012 0012</v>
      </c>
      <c r="I14" s="43" t="str">
        <f t="shared" si="5"/>
        <v>usuario12@ejemplo.com</v>
      </c>
      <c r="J14" s="46" t="str">
        <f t="shared" si="6"/>
        <v>Tutor_012</v>
      </c>
      <c r="K14" s="47" t="str">
        <f t="shared" si="7"/>
        <v>Adolescente</v>
      </c>
    </row>
    <row r="15">
      <c r="A15" s="42" t="s">
        <v>117</v>
      </c>
      <c r="B15" s="43" t="str">
        <f t="shared" si="1"/>
        <v>NombreDePersona_014</v>
      </c>
      <c r="C15" s="47">
        <v>2025.0</v>
      </c>
      <c r="D15" s="44">
        <f t="shared" si="2"/>
        <v>22407</v>
      </c>
      <c r="E15" s="43">
        <f t="shared" si="3"/>
        <v>64</v>
      </c>
      <c r="F15" s="47" t="s">
        <v>109</v>
      </c>
      <c r="G15" s="48" t="s">
        <v>118</v>
      </c>
      <c r="H15" s="43" t="str">
        <f t="shared" si="4"/>
        <v>55 55 0013 0013</v>
      </c>
      <c r="I15" s="43" t="str">
        <f t="shared" si="5"/>
        <v>usuario13@ejemplo.com</v>
      </c>
      <c r="J15" s="46" t="str">
        <f t="shared" si="6"/>
        <v/>
      </c>
      <c r="K15" s="47" t="str">
        <f t="shared" si="7"/>
        <v>Adulto Mayor</v>
      </c>
    </row>
    <row r="16">
      <c r="A16" s="42" t="s">
        <v>119</v>
      </c>
      <c r="B16" s="43" t="str">
        <f t="shared" si="1"/>
        <v>NombreDePersona_015</v>
      </c>
      <c r="C16" s="42">
        <v>2024.0</v>
      </c>
      <c r="D16" s="44">
        <f t="shared" si="2"/>
        <v>16357</v>
      </c>
      <c r="E16" s="43">
        <f t="shared" si="3"/>
        <v>81</v>
      </c>
      <c r="F16" s="47" t="s">
        <v>109</v>
      </c>
      <c r="G16" s="47" t="s">
        <v>120</v>
      </c>
      <c r="H16" s="43" t="str">
        <f t="shared" si="4"/>
        <v>55 55 0014 0014</v>
      </c>
      <c r="I16" s="43" t="str">
        <f t="shared" si="5"/>
        <v>usuario14@ejemplo.com</v>
      </c>
      <c r="J16" s="46" t="str">
        <f t="shared" si="6"/>
        <v/>
      </c>
      <c r="K16" s="47" t="str">
        <f t="shared" si="7"/>
        <v>Adulto Mayor</v>
      </c>
    </row>
    <row r="17">
      <c r="A17" s="42" t="s">
        <v>121</v>
      </c>
      <c r="B17" s="43" t="str">
        <f t="shared" si="1"/>
        <v>NombreDePersona_016</v>
      </c>
      <c r="C17" s="42">
        <v>2024.0</v>
      </c>
      <c r="D17" s="44">
        <f t="shared" si="2"/>
        <v>19299</v>
      </c>
      <c r="E17" s="43">
        <f t="shared" si="3"/>
        <v>73</v>
      </c>
      <c r="F17" s="42" t="s">
        <v>122</v>
      </c>
      <c r="G17" s="42" t="s">
        <v>93</v>
      </c>
      <c r="H17" s="43" t="str">
        <f t="shared" si="4"/>
        <v>55 55 0015 0015</v>
      </c>
      <c r="I17" s="43" t="str">
        <f t="shared" si="5"/>
        <v>usuario15@ejemplo.com</v>
      </c>
      <c r="J17" s="46" t="str">
        <f t="shared" si="6"/>
        <v/>
      </c>
      <c r="K17" s="47" t="str">
        <f t="shared" si="7"/>
        <v>Adulto Mayor</v>
      </c>
    </row>
    <row r="18">
      <c r="A18" s="42" t="s">
        <v>123</v>
      </c>
      <c r="B18" s="43" t="str">
        <f t="shared" si="1"/>
        <v>NombreDePersona_017</v>
      </c>
      <c r="C18" s="42">
        <v>2025.0</v>
      </c>
      <c r="D18" s="44">
        <f t="shared" si="2"/>
        <v>22210</v>
      </c>
      <c r="E18" s="43">
        <f t="shared" si="3"/>
        <v>65</v>
      </c>
      <c r="F18" s="42" t="s">
        <v>124</v>
      </c>
      <c r="G18" s="47" t="s">
        <v>97</v>
      </c>
      <c r="H18" s="43" t="str">
        <f t="shared" si="4"/>
        <v>55 55 0016 0016</v>
      </c>
      <c r="I18" s="43" t="str">
        <f t="shared" si="5"/>
        <v>usuario16@ejemplo.com</v>
      </c>
      <c r="J18" s="46" t="str">
        <f t="shared" si="6"/>
        <v/>
      </c>
      <c r="K18" s="47" t="str">
        <f t="shared" si="7"/>
        <v>Adulto Mayor</v>
      </c>
    </row>
    <row r="19">
      <c r="A19" s="42" t="s">
        <v>125</v>
      </c>
      <c r="B19" s="43" t="str">
        <f t="shared" si="1"/>
        <v>NombreDePersona_018</v>
      </c>
      <c r="C19" s="42">
        <v>2025.0</v>
      </c>
      <c r="D19" s="44">
        <f t="shared" si="2"/>
        <v>12796</v>
      </c>
      <c r="E19" s="43">
        <f t="shared" si="3"/>
        <v>91</v>
      </c>
      <c r="F19" s="42" t="s">
        <v>92</v>
      </c>
      <c r="G19" s="42" t="s">
        <v>126</v>
      </c>
      <c r="H19" s="43" t="str">
        <f t="shared" si="4"/>
        <v>55 55 0017 0017</v>
      </c>
      <c r="I19" s="43" t="str">
        <f t="shared" si="5"/>
        <v>usuario17@ejemplo.com</v>
      </c>
      <c r="J19" s="46" t="str">
        <f t="shared" si="6"/>
        <v/>
      </c>
      <c r="K19" s="47" t="str">
        <f t="shared" si="7"/>
        <v>Adulto Mayor</v>
      </c>
    </row>
    <row r="20">
      <c r="A20" s="42" t="s">
        <v>127</v>
      </c>
      <c r="B20" s="43" t="str">
        <f t="shared" si="1"/>
        <v>NombreDePersona_019</v>
      </c>
      <c r="C20" s="42">
        <v>2025.0</v>
      </c>
      <c r="D20" s="44">
        <f t="shared" si="2"/>
        <v>12674</v>
      </c>
      <c r="E20" s="43">
        <f t="shared" si="3"/>
        <v>91</v>
      </c>
      <c r="F20" s="42" t="s">
        <v>128</v>
      </c>
      <c r="G20" s="42" t="s">
        <v>97</v>
      </c>
      <c r="H20" s="43" t="str">
        <f t="shared" si="4"/>
        <v>55 55 0018 0018</v>
      </c>
      <c r="I20" s="43" t="str">
        <f t="shared" si="5"/>
        <v>usuario18@ejemplo.com</v>
      </c>
      <c r="J20" s="46" t="str">
        <f t="shared" si="6"/>
        <v/>
      </c>
      <c r="K20" s="47" t="str">
        <f t="shared" si="7"/>
        <v>Adulto Mayor</v>
      </c>
    </row>
    <row r="21">
      <c r="A21" s="42" t="s">
        <v>129</v>
      </c>
      <c r="B21" s="43" t="str">
        <f t="shared" si="1"/>
        <v>NombreDePersona_020</v>
      </c>
      <c r="C21" s="47">
        <v>2025.0</v>
      </c>
      <c r="D21" s="44">
        <f t="shared" si="2"/>
        <v>24941</v>
      </c>
      <c r="E21" s="43">
        <f t="shared" si="3"/>
        <v>57</v>
      </c>
      <c r="F21" s="48" t="s">
        <v>109</v>
      </c>
      <c r="G21" s="48" t="s">
        <v>126</v>
      </c>
      <c r="H21" s="43" t="str">
        <f t="shared" si="4"/>
        <v>55 55 0019 0019</v>
      </c>
      <c r="I21" s="43" t="str">
        <f t="shared" si="5"/>
        <v>usuario19@ejemplo.com</v>
      </c>
      <c r="J21" s="46" t="str">
        <f t="shared" si="6"/>
        <v/>
      </c>
      <c r="K21" s="47" t="str">
        <f t="shared" si="7"/>
        <v>Adulto</v>
      </c>
    </row>
    <row r="22">
      <c r="A22" s="42" t="s">
        <v>130</v>
      </c>
      <c r="B22" s="43" t="str">
        <f t="shared" si="1"/>
        <v>NombreDePersona_021</v>
      </c>
      <c r="C22" s="47">
        <v>2025.0</v>
      </c>
      <c r="D22" s="44">
        <f t="shared" si="2"/>
        <v>15252</v>
      </c>
      <c r="E22" s="43">
        <f t="shared" si="3"/>
        <v>84</v>
      </c>
      <c r="F22" s="47" t="s">
        <v>109</v>
      </c>
      <c r="G22" s="47" t="s">
        <v>131</v>
      </c>
      <c r="H22" s="43" t="str">
        <f t="shared" si="4"/>
        <v>55 55 0020 0020</v>
      </c>
      <c r="I22" s="43" t="str">
        <f t="shared" si="5"/>
        <v>usuario20@ejemplo.com</v>
      </c>
      <c r="J22" s="46" t="str">
        <f t="shared" si="6"/>
        <v/>
      </c>
      <c r="K22" s="47" t="str">
        <f t="shared" si="7"/>
        <v>Adulto Mayor</v>
      </c>
    </row>
    <row r="23">
      <c r="A23" s="42" t="s">
        <v>132</v>
      </c>
      <c r="B23" s="43" t="str">
        <f t="shared" si="1"/>
        <v>NombreDePersona_022</v>
      </c>
      <c r="C23" s="47">
        <v>2025.0</v>
      </c>
      <c r="D23" s="44">
        <f t="shared" si="2"/>
        <v>14028</v>
      </c>
      <c r="E23" s="43">
        <f t="shared" si="3"/>
        <v>87</v>
      </c>
      <c r="F23" s="47" t="s">
        <v>109</v>
      </c>
      <c r="G23" s="48" t="s">
        <v>133</v>
      </c>
      <c r="H23" s="43" t="str">
        <f t="shared" si="4"/>
        <v>55 55 0021 0021</v>
      </c>
      <c r="I23" s="43" t="str">
        <f t="shared" si="5"/>
        <v>usuario21@ejemplo.com</v>
      </c>
      <c r="J23" s="46" t="str">
        <f t="shared" si="6"/>
        <v/>
      </c>
      <c r="K23" s="47" t="str">
        <f t="shared" si="7"/>
        <v>Adulto Mayor</v>
      </c>
    </row>
    <row r="24">
      <c r="A24" s="42" t="s">
        <v>134</v>
      </c>
      <c r="B24" s="43" t="str">
        <f t="shared" si="1"/>
        <v>NombreDePersona_023</v>
      </c>
      <c r="C24" s="42">
        <v>2025.0</v>
      </c>
      <c r="D24" s="44">
        <f t="shared" si="2"/>
        <v>42512</v>
      </c>
      <c r="E24" s="43">
        <f t="shared" si="3"/>
        <v>9</v>
      </c>
      <c r="F24" s="42" t="s">
        <v>135</v>
      </c>
      <c r="G24" s="42" t="s">
        <v>136</v>
      </c>
      <c r="H24" s="43" t="str">
        <f t="shared" si="4"/>
        <v>55 55 0022 0022</v>
      </c>
      <c r="I24" s="43" t="str">
        <f t="shared" si="5"/>
        <v>usuario22@ejemplo.com</v>
      </c>
      <c r="J24" s="46" t="str">
        <f t="shared" si="6"/>
        <v>Tutor_022</v>
      </c>
      <c r="K24" s="47" t="str">
        <f t="shared" si="7"/>
        <v>Infancia</v>
      </c>
    </row>
    <row r="25">
      <c r="A25" s="42" t="s">
        <v>137</v>
      </c>
      <c r="B25" s="43" t="str">
        <f t="shared" si="1"/>
        <v>NombreDePersona_024</v>
      </c>
      <c r="C25" s="42">
        <v>2025.0</v>
      </c>
      <c r="D25" s="44">
        <f t="shared" si="2"/>
        <v>39875</v>
      </c>
      <c r="E25" s="43">
        <f t="shared" si="3"/>
        <v>16</v>
      </c>
      <c r="F25" s="42" t="s">
        <v>138</v>
      </c>
      <c r="G25" s="42" t="s">
        <v>139</v>
      </c>
      <c r="H25" s="43" t="str">
        <f t="shared" si="4"/>
        <v>55 55 0023 0023</v>
      </c>
      <c r="I25" s="43" t="str">
        <f t="shared" si="5"/>
        <v>usuario23@ejemplo.com</v>
      </c>
      <c r="J25" s="46" t="str">
        <f t="shared" si="6"/>
        <v>Tutor_023</v>
      </c>
      <c r="K25" s="47" t="str">
        <f t="shared" si="7"/>
        <v>Adolescente</v>
      </c>
    </row>
    <row r="26">
      <c r="A26" s="42" t="s">
        <v>140</v>
      </c>
      <c r="B26" s="43" t="str">
        <f t="shared" si="1"/>
        <v>NombreDePersona_025</v>
      </c>
      <c r="C26" s="42">
        <v>2025.0</v>
      </c>
      <c r="D26" s="44">
        <f t="shared" si="2"/>
        <v>37332</v>
      </c>
      <c r="E26" s="43">
        <f t="shared" si="3"/>
        <v>23</v>
      </c>
      <c r="F26" s="42" t="s">
        <v>141</v>
      </c>
      <c r="G26" s="42" t="s">
        <v>97</v>
      </c>
      <c r="H26" s="43" t="str">
        <f t="shared" si="4"/>
        <v>55 55 0024 0024</v>
      </c>
      <c r="I26" s="43" t="str">
        <f t="shared" si="5"/>
        <v>usuario24@ejemplo.com</v>
      </c>
      <c r="J26" s="46" t="str">
        <f t="shared" si="6"/>
        <v/>
      </c>
      <c r="K26" s="47" t="str">
        <f t="shared" si="7"/>
        <v>Jóven adulto</v>
      </c>
    </row>
    <row r="27">
      <c r="A27" s="42" t="s">
        <v>142</v>
      </c>
      <c r="B27" s="43" t="str">
        <f t="shared" si="1"/>
        <v>NombreDePersona_026</v>
      </c>
      <c r="C27" s="47">
        <v>2025.0</v>
      </c>
      <c r="D27" s="44">
        <f t="shared" si="2"/>
        <v>38360</v>
      </c>
      <c r="E27" s="43">
        <f t="shared" si="3"/>
        <v>21</v>
      </c>
      <c r="F27" s="48" t="s">
        <v>143</v>
      </c>
      <c r="G27" s="48" t="s">
        <v>97</v>
      </c>
      <c r="H27" s="43" t="str">
        <f t="shared" si="4"/>
        <v>55 55 0025 0025</v>
      </c>
      <c r="I27" s="43" t="str">
        <f t="shared" si="5"/>
        <v>usuario25@ejemplo.com</v>
      </c>
      <c r="J27" s="46" t="str">
        <f t="shared" si="6"/>
        <v/>
      </c>
      <c r="K27" s="47" t="str">
        <f t="shared" si="7"/>
        <v>Jóven adulto</v>
      </c>
    </row>
    <row r="28">
      <c r="A28" s="42" t="s">
        <v>144</v>
      </c>
      <c r="B28" s="43" t="str">
        <f t="shared" si="1"/>
        <v>NombreDePersona_027</v>
      </c>
      <c r="C28" s="42">
        <v>2025.0</v>
      </c>
      <c r="D28" s="44">
        <f t="shared" si="2"/>
        <v>39269</v>
      </c>
      <c r="E28" s="43">
        <f t="shared" si="3"/>
        <v>18</v>
      </c>
      <c r="F28" s="42" t="s">
        <v>92</v>
      </c>
      <c r="G28" s="47" t="s">
        <v>145</v>
      </c>
      <c r="H28" s="43" t="str">
        <f t="shared" si="4"/>
        <v>55 55 0026 0026</v>
      </c>
      <c r="I28" s="43" t="str">
        <f t="shared" si="5"/>
        <v>usuario26@ejemplo.com</v>
      </c>
      <c r="J28" s="46" t="str">
        <f t="shared" si="6"/>
        <v>Tutor_026</v>
      </c>
      <c r="K28" s="47" t="str">
        <f t="shared" si="7"/>
        <v>Jóven adulto</v>
      </c>
    </row>
    <row r="29">
      <c r="A29" s="42" t="s">
        <v>146</v>
      </c>
      <c r="B29" s="43" t="str">
        <f t="shared" si="1"/>
        <v>NombreDePersona_028</v>
      </c>
      <c r="C29" s="42">
        <v>2025.0</v>
      </c>
      <c r="D29" s="44">
        <f t="shared" si="2"/>
        <v>12066</v>
      </c>
      <c r="E29" s="43">
        <f t="shared" si="3"/>
        <v>93</v>
      </c>
      <c r="F29" s="42" t="s">
        <v>109</v>
      </c>
      <c r="G29" s="47" t="s">
        <v>104</v>
      </c>
      <c r="H29" s="43" t="str">
        <f t="shared" si="4"/>
        <v>55 55 0027 0027</v>
      </c>
      <c r="I29" s="43" t="str">
        <f t="shared" si="5"/>
        <v>usuario27@ejemplo.com</v>
      </c>
      <c r="J29" s="46" t="str">
        <f t="shared" si="6"/>
        <v/>
      </c>
      <c r="K29" s="47" t="str">
        <f t="shared" si="7"/>
        <v>Adulto Mayor</v>
      </c>
    </row>
    <row r="30">
      <c r="A30" s="42" t="s">
        <v>147</v>
      </c>
      <c r="B30" s="43" t="str">
        <f t="shared" si="1"/>
        <v>NombreDePersona_029</v>
      </c>
      <c r="C30" s="42">
        <v>2024.0</v>
      </c>
      <c r="D30" s="44">
        <f t="shared" si="2"/>
        <v>40238</v>
      </c>
      <c r="E30" s="43">
        <f t="shared" si="3"/>
        <v>15</v>
      </c>
      <c r="F30" s="47" t="s">
        <v>148</v>
      </c>
      <c r="G30" s="42" t="s">
        <v>97</v>
      </c>
      <c r="H30" s="43" t="str">
        <f t="shared" si="4"/>
        <v>55 55 0028 0028</v>
      </c>
      <c r="I30" s="43" t="str">
        <f t="shared" si="5"/>
        <v>usuario28@ejemplo.com</v>
      </c>
      <c r="J30" s="46" t="str">
        <f t="shared" si="6"/>
        <v>Tutor_028</v>
      </c>
      <c r="K30" s="47" t="str">
        <f t="shared" si="7"/>
        <v>Adolescente</v>
      </c>
    </row>
    <row r="31">
      <c r="A31" s="42" t="s">
        <v>149</v>
      </c>
      <c r="B31" s="43" t="str">
        <f t="shared" si="1"/>
        <v>NombreDePersona_030</v>
      </c>
      <c r="C31" s="42">
        <v>2025.0</v>
      </c>
      <c r="D31" s="44">
        <f t="shared" si="2"/>
        <v>10390</v>
      </c>
      <c r="E31" s="43">
        <f t="shared" si="3"/>
        <v>97</v>
      </c>
      <c r="F31" s="42" t="s">
        <v>122</v>
      </c>
      <c r="G31" s="42" t="s">
        <v>150</v>
      </c>
      <c r="H31" s="43" t="str">
        <f t="shared" si="4"/>
        <v>55 55 0029 0029</v>
      </c>
      <c r="I31" s="43" t="str">
        <f t="shared" si="5"/>
        <v>usuario29@ejemplo.com</v>
      </c>
      <c r="J31" s="46" t="str">
        <f t="shared" si="6"/>
        <v/>
      </c>
      <c r="K31" s="47" t="str">
        <f t="shared" si="7"/>
        <v>Adulto Mayor</v>
      </c>
    </row>
    <row r="32">
      <c r="A32" s="42" t="s">
        <v>151</v>
      </c>
      <c r="B32" s="43" t="str">
        <f t="shared" si="1"/>
        <v>NombreDePersona_031</v>
      </c>
      <c r="C32" s="42">
        <v>2024.0</v>
      </c>
      <c r="D32" s="44">
        <f t="shared" si="2"/>
        <v>33049</v>
      </c>
      <c r="E32" s="43">
        <f t="shared" si="3"/>
        <v>35</v>
      </c>
      <c r="F32" s="47" t="s">
        <v>141</v>
      </c>
      <c r="G32" s="42" t="s">
        <v>107</v>
      </c>
      <c r="H32" s="43" t="str">
        <f t="shared" si="4"/>
        <v>55 55 0030 0030</v>
      </c>
      <c r="I32" s="43" t="str">
        <f t="shared" si="5"/>
        <v>usuario30@ejemplo.com</v>
      </c>
      <c r="J32" s="46" t="str">
        <f t="shared" si="6"/>
        <v/>
      </c>
      <c r="K32" s="47" t="str">
        <f t="shared" si="7"/>
        <v>Adulto</v>
      </c>
    </row>
    <row r="33">
      <c r="A33" s="42" t="s">
        <v>152</v>
      </c>
      <c r="B33" s="43" t="str">
        <f t="shared" si="1"/>
        <v>NombreDePersona_032</v>
      </c>
      <c r="C33" s="42">
        <v>2024.0</v>
      </c>
      <c r="D33" s="44">
        <f t="shared" si="2"/>
        <v>27600</v>
      </c>
      <c r="E33" s="43">
        <f t="shared" si="3"/>
        <v>50</v>
      </c>
      <c r="F33" s="47" t="s">
        <v>109</v>
      </c>
      <c r="G33" s="47" t="s">
        <v>103</v>
      </c>
      <c r="H33" s="43" t="str">
        <f t="shared" si="4"/>
        <v>55 55 0031 0031</v>
      </c>
      <c r="I33" s="43" t="str">
        <f t="shared" si="5"/>
        <v>usuario31@ejemplo.com</v>
      </c>
      <c r="J33" s="46" t="str">
        <f t="shared" si="6"/>
        <v/>
      </c>
      <c r="K33" s="47" t="s">
        <v>153</v>
      </c>
    </row>
    <row r="34">
      <c r="A34" s="42" t="s">
        <v>154</v>
      </c>
      <c r="B34" s="43" t="str">
        <f t="shared" si="1"/>
        <v>NombreDePersona_033</v>
      </c>
      <c r="C34" s="42">
        <v>2025.0</v>
      </c>
      <c r="D34" s="44">
        <f t="shared" si="2"/>
        <v>34511</v>
      </c>
      <c r="E34" s="43">
        <f t="shared" si="3"/>
        <v>31</v>
      </c>
      <c r="F34" s="42" t="s">
        <v>109</v>
      </c>
      <c r="G34" s="42" t="s">
        <v>97</v>
      </c>
      <c r="H34" s="43" t="str">
        <f t="shared" si="4"/>
        <v>55 55 0032 0032</v>
      </c>
      <c r="I34" s="43" t="str">
        <f t="shared" si="5"/>
        <v>usuario32@ejemplo.com</v>
      </c>
      <c r="J34" s="46" t="str">
        <f t="shared" si="6"/>
        <v/>
      </c>
      <c r="K34" s="47" t="str">
        <f>IF(
  E34="",
  "", IF(
  ISNUMBER(E34),
  IF(E34&lt;=12,"Infancia",
    IF(E34&lt;=17,"Adolescente",
      IF(E34&lt;=29,"Jóven adulto",
        IF(E34&lt;=59,"Adulto",
          IF(E34&gt;=60,"Adulto Mayor","Desconocido")
        )
      )
    )
  ),
  "Desconocido"
))</f>
        <v>Adulto</v>
      </c>
    </row>
    <row r="35">
      <c r="A35" s="42" t="s">
        <v>155</v>
      </c>
      <c r="B35" s="43" t="str">
        <f t="shared" si="1"/>
        <v>NombreDePersona_034</v>
      </c>
      <c r="C35" s="42">
        <v>2024.0</v>
      </c>
      <c r="D35" s="44">
        <f t="shared" si="2"/>
        <v>36378</v>
      </c>
      <c r="E35" s="43">
        <f t="shared" si="3"/>
        <v>26</v>
      </c>
      <c r="F35" s="47" t="s">
        <v>109</v>
      </c>
      <c r="G35" s="47" t="s">
        <v>103</v>
      </c>
      <c r="H35" s="43" t="str">
        <f t="shared" si="4"/>
        <v>55 55 0033 0033</v>
      </c>
      <c r="I35" s="43" t="str">
        <f t="shared" si="5"/>
        <v>usuario33@ejemplo.com</v>
      </c>
      <c r="J35" s="46" t="str">
        <f t="shared" si="6"/>
        <v/>
      </c>
      <c r="K35" s="47" t="s">
        <v>153</v>
      </c>
    </row>
    <row r="36">
      <c r="A36" s="42" t="s">
        <v>156</v>
      </c>
      <c r="B36" s="43" t="str">
        <f t="shared" si="1"/>
        <v>NombreDePersona_035</v>
      </c>
      <c r="C36" s="42">
        <v>2024.0</v>
      </c>
      <c r="D36" s="44">
        <f t="shared" si="2"/>
        <v>28215</v>
      </c>
      <c r="E36" s="43">
        <f t="shared" si="3"/>
        <v>48</v>
      </c>
      <c r="F36" s="47" t="s">
        <v>103</v>
      </c>
      <c r="G36" s="47" t="s">
        <v>97</v>
      </c>
      <c r="H36" s="43" t="str">
        <f t="shared" si="4"/>
        <v>55 55 0034 0034</v>
      </c>
      <c r="I36" s="43" t="str">
        <f t="shared" si="5"/>
        <v>usuario34@ejemplo.com</v>
      </c>
      <c r="J36" s="46" t="str">
        <f t="shared" si="6"/>
        <v/>
      </c>
      <c r="K36" s="47" t="str">
        <f t="shared" ref="K36:K56" si="8">IF(
  E36="",
  "", IF(
  ISNUMBER(E36),
  IF(E36&lt;=12,"Infancia",
    IF(E36&lt;=17,"Adolescente",
      IF(E36&lt;=29,"Jóven adulto",
        IF(E36&lt;=59,"Adulto",
          IF(E36&gt;=60,"Adulto Mayor","Desconocido")
        )
      )
    )
  ),
  "Desconocido"
))</f>
        <v>Adulto</v>
      </c>
    </row>
    <row r="37">
      <c r="A37" s="42" t="s">
        <v>157</v>
      </c>
      <c r="B37" s="43" t="str">
        <f t="shared" si="1"/>
        <v>NombreDePersona_036</v>
      </c>
      <c r="C37" s="47">
        <v>2025.0</v>
      </c>
      <c r="D37" s="44">
        <f t="shared" si="2"/>
        <v>37467</v>
      </c>
      <c r="E37" s="43">
        <f t="shared" si="3"/>
        <v>23</v>
      </c>
      <c r="F37" s="48" t="s">
        <v>109</v>
      </c>
      <c r="G37" s="48" t="s">
        <v>126</v>
      </c>
      <c r="H37" s="43" t="str">
        <f t="shared" si="4"/>
        <v>55 55 0035 0035</v>
      </c>
      <c r="I37" s="43" t="str">
        <f t="shared" si="5"/>
        <v>usuario35@ejemplo.com</v>
      </c>
      <c r="J37" s="46" t="str">
        <f t="shared" si="6"/>
        <v/>
      </c>
      <c r="K37" s="47" t="str">
        <f t="shared" si="8"/>
        <v>Jóven adulto</v>
      </c>
    </row>
    <row r="38">
      <c r="A38" s="42" t="s">
        <v>158</v>
      </c>
      <c r="B38" s="43" t="str">
        <f t="shared" si="1"/>
        <v>NombreDePersona_037</v>
      </c>
      <c r="C38" s="42">
        <v>2025.0</v>
      </c>
      <c r="D38" s="44">
        <f t="shared" si="2"/>
        <v>10104</v>
      </c>
      <c r="E38" s="43">
        <f t="shared" si="3"/>
        <v>98</v>
      </c>
      <c r="F38" s="47" t="s">
        <v>109</v>
      </c>
      <c r="G38" s="42" t="s">
        <v>120</v>
      </c>
      <c r="H38" s="43" t="str">
        <f t="shared" si="4"/>
        <v>55 55 0036 0036</v>
      </c>
      <c r="I38" s="43" t="str">
        <f t="shared" si="5"/>
        <v>usuario36@ejemplo.com</v>
      </c>
      <c r="J38" s="46" t="str">
        <f t="shared" si="6"/>
        <v/>
      </c>
      <c r="K38" s="47" t="str">
        <f t="shared" si="8"/>
        <v>Adulto Mayor</v>
      </c>
    </row>
    <row r="39">
      <c r="A39" s="42" t="s">
        <v>159</v>
      </c>
      <c r="B39" s="43" t="str">
        <f t="shared" si="1"/>
        <v>NombreDePersona_038</v>
      </c>
      <c r="C39" s="42">
        <v>2024.0</v>
      </c>
      <c r="D39" s="44">
        <f t="shared" si="2"/>
        <v>12186</v>
      </c>
      <c r="E39" s="43">
        <f t="shared" si="3"/>
        <v>92</v>
      </c>
      <c r="F39" s="42" t="s">
        <v>92</v>
      </c>
      <c r="G39" s="42" t="s">
        <v>93</v>
      </c>
      <c r="H39" s="43" t="str">
        <f t="shared" si="4"/>
        <v>55 55 0037 0037</v>
      </c>
      <c r="I39" s="43" t="str">
        <f t="shared" si="5"/>
        <v>usuario37@ejemplo.com</v>
      </c>
      <c r="J39" s="46" t="str">
        <f t="shared" si="6"/>
        <v/>
      </c>
      <c r="K39" s="47" t="str">
        <f t="shared" si="8"/>
        <v>Adulto Mayor</v>
      </c>
    </row>
    <row r="40">
      <c r="A40" s="42" t="s">
        <v>160</v>
      </c>
      <c r="B40" s="43" t="str">
        <f t="shared" si="1"/>
        <v>NombreDePersona_039</v>
      </c>
      <c r="C40" s="47">
        <v>2025.0</v>
      </c>
      <c r="D40" s="44">
        <f t="shared" si="2"/>
        <v>14521</v>
      </c>
      <c r="E40" s="43">
        <f t="shared" si="3"/>
        <v>86</v>
      </c>
      <c r="F40" s="48" t="s">
        <v>109</v>
      </c>
      <c r="G40" s="48" t="s">
        <v>136</v>
      </c>
      <c r="H40" s="43" t="str">
        <f t="shared" si="4"/>
        <v>55 55 0038 0038</v>
      </c>
      <c r="I40" s="43" t="str">
        <f t="shared" si="5"/>
        <v>usuario38@ejemplo.com</v>
      </c>
      <c r="J40" s="46" t="str">
        <f t="shared" si="6"/>
        <v/>
      </c>
      <c r="K40" s="47" t="str">
        <f t="shared" si="8"/>
        <v>Adulto Mayor</v>
      </c>
    </row>
    <row r="41">
      <c r="A41" s="42" t="s">
        <v>161</v>
      </c>
      <c r="B41" s="43" t="str">
        <f t="shared" si="1"/>
        <v>NombreDePersona_040</v>
      </c>
      <c r="C41" s="42">
        <v>2025.0</v>
      </c>
      <c r="D41" s="44">
        <f t="shared" si="2"/>
        <v>41113</v>
      </c>
      <c r="E41" s="43">
        <f t="shared" si="3"/>
        <v>13</v>
      </c>
      <c r="F41" s="42" t="s">
        <v>162</v>
      </c>
      <c r="G41" s="42" t="s">
        <v>163</v>
      </c>
      <c r="H41" s="43" t="str">
        <f t="shared" si="4"/>
        <v>55 55 0039 0039</v>
      </c>
      <c r="I41" s="43" t="str">
        <f t="shared" si="5"/>
        <v>usuario39@ejemplo.com</v>
      </c>
      <c r="J41" s="46" t="str">
        <f t="shared" si="6"/>
        <v>Tutor_039</v>
      </c>
      <c r="K41" s="47" t="str">
        <f t="shared" si="8"/>
        <v>Adolescente</v>
      </c>
    </row>
    <row r="42">
      <c r="A42" s="42" t="s">
        <v>164</v>
      </c>
      <c r="B42" s="43" t="str">
        <f t="shared" si="1"/>
        <v>NombreDePersona_041</v>
      </c>
      <c r="C42" s="42">
        <v>2025.0</v>
      </c>
      <c r="D42" s="44">
        <f t="shared" si="2"/>
        <v>11198</v>
      </c>
      <c r="E42" s="43">
        <f t="shared" si="3"/>
        <v>95</v>
      </c>
      <c r="F42" s="42" t="s">
        <v>165</v>
      </c>
      <c r="G42" s="42" t="s">
        <v>166</v>
      </c>
      <c r="H42" s="43" t="str">
        <f t="shared" si="4"/>
        <v>55 55 0040 0040</v>
      </c>
      <c r="I42" s="43" t="str">
        <f t="shared" si="5"/>
        <v>usuario40@ejemplo.com</v>
      </c>
      <c r="J42" s="46" t="str">
        <f t="shared" si="6"/>
        <v/>
      </c>
      <c r="K42" s="47" t="str">
        <f t="shared" si="8"/>
        <v>Adulto Mayor</v>
      </c>
    </row>
    <row r="43">
      <c r="A43" s="42" t="s">
        <v>167</v>
      </c>
      <c r="B43" s="43" t="str">
        <f t="shared" si="1"/>
        <v>NombreDePersona_042</v>
      </c>
      <c r="C43" s="42">
        <v>2025.0</v>
      </c>
      <c r="D43" s="44">
        <f t="shared" si="2"/>
        <v>12937</v>
      </c>
      <c r="E43" s="43">
        <f t="shared" si="3"/>
        <v>90</v>
      </c>
      <c r="F43" s="42" t="s">
        <v>109</v>
      </c>
      <c r="G43" s="47" t="s">
        <v>97</v>
      </c>
      <c r="H43" s="43" t="str">
        <f t="shared" si="4"/>
        <v>55 55 0041 0041</v>
      </c>
      <c r="I43" s="43" t="str">
        <f t="shared" si="5"/>
        <v>usuario41@ejemplo.com</v>
      </c>
      <c r="J43" s="46" t="str">
        <f t="shared" si="6"/>
        <v/>
      </c>
      <c r="K43" s="47" t="str">
        <f t="shared" si="8"/>
        <v>Adulto Mayor</v>
      </c>
    </row>
    <row r="44">
      <c r="A44" s="42" t="s">
        <v>168</v>
      </c>
      <c r="B44" s="43" t="str">
        <f t="shared" si="1"/>
        <v>NombreDePersona_043</v>
      </c>
      <c r="C44" s="42">
        <v>2025.0</v>
      </c>
      <c r="D44" s="44">
        <f t="shared" si="2"/>
        <v>35458</v>
      </c>
      <c r="E44" s="43">
        <f t="shared" si="3"/>
        <v>28</v>
      </c>
      <c r="F44" s="47" t="s">
        <v>109</v>
      </c>
      <c r="G44" s="42" t="s">
        <v>169</v>
      </c>
      <c r="H44" s="43" t="str">
        <f t="shared" si="4"/>
        <v>55 55 0042 0042</v>
      </c>
      <c r="I44" s="43" t="str">
        <f t="shared" si="5"/>
        <v>usuario42@ejemplo.com</v>
      </c>
      <c r="J44" s="46" t="str">
        <f t="shared" si="6"/>
        <v/>
      </c>
      <c r="K44" s="47" t="str">
        <f t="shared" si="8"/>
        <v>Jóven adulto</v>
      </c>
    </row>
    <row r="45">
      <c r="A45" s="42" t="s">
        <v>170</v>
      </c>
      <c r="B45" s="43" t="str">
        <f t="shared" si="1"/>
        <v>NombreDePersona_044</v>
      </c>
      <c r="C45" s="42">
        <v>2025.0</v>
      </c>
      <c r="D45" s="44">
        <f t="shared" si="2"/>
        <v>26404</v>
      </c>
      <c r="E45" s="43">
        <f t="shared" si="3"/>
        <v>53</v>
      </c>
      <c r="F45" s="42" t="s">
        <v>171</v>
      </c>
      <c r="G45" s="42" t="s">
        <v>93</v>
      </c>
      <c r="H45" s="43" t="str">
        <f t="shared" si="4"/>
        <v>55 55 0043 0043</v>
      </c>
      <c r="I45" s="43" t="str">
        <f t="shared" si="5"/>
        <v>usuario43@ejemplo.com</v>
      </c>
      <c r="J45" s="46" t="str">
        <f t="shared" si="6"/>
        <v/>
      </c>
      <c r="K45" s="47" t="str">
        <f t="shared" si="8"/>
        <v>Adulto</v>
      </c>
    </row>
    <row r="46">
      <c r="A46" s="42" t="s">
        <v>172</v>
      </c>
      <c r="B46" s="43" t="str">
        <f t="shared" si="1"/>
        <v>NombreDePersona_045</v>
      </c>
      <c r="C46" s="42">
        <v>2025.0</v>
      </c>
      <c r="D46" s="44">
        <f t="shared" si="2"/>
        <v>27136</v>
      </c>
      <c r="E46" s="43">
        <f t="shared" si="3"/>
        <v>51</v>
      </c>
      <c r="F46" s="42" t="s">
        <v>173</v>
      </c>
      <c r="G46" s="42" t="s">
        <v>93</v>
      </c>
      <c r="H46" s="43" t="str">
        <f t="shared" si="4"/>
        <v>55 55 0044 0044</v>
      </c>
      <c r="I46" s="43" t="str">
        <f t="shared" si="5"/>
        <v>usuario44@ejemplo.com</v>
      </c>
      <c r="J46" s="46" t="str">
        <f t="shared" si="6"/>
        <v/>
      </c>
      <c r="K46" s="47" t="str">
        <f t="shared" si="8"/>
        <v>Adulto</v>
      </c>
    </row>
    <row r="47">
      <c r="A47" s="42" t="s">
        <v>174</v>
      </c>
      <c r="B47" s="43" t="str">
        <f t="shared" si="1"/>
        <v>NombreDePersona_046</v>
      </c>
      <c r="C47" s="42">
        <v>2025.0</v>
      </c>
      <c r="D47" s="44">
        <f t="shared" si="2"/>
        <v>20583</v>
      </c>
      <c r="E47" s="43">
        <f t="shared" si="3"/>
        <v>69</v>
      </c>
      <c r="F47" s="47" t="s">
        <v>109</v>
      </c>
      <c r="G47" s="47" t="s">
        <v>97</v>
      </c>
      <c r="H47" s="43" t="str">
        <f t="shared" si="4"/>
        <v>55 55 0045 0045</v>
      </c>
      <c r="I47" s="43" t="str">
        <f t="shared" si="5"/>
        <v>usuario45@ejemplo.com</v>
      </c>
      <c r="J47" s="46" t="str">
        <f t="shared" si="6"/>
        <v/>
      </c>
      <c r="K47" s="47" t="str">
        <f t="shared" si="8"/>
        <v>Adulto Mayor</v>
      </c>
    </row>
    <row r="48">
      <c r="A48" s="42" t="s">
        <v>175</v>
      </c>
      <c r="B48" s="43" t="str">
        <f t="shared" si="1"/>
        <v>NombreDePersona_047</v>
      </c>
      <c r="C48" s="42">
        <v>2025.0</v>
      </c>
      <c r="D48" s="44">
        <f t="shared" si="2"/>
        <v>32508</v>
      </c>
      <c r="E48" s="43">
        <f t="shared" si="3"/>
        <v>37</v>
      </c>
      <c r="F48" s="42" t="s">
        <v>176</v>
      </c>
      <c r="G48" s="42" t="s">
        <v>177</v>
      </c>
      <c r="H48" s="43" t="str">
        <f t="shared" si="4"/>
        <v>55 55 0046 0046</v>
      </c>
      <c r="I48" s="43" t="str">
        <f t="shared" si="5"/>
        <v>usuario46@ejemplo.com</v>
      </c>
      <c r="J48" s="46" t="str">
        <f t="shared" si="6"/>
        <v/>
      </c>
      <c r="K48" s="47" t="str">
        <f t="shared" si="8"/>
        <v>Adulto</v>
      </c>
    </row>
    <row r="49">
      <c r="A49" s="42" t="s">
        <v>178</v>
      </c>
      <c r="B49" s="43" t="str">
        <f t="shared" si="1"/>
        <v>NombreDePersona_048</v>
      </c>
      <c r="C49" s="47">
        <v>2025.0</v>
      </c>
      <c r="D49" s="44">
        <f t="shared" si="2"/>
        <v>20613</v>
      </c>
      <c r="E49" s="43">
        <f t="shared" si="3"/>
        <v>69</v>
      </c>
      <c r="F49" s="48" t="s">
        <v>109</v>
      </c>
      <c r="G49" s="48" t="s">
        <v>97</v>
      </c>
      <c r="H49" s="43" t="str">
        <f t="shared" si="4"/>
        <v>55 55 0047 0047</v>
      </c>
      <c r="I49" s="43" t="str">
        <f t="shared" si="5"/>
        <v>usuario47@ejemplo.com</v>
      </c>
      <c r="J49" s="46" t="str">
        <f t="shared" si="6"/>
        <v/>
      </c>
      <c r="K49" s="47" t="str">
        <f t="shared" si="8"/>
        <v>Adulto Mayor</v>
      </c>
    </row>
    <row r="50">
      <c r="A50" s="42" t="s">
        <v>179</v>
      </c>
      <c r="B50" s="43" t="str">
        <f t="shared" si="1"/>
        <v>NombreDePersona_049</v>
      </c>
      <c r="C50" s="42">
        <v>2025.0</v>
      </c>
      <c r="D50" s="44">
        <f t="shared" si="2"/>
        <v>38328</v>
      </c>
      <c r="E50" s="43">
        <f t="shared" si="3"/>
        <v>21</v>
      </c>
      <c r="F50" s="47" t="s">
        <v>103</v>
      </c>
      <c r="G50" s="47" t="s">
        <v>103</v>
      </c>
      <c r="H50" s="43" t="str">
        <f t="shared" si="4"/>
        <v>55 55 0048 0048</v>
      </c>
      <c r="I50" s="43" t="str">
        <f t="shared" si="5"/>
        <v>usuario48@ejemplo.com</v>
      </c>
      <c r="J50" s="46" t="str">
        <f t="shared" si="6"/>
        <v/>
      </c>
      <c r="K50" s="47" t="str">
        <f t="shared" si="8"/>
        <v>Jóven adulto</v>
      </c>
    </row>
    <row r="51">
      <c r="A51" s="42" t="s">
        <v>180</v>
      </c>
      <c r="B51" s="43" t="str">
        <f t="shared" si="1"/>
        <v>NombreDePersona_050</v>
      </c>
      <c r="C51" s="42">
        <v>2025.0</v>
      </c>
      <c r="D51" s="44">
        <f t="shared" si="2"/>
        <v>42903</v>
      </c>
      <c r="E51" s="43">
        <f t="shared" si="3"/>
        <v>8</v>
      </c>
      <c r="F51" s="42" t="s">
        <v>109</v>
      </c>
      <c r="G51" s="47" t="s">
        <v>97</v>
      </c>
      <c r="H51" s="43" t="str">
        <f t="shared" si="4"/>
        <v>55 55 0049 0049</v>
      </c>
      <c r="I51" s="43" t="str">
        <f t="shared" si="5"/>
        <v>usuario49@ejemplo.com</v>
      </c>
      <c r="J51" s="46" t="str">
        <f t="shared" si="6"/>
        <v>Tutor_049</v>
      </c>
      <c r="K51" s="47" t="str">
        <f t="shared" si="8"/>
        <v>Infancia</v>
      </c>
    </row>
    <row r="52">
      <c r="A52" s="42" t="s">
        <v>181</v>
      </c>
      <c r="B52" s="43" t="str">
        <f t="shared" si="1"/>
        <v>NombreDePersona_051</v>
      </c>
      <c r="C52" s="42">
        <v>2025.0</v>
      </c>
      <c r="D52" s="44">
        <f t="shared" si="2"/>
        <v>36849</v>
      </c>
      <c r="E52" s="43">
        <f t="shared" si="3"/>
        <v>25</v>
      </c>
      <c r="F52" s="42" t="s">
        <v>182</v>
      </c>
      <c r="G52" s="42" t="s">
        <v>93</v>
      </c>
      <c r="H52" s="43" t="str">
        <f t="shared" si="4"/>
        <v>55 55 0050 0050</v>
      </c>
      <c r="I52" s="43" t="str">
        <f t="shared" si="5"/>
        <v>usuario50@ejemplo.com</v>
      </c>
      <c r="J52" s="46" t="str">
        <f t="shared" si="6"/>
        <v/>
      </c>
      <c r="K52" s="47" t="str">
        <f t="shared" si="8"/>
        <v>Jóven adulto</v>
      </c>
    </row>
    <row r="53">
      <c r="A53" s="42" t="s">
        <v>183</v>
      </c>
      <c r="B53" s="43" t="str">
        <f t="shared" si="1"/>
        <v>NombreDePersona_052</v>
      </c>
      <c r="C53" s="47">
        <v>2025.0</v>
      </c>
      <c r="D53" s="44">
        <f t="shared" si="2"/>
        <v>20923</v>
      </c>
      <c r="E53" s="43">
        <f t="shared" si="3"/>
        <v>68</v>
      </c>
      <c r="F53" s="47" t="s">
        <v>109</v>
      </c>
      <c r="G53" s="47" t="s">
        <v>93</v>
      </c>
      <c r="H53" s="43" t="str">
        <f t="shared" si="4"/>
        <v>55 55 0051 0051</v>
      </c>
      <c r="I53" s="43" t="str">
        <f t="shared" si="5"/>
        <v>usuario51@ejemplo.com</v>
      </c>
      <c r="J53" s="46" t="str">
        <f t="shared" si="6"/>
        <v/>
      </c>
      <c r="K53" s="47" t="str">
        <f t="shared" si="8"/>
        <v>Adulto Mayor</v>
      </c>
    </row>
    <row r="54">
      <c r="A54" s="42" t="s">
        <v>184</v>
      </c>
      <c r="B54" s="43" t="str">
        <f t="shared" si="1"/>
        <v>NombreDePersona_053</v>
      </c>
      <c r="C54" s="42">
        <v>2025.0</v>
      </c>
      <c r="D54" s="44">
        <f t="shared" si="2"/>
        <v>15240</v>
      </c>
      <c r="E54" s="43">
        <f t="shared" si="3"/>
        <v>84</v>
      </c>
      <c r="F54" s="42" t="s">
        <v>109</v>
      </c>
      <c r="G54" s="42" t="s">
        <v>93</v>
      </c>
      <c r="H54" s="43" t="str">
        <f t="shared" si="4"/>
        <v>55 55 0052 0052</v>
      </c>
      <c r="I54" s="43" t="str">
        <f t="shared" si="5"/>
        <v>usuario52@ejemplo.com</v>
      </c>
      <c r="J54" s="46" t="str">
        <f t="shared" si="6"/>
        <v/>
      </c>
      <c r="K54" s="47" t="str">
        <f t="shared" si="8"/>
        <v>Adulto Mayor</v>
      </c>
    </row>
    <row r="55">
      <c r="A55" s="42" t="s">
        <v>185</v>
      </c>
      <c r="B55" s="43" t="str">
        <f t="shared" si="1"/>
        <v>NombreDePersona_054</v>
      </c>
      <c r="C55" s="42">
        <v>2024.0</v>
      </c>
      <c r="D55" s="44">
        <f t="shared" si="2"/>
        <v>25786</v>
      </c>
      <c r="E55" s="43">
        <f t="shared" si="3"/>
        <v>55</v>
      </c>
      <c r="F55" s="47" t="s">
        <v>103</v>
      </c>
      <c r="G55" s="47" t="s">
        <v>103</v>
      </c>
      <c r="H55" s="43" t="str">
        <f t="shared" si="4"/>
        <v>55 55 0053 0053</v>
      </c>
      <c r="I55" s="43" t="str">
        <f t="shared" si="5"/>
        <v>usuario53@ejemplo.com</v>
      </c>
      <c r="J55" s="46" t="str">
        <f t="shared" si="6"/>
        <v/>
      </c>
      <c r="K55" s="47" t="str">
        <f t="shared" si="8"/>
        <v>Adulto</v>
      </c>
    </row>
    <row r="56">
      <c r="A56" s="42" t="s">
        <v>186</v>
      </c>
      <c r="B56" s="43" t="str">
        <f t="shared" si="1"/>
        <v>NombreDePersona_055</v>
      </c>
      <c r="C56" s="42">
        <v>2025.0</v>
      </c>
      <c r="D56" s="44">
        <f t="shared" si="2"/>
        <v>35050</v>
      </c>
      <c r="E56" s="43">
        <f t="shared" si="3"/>
        <v>30</v>
      </c>
      <c r="F56" s="47" t="s">
        <v>103</v>
      </c>
      <c r="G56" s="47" t="s">
        <v>103</v>
      </c>
      <c r="H56" s="43" t="str">
        <f t="shared" si="4"/>
        <v>55 55 0054 0054</v>
      </c>
      <c r="I56" s="43" t="str">
        <f t="shared" si="5"/>
        <v>usuario54@ejemplo.com</v>
      </c>
      <c r="J56" s="46" t="str">
        <f t="shared" si="6"/>
        <v/>
      </c>
      <c r="K56" s="47" t="str">
        <f t="shared" si="8"/>
        <v>Adulto</v>
      </c>
    </row>
    <row r="57">
      <c r="A57" s="42" t="s">
        <v>187</v>
      </c>
      <c r="B57" s="43" t="str">
        <f t="shared" si="1"/>
        <v>NombreDePersona_056</v>
      </c>
      <c r="C57" s="42">
        <v>2024.0</v>
      </c>
      <c r="D57" s="44">
        <f t="shared" si="2"/>
        <v>36263</v>
      </c>
      <c r="E57" s="43">
        <f t="shared" si="3"/>
        <v>26</v>
      </c>
      <c r="F57" s="47" t="s">
        <v>109</v>
      </c>
      <c r="G57" s="42" t="s">
        <v>188</v>
      </c>
      <c r="H57" s="43" t="str">
        <f t="shared" si="4"/>
        <v>55 55 0055 0055</v>
      </c>
      <c r="I57" s="43" t="str">
        <f t="shared" si="5"/>
        <v>usuario55@ejemplo.com</v>
      </c>
      <c r="J57" s="46" t="str">
        <f t="shared" si="6"/>
        <v/>
      </c>
      <c r="K57" s="47" t="s">
        <v>153</v>
      </c>
    </row>
    <row r="58">
      <c r="A58" s="42" t="s">
        <v>189</v>
      </c>
      <c r="B58" s="43" t="str">
        <f t="shared" si="1"/>
        <v>NombreDePersona_057</v>
      </c>
      <c r="C58" s="42">
        <v>2025.0</v>
      </c>
      <c r="D58" s="44">
        <f t="shared" si="2"/>
        <v>36172</v>
      </c>
      <c r="E58" s="43">
        <f t="shared" si="3"/>
        <v>27</v>
      </c>
      <c r="F58" s="42" t="s">
        <v>92</v>
      </c>
      <c r="G58" s="42" t="s">
        <v>97</v>
      </c>
      <c r="H58" s="43" t="str">
        <f t="shared" si="4"/>
        <v>55 55 0056 0056</v>
      </c>
      <c r="I58" s="43" t="str">
        <f t="shared" si="5"/>
        <v>usuario56@ejemplo.com</v>
      </c>
      <c r="J58" s="46" t="str">
        <f t="shared" si="6"/>
        <v/>
      </c>
      <c r="K58" s="47" t="s">
        <v>153</v>
      </c>
    </row>
    <row r="59">
      <c r="A59" s="42" t="s">
        <v>190</v>
      </c>
      <c r="B59" s="43" t="str">
        <f t="shared" si="1"/>
        <v>NombreDePersona_058</v>
      </c>
      <c r="C59" s="42">
        <v>2025.0</v>
      </c>
      <c r="D59" s="44">
        <f t="shared" si="2"/>
        <v>35888</v>
      </c>
      <c r="E59" s="43">
        <f t="shared" si="3"/>
        <v>27</v>
      </c>
      <c r="F59" s="42" t="s">
        <v>191</v>
      </c>
      <c r="G59" s="42" t="s">
        <v>126</v>
      </c>
      <c r="H59" s="43" t="str">
        <f t="shared" si="4"/>
        <v>55 55 0057 0057</v>
      </c>
      <c r="I59" s="43" t="str">
        <f t="shared" si="5"/>
        <v>usuario57@ejemplo.com</v>
      </c>
      <c r="J59" s="46" t="str">
        <f t="shared" si="6"/>
        <v/>
      </c>
      <c r="K59" s="47" t="str">
        <f t="shared" ref="K59:K73" si="9">IF(
  E59="",
  "", IF(
  ISNUMBER(E59),
  IF(E59&lt;=12,"Infancia",
    IF(E59&lt;=17,"Adolescente",
      IF(E59&lt;=29,"Jóven adulto",
        IF(E59&lt;=59,"Adulto",
          IF(E59&gt;=60,"Adulto Mayor","Desconocido")
        )
      )
    )
  ),
  "Desconocido"
))</f>
        <v>Jóven adulto</v>
      </c>
    </row>
    <row r="60">
      <c r="A60" s="42" t="s">
        <v>192</v>
      </c>
      <c r="B60" s="43" t="str">
        <f t="shared" si="1"/>
        <v>NombreDePersona_059</v>
      </c>
      <c r="C60" s="47">
        <v>2025.0</v>
      </c>
      <c r="D60" s="44">
        <f t="shared" si="2"/>
        <v>43102</v>
      </c>
      <c r="E60" s="43">
        <f t="shared" si="3"/>
        <v>8</v>
      </c>
      <c r="F60" s="48" t="s">
        <v>193</v>
      </c>
      <c r="G60" s="48" t="s">
        <v>133</v>
      </c>
      <c r="H60" s="43" t="str">
        <f t="shared" si="4"/>
        <v>55 55 0058 0058</v>
      </c>
      <c r="I60" s="43" t="str">
        <f t="shared" si="5"/>
        <v>usuario58@ejemplo.com</v>
      </c>
      <c r="J60" s="46" t="str">
        <f t="shared" si="6"/>
        <v>Tutor_058</v>
      </c>
      <c r="K60" s="47" t="str">
        <f t="shared" si="9"/>
        <v>Infancia</v>
      </c>
    </row>
    <row r="61">
      <c r="A61" s="42" t="s">
        <v>194</v>
      </c>
      <c r="B61" s="43" t="str">
        <f t="shared" si="1"/>
        <v>NombreDePersona_060</v>
      </c>
      <c r="C61" s="42">
        <v>2025.0</v>
      </c>
      <c r="D61" s="44">
        <f t="shared" si="2"/>
        <v>25230</v>
      </c>
      <c r="E61" s="43">
        <f t="shared" si="3"/>
        <v>56</v>
      </c>
      <c r="F61" s="42" t="s">
        <v>109</v>
      </c>
      <c r="G61" s="47" t="s">
        <v>97</v>
      </c>
      <c r="H61" s="43" t="str">
        <f t="shared" si="4"/>
        <v>55 55 0059 0059</v>
      </c>
      <c r="I61" s="43" t="str">
        <f t="shared" si="5"/>
        <v>usuario59@ejemplo.com</v>
      </c>
      <c r="J61" s="46" t="str">
        <f t="shared" si="6"/>
        <v/>
      </c>
      <c r="K61" s="47" t="str">
        <f t="shared" si="9"/>
        <v>Adulto</v>
      </c>
    </row>
    <row r="62">
      <c r="A62" s="42" t="s">
        <v>195</v>
      </c>
      <c r="B62" s="43" t="str">
        <f t="shared" si="1"/>
        <v>NombreDePersona_061</v>
      </c>
      <c r="C62" s="42">
        <v>2025.0</v>
      </c>
      <c r="D62" s="44">
        <f t="shared" si="2"/>
        <v>38771</v>
      </c>
      <c r="E62" s="43">
        <f t="shared" si="3"/>
        <v>19</v>
      </c>
      <c r="F62" s="47" t="s">
        <v>103</v>
      </c>
      <c r="G62" s="47" t="s">
        <v>103</v>
      </c>
      <c r="H62" s="43" t="str">
        <f t="shared" si="4"/>
        <v>55 55 0060 0060</v>
      </c>
      <c r="I62" s="43" t="str">
        <f t="shared" si="5"/>
        <v>usuario60@ejemplo.com</v>
      </c>
      <c r="J62" s="46" t="str">
        <f t="shared" si="6"/>
        <v/>
      </c>
      <c r="K62" s="47" t="str">
        <f t="shared" si="9"/>
        <v>Jóven adulto</v>
      </c>
    </row>
    <row r="63">
      <c r="A63" s="42" t="s">
        <v>196</v>
      </c>
      <c r="B63" s="43" t="str">
        <f t="shared" si="1"/>
        <v>NombreDePersona_062</v>
      </c>
      <c r="C63" s="42">
        <v>2025.0</v>
      </c>
      <c r="D63" s="44">
        <f t="shared" si="2"/>
        <v>10354</v>
      </c>
      <c r="E63" s="43">
        <f t="shared" si="3"/>
        <v>97</v>
      </c>
      <c r="F63" s="42" t="s">
        <v>92</v>
      </c>
      <c r="G63" s="42" t="s">
        <v>97</v>
      </c>
      <c r="H63" s="43" t="str">
        <f t="shared" si="4"/>
        <v>55 55 0061 0061</v>
      </c>
      <c r="I63" s="43" t="str">
        <f t="shared" si="5"/>
        <v>usuario61@ejemplo.com</v>
      </c>
      <c r="J63" s="46" t="str">
        <f t="shared" si="6"/>
        <v/>
      </c>
      <c r="K63" s="47" t="str">
        <f t="shared" si="9"/>
        <v>Adulto Mayor</v>
      </c>
    </row>
    <row r="64">
      <c r="A64" s="42" t="s">
        <v>197</v>
      </c>
      <c r="B64" s="43" t="str">
        <f t="shared" si="1"/>
        <v>NombreDePersona_063</v>
      </c>
      <c r="C64" s="42">
        <v>2025.0</v>
      </c>
      <c r="D64" s="44">
        <f t="shared" si="2"/>
        <v>33167</v>
      </c>
      <c r="E64" s="43">
        <f t="shared" si="3"/>
        <v>35</v>
      </c>
      <c r="F64" s="42" t="s">
        <v>198</v>
      </c>
      <c r="G64" s="42" t="s">
        <v>199</v>
      </c>
      <c r="H64" s="43" t="str">
        <f t="shared" si="4"/>
        <v>55 55 0062 0062</v>
      </c>
      <c r="I64" s="43" t="str">
        <f t="shared" si="5"/>
        <v>usuario62@ejemplo.com</v>
      </c>
      <c r="J64" s="46" t="str">
        <f t="shared" si="6"/>
        <v/>
      </c>
      <c r="K64" s="47" t="str">
        <f t="shared" si="9"/>
        <v>Adulto</v>
      </c>
    </row>
    <row r="65">
      <c r="A65" s="42" t="s">
        <v>200</v>
      </c>
      <c r="B65" s="43" t="str">
        <f t="shared" si="1"/>
        <v>NombreDePersona_064</v>
      </c>
      <c r="C65" s="42">
        <v>2025.0</v>
      </c>
      <c r="D65" s="44">
        <f t="shared" si="2"/>
        <v>17654</v>
      </c>
      <c r="E65" s="43">
        <f t="shared" si="3"/>
        <v>77</v>
      </c>
      <c r="F65" s="42" t="s">
        <v>109</v>
      </c>
      <c r="G65" s="42" t="s">
        <v>97</v>
      </c>
      <c r="H65" s="43" t="str">
        <f t="shared" si="4"/>
        <v>55 55 0063 0063</v>
      </c>
      <c r="I65" s="43" t="str">
        <f t="shared" si="5"/>
        <v>usuario63@ejemplo.com</v>
      </c>
      <c r="J65" s="46" t="str">
        <f t="shared" si="6"/>
        <v/>
      </c>
      <c r="K65" s="47" t="str">
        <f t="shared" si="9"/>
        <v>Adulto Mayor</v>
      </c>
    </row>
    <row r="66">
      <c r="A66" s="42" t="s">
        <v>201</v>
      </c>
      <c r="B66" s="43" t="str">
        <f t="shared" si="1"/>
        <v>NombreDePersona_065</v>
      </c>
      <c r="C66" s="49">
        <v>2025.0</v>
      </c>
      <c r="D66" s="44">
        <f t="shared" si="2"/>
        <v>40677</v>
      </c>
      <c r="E66" s="43">
        <f t="shared" si="3"/>
        <v>14</v>
      </c>
      <c r="F66" s="42" t="s">
        <v>109</v>
      </c>
      <c r="G66" s="47" t="s">
        <v>97</v>
      </c>
      <c r="H66" s="43" t="str">
        <f t="shared" si="4"/>
        <v>55 55 0064 0064</v>
      </c>
      <c r="I66" s="43" t="str">
        <f t="shared" si="5"/>
        <v>usuario64@ejemplo.com</v>
      </c>
      <c r="J66" s="46" t="str">
        <f t="shared" si="6"/>
        <v>Tutor_064</v>
      </c>
      <c r="K66" s="47" t="str">
        <f t="shared" si="9"/>
        <v>Adolescente</v>
      </c>
    </row>
    <row r="67">
      <c r="A67" s="42" t="s">
        <v>202</v>
      </c>
      <c r="B67" s="43" t="str">
        <f t="shared" si="1"/>
        <v>NombreDePersona_066</v>
      </c>
      <c r="C67" s="50">
        <v>2025.0</v>
      </c>
      <c r="D67" s="44">
        <f t="shared" si="2"/>
        <v>16449</v>
      </c>
      <c r="E67" s="43">
        <f t="shared" si="3"/>
        <v>81</v>
      </c>
      <c r="F67" s="42" t="s">
        <v>203</v>
      </c>
      <c r="G67" s="42" t="s">
        <v>93</v>
      </c>
      <c r="H67" s="43" t="str">
        <f t="shared" si="4"/>
        <v>55 55 0065 0065</v>
      </c>
      <c r="I67" s="43" t="str">
        <f t="shared" si="5"/>
        <v>usuario65@ejemplo.com</v>
      </c>
      <c r="J67" s="46" t="str">
        <f t="shared" si="6"/>
        <v/>
      </c>
      <c r="K67" s="47" t="str">
        <f t="shared" si="9"/>
        <v>Adulto Mayor</v>
      </c>
    </row>
    <row r="68">
      <c r="A68" s="42" t="s">
        <v>204</v>
      </c>
      <c r="B68" s="43" t="str">
        <f t="shared" si="1"/>
        <v>NombreDePersona_067</v>
      </c>
      <c r="C68" s="49">
        <v>2025.0</v>
      </c>
      <c r="D68" s="44">
        <f t="shared" si="2"/>
        <v>23374</v>
      </c>
      <c r="E68" s="43">
        <f t="shared" si="3"/>
        <v>62</v>
      </c>
      <c r="F68" s="47" t="s">
        <v>148</v>
      </c>
      <c r="G68" s="47" t="s">
        <v>97</v>
      </c>
      <c r="H68" s="43" t="str">
        <f t="shared" si="4"/>
        <v>55 55 0066 0066</v>
      </c>
      <c r="I68" s="43" t="str">
        <f t="shared" si="5"/>
        <v>usuario66@ejemplo.com</v>
      </c>
      <c r="J68" s="46" t="str">
        <f t="shared" si="6"/>
        <v/>
      </c>
      <c r="K68" s="47" t="str">
        <f t="shared" si="9"/>
        <v>Adulto Mayor</v>
      </c>
    </row>
    <row r="69">
      <c r="A69" s="42" t="s">
        <v>205</v>
      </c>
      <c r="B69" s="43" t="str">
        <f t="shared" si="1"/>
        <v>NombreDePersona_068</v>
      </c>
      <c r="C69" s="42">
        <v>2025.0</v>
      </c>
      <c r="D69" s="44">
        <f t="shared" si="2"/>
        <v>34011</v>
      </c>
      <c r="E69" s="43">
        <f t="shared" si="3"/>
        <v>32</v>
      </c>
      <c r="F69" s="42" t="s">
        <v>171</v>
      </c>
      <c r="G69" s="42" t="s">
        <v>93</v>
      </c>
      <c r="H69" s="43" t="str">
        <f t="shared" si="4"/>
        <v>55 55 0067 0067</v>
      </c>
      <c r="I69" s="43" t="str">
        <f t="shared" si="5"/>
        <v>usuario67@ejemplo.com</v>
      </c>
      <c r="J69" s="46" t="str">
        <f t="shared" si="6"/>
        <v/>
      </c>
      <c r="K69" s="47" t="str">
        <f t="shared" si="9"/>
        <v>Adulto</v>
      </c>
    </row>
    <row r="70">
      <c r="A70" s="42" t="s">
        <v>206</v>
      </c>
      <c r="B70" s="43" t="str">
        <f t="shared" si="1"/>
        <v>NombreDePersona_069</v>
      </c>
      <c r="C70" s="42">
        <v>2024.0</v>
      </c>
      <c r="D70" s="44">
        <f t="shared" si="2"/>
        <v>40311</v>
      </c>
      <c r="E70" s="43">
        <f t="shared" si="3"/>
        <v>15</v>
      </c>
      <c r="F70" s="47" t="s">
        <v>207</v>
      </c>
      <c r="G70" s="42" t="s">
        <v>169</v>
      </c>
      <c r="H70" s="43" t="str">
        <f t="shared" si="4"/>
        <v>55 55 0068 0068</v>
      </c>
      <c r="I70" s="43" t="str">
        <f t="shared" si="5"/>
        <v>usuario68@ejemplo.com</v>
      </c>
      <c r="J70" s="46" t="str">
        <f t="shared" si="6"/>
        <v>Tutor_068</v>
      </c>
      <c r="K70" s="47" t="str">
        <f t="shared" si="9"/>
        <v>Adolescente</v>
      </c>
    </row>
    <row r="71">
      <c r="A71" s="42" t="s">
        <v>208</v>
      </c>
      <c r="B71" s="43" t="str">
        <f t="shared" si="1"/>
        <v>NombreDePersona_070</v>
      </c>
      <c r="C71" s="42">
        <v>2025.0</v>
      </c>
      <c r="D71" s="44">
        <f t="shared" si="2"/>
        <v>25774</v>
      </c>
      <c r="E71" s="43">
        <f t="shared" si="3"/>
        <v>55</v>
      </c>
      <c r="F71" s="42" t="s">
        <v>209</v>
      </c>
      <c r="G71" s="42" t="s">
        <v>210</v>
      </c>
      <c r="H71" s="43" t="str">
        <f t="shared" si="4"/>
        <v>55 55 0069 0069</v>
      </c>
      <c r="I71" s="43" t="str">
        <f t="shared" si="5"/>
        <v>usuario69@ejemplo.com</v>
      </c>
      <c r="J71" s="46" t="str">
        <f t="shared" si="6"/>
        <v/>
      </c>
      <c r="K71" s="47" t="str">
        <f t="shared" si="9"/>
        <v>Adulto</v>
      </c>
    </row>
    <row r="72">
      <c r="A72" s="42" t="s">
        <v>211</v>
      </c>
      <c r="B72" s="43" t="str">
        <f t="shared" si="1"/>
        <v>NombreDePersona_071</v>
      </c>
      <c r="C72" s="47">
        <v>2025.0</v>
      </c>
      <c r="D72" s="44">
        <f t="shared" si="2"/>
        <v>39577</v>
      </c>
      <c r="E72" s="43">
        <f t="shared" si="3"/>
        <v>17</v>
      </c>
      <c r="F72" s="48" t="s">
        <v>109</v>
      </c>
      <c r="G72" s="48" t="s">
        <v>97</v>
      </c>
      <c r="H72" s="43" t="str">
        <f t="shared" si="4"/>
        <v>55 55 0070 0070</v>
      </c>
      <c r="I72" s="43" t="str">
        <f t="shared" si="5"/>
        <v>usuario70@ejemplo.com</v>
      </c>
      <c r="J72" s="46" t="str">
        <f t="shared" si="6"/>
        <v>Tutor_070</v>
      </c>
      <c r="K72" s="47" t="str">
        <f t="shared" si="9"/>
        <v>Adolescente</v>
      </c>
    </row>
    <row r="73">
      <c r="A73" s="42" t="s">
        <v>212</v>
      </c>
      <c r="B73" s="43" t="str">
        <f t="shared" si="1"/>
        <v>NombreDePersona_072</v>
      </c>
      <c r="C73" s="42">
        <v>2025.0</v>
      </c>
      <c r="D73" s="44">
        <f t="shared" si="2"/>
        <v>25543</v>
      </c>
      <c r="E73" s="43">
        <f t="shared" si="3"/>
        <v>56</v>
      </c>
      <c r="F73" s="42" t="s">
        <v>109</v>
      </c>
      <c r="G73" s="42" t="s">
        <v>133</v>
      </c>
      <c r="H73" s="43" t="str">
        <f t="shared" si="4"/>
        <v>55 55 0071 0071</v>
      </c>
      <c r="I73" s="43" t="str">
        <f t="shared" si="5"/>
        <v>usuario71@ejemplo.com</v>
      </c>
      <c r="J73" s="46" t="str">
        <f t="shared" si="6"/>
        <v/>
      </c>
      <c r="K73" s="47" t="str">
        <f t="shared" si="9"/>
        <v>Adulto</v>
      </c>
    </row>
    <row r="74">
      <c r="A74" s="42" t="s">
        <v>213</v>
      </c>
      <c r="B74" s="43" t="str">
        <f t="shared" si="1"/>
        <v>NombreDePersona_073</v>
      </c>
      <c r="C74" s="42">
        <v>2024.0</v>
      </c>
      <c r="D74" s="44">
        <f t="shared" si="2"/>
        <v>19233</v>
      </c>
      <c r="E74" s="43">
        <f t="shared" si="3"/>
        <v>73</v>
      </c>
      <c r="F74" s="47" t="s">
        <v>109</v>
      </c>
      <c r="G74" s="47" t="s">
        <v>214</v>
      </c>
      <c r="H74" s="43" t="str">
        <f t="shared" si="4"/>
        <v>55 55 0072 0072</v>
      </c>
      <c r="I74" s="43" t="str">
        <f t="shared" si="5"/>
        <v>usuario72@ejemplo.com</v>
      </c>
      <c r="J74" s="46" t="str">
        <f t="shared" si="6"/>
        <v/>
      </c>
      <c r="K74" s="47" t="s">
        <v>153</v>
      </c>
    </row>
    <row r="75">
      <c r="A75" s="42" t="s">
        <v>215</v>
      </c>
      <c r="B75" s="43" t="str">
        <f t="shared" si="1"/>
        <v>NombreDePersona_074</v>
      </c>
      <c r="C75" s="42">
        <v>2025.0</v>
      </c>
      <c r="D75" s="44">
        <f t="shared" si="2"/>
        <v>26213</v>
      </c>
      <c r="E75" s="43">
        <f t="shared" si="3"/>
        <v>54</v>
      </c>
      <c r="F75" s="42" t="s">
        <v>216</v>
      </c>
      <c r="G75" s="42" t="s">
        <v>97</v>
      </c>
      <c r="H75" s="43" t="str">
        <f t="shared" si="4"/>
        <v>55 55 0073 0073</v>
      </c>
      <c r="I75" s="43" t="str">
        <f t="shared" si="5"/>
        <v>usuario73@ejemplo.com</v>
      </c>
      <c r="J75" s="46" t="str">
        <f t="shared" si="6"/>
        <v/>
      </c>
      <c r="K75" s="47" t="str">
        <f t="shared" ref="K75:K105" si="10">IF(
  E75="",
  "", IF(
  ISNUMBER(E75),
  IF(E75&lt;=12,"Infancia",
    IF(E75&lt;=17,"Adolescente",
      IF(E75&lt;=29,"Jóven adulto",
        IF(E75&lt;=59,"Adulto",
          IF(E75&gt;=60,"Adulto Mayor","Desconocido")
        )
      )
    )
  ),
  "Desconocido"
))</f>
        <v>Adulto</v>
      </c>
    </row>
    <row r="76">
      <c r="A76" s="42" t="s">
        <v>217</v>
      </c>
      <c r="B76" s="43" t="str">
        <f t="shared" si="1"/>
        <v>NombreDePersona_075</v>
      </c>
      <c r="C76" s="42">
        <v>2025.0</v>
      </c>
      <c r="D76" s="44">
        <f t="shared" si="2"/>
        <v>14658</v>
      </c>
      <c r="E76" s="43">
        <f t="shared" si="3"/>
        <v>85</v>
      </c>
      <c r="F76" s="42" t="s">
        <v>109</v>
      </c>
      <c r="G76" s="42" t="s">
        <v>93</v>
      </c>
      <c r="H76" s="43" t="str">
        <f t="shared" si="4"/>
        <v>55 55 0074 0074</v>
      </c>
      <c r="I76" s="43" t="str">
        <f t="shared" si="5"/>
        <v>usuario74@ejemplo.com</v>
      </c>
      <c r="J76" s="46" t="str">
        <f t="shared" si="6"/>
        <v/>
      </c>
      <c r="K76" s="47" t="str">
        <f t="shared" si="10"/>
        <v>Adulto Mayor</v>
      </c>
    </row>
    <row r="77">
      <c r="A77" s="42" t="s">
        <v>218</v>
      </c>
      <c r="B77" s="43" t="str">
        <f t="shared" si="1"/>
        <v>NombreDePersona_076</v>
      </c>
      <c r="C77" s="42">
        <v>2025.0</v>
      </c>
      <c r="D77" s="44">
        <f t="shared" si="2"/>
        <v>21951</v>
      </c>
      <c r="E77" s="43">
        <f t="shared" si="3"/>
        <v>65</v>
      </c>
      <c r="F77" s="47" t="s">
        <v>109</v>
      </c>
      <c r="G77" s="42" t="s">
        <v>120</v>
      </c>
      <c r="H77" s="43" t="str">
        <f t="shared" si="4"/>
        <v>55 55 0075 0075</v>
      </c>
      <c r="I77" s="43" t="str">
        <f t="shared" si="5"/>
        <v>usuario75@ejemplo.com</v>
      </c>
      <c r="J77" s="46" t="str">
        <f t="shared" si="6"/>
        <v/>
      </c>
      <c r="K77" s="47" t="str">
        <f t="shared" si="10"/>
        <v>Adulto Mayor</v>
      </c>
    </row>
    <row r="78">
      <c r="A78" s="42" t="s">
        <v>219</v>
      </c>
      <c r="B78" s="43" t="str">
        <f t="shared" si="1"/>
        <v>NombreDePersona_077</v>
      </c>
      <c r="C78" s="42">
        <v>2025.0</v>
      </c>
      <c r="D78" s="44">
        <f t="shared" si="2"/>
        <v>28521</v>
      </c>
      <c r="E78" s="43">
        <f t="shared" si="3"/>
        <v>47</v>
      </c>
      <c r="F78" s="42" t="s">
        <v>220</v>
      </c>
      <c r="G78" s="42" t="s">
        <v>93</v>
      </c>
      <c r="H78" s="43" t="str">
        <f t="shared" si="4"/>
        <v>55 55 0076 0076</v>
      </c>
      <c r="I78" s="43" t="str">
        <f t="shared" si="5"/>
        <v>usuario76@ejemplo.com</v>
      </c>
      <c r="J78" s="46" t="str">
        <f t="shared" si="6"/>
        <v/>
      </c>
      <c r="K78" s="47" t="str">
        <f t="shared" si="10"/>
        <v>Adulto</v>
      </c>
    </row>
    <row r="79">
      <c r="A79" s="42" t="s">
        <v>221</v>
      </c>
      <c r="B79" s="43" t="str">
        <f t="shared" si="1"/>
        <v>NombreDePersona_078</v>
      </c>
      <c r="C79" s="42">
        <v>2025.0</v>
      </c>
      <c r="D79" s="44">
        <f t="shared" si="2"/>
        <v>27151</v>
      </c>
      <c r="E79" s="43">
        <f t="shared" si="3"/>
        <v>51</v>
      </c>
      <c r="F79" s="47" t="s">
        <v>109</v>
      </c>
      <c r="G79" s="42" t="s">
        <v>188</v>
      </c>
      <c r="H79" s="43" t="str">
        <f t="shared" si="4"/>
        <v>55 55 0077 0077</v>
      </c>
      <c r="I79" s="43" t="str">
        <f t="shared" si="5"/>
        <v>usuario77@ejemplo.com</v>
      </c>
      <c r="J79" s="46" t="str">
        <f t="shared" si="6"/>
        <v/>
      </c>
      <c r="K79" s="47" t="str">
        <f t="shared" si="10"/>
        <v>Adulto</v>
      </c>
    </row>
    <row r="80">
      <c r="A80" s="42" t="s">
        <v>222</v>
      </c>
      <c r="B80" s="43" t="str">
        <f t="shared" si="1"/>
        <v>NombreDePersona_079</v>
      </c>
      <c r="C80" s="42">
        <v>2024.0</v>
      </c>
      <c r="D80" s="44">
        <f t="shared" si="2"/>
        <v>42383</v>
      </c>
      <c r="E80" s="43">
        <f t="shared" si="3"/>
        <v>10</v>
      </c>
      <c r="F80" s="47" t="s">
        <v>109</v>
      </c>
      <c r="G80" s="47" t="s">
        <v>103</v>
      </c>
      <c r="H80" s="43" t="str">
        <f t="shared" si="4"/>
        <v>55 55 0078 0078</v>
      </c>
      <c r="I80" s="43" t="str">
        <f t="shared" si="5"/>
        <v>usuario78@ejemplo.com</v>
      </c>
      <c r="J80" s="46" t="str">
        <f t="shared" si="6"/>
        <v>Tutor_078</v>
      </c>
      <c r="K80" s="47" t="str">
        <f t="shared" si="10"/>
        <v>Infancia</v>
      </c>
    </row>
    <row r="81">
      <c r="A81" s="42" t="s">
        <v>223</v>
      </c>
      <c r="B81" s="43" t="str">
        <f t="shared" si="1"/>
        <v>NombreDePersona_080</v>
      </c>
      <c r="C81" s="42">
        <v>2025.0</v>
      </c>
      <c r="D81" s="44">
        <f t="shared" si="2"/>
        <v>26191</v>
      </c>
      <c r="E81" s="43">
        <f t="shared" si="3"/>
        <v>54</v>
      </c>
      <c r="F81" s="42" t="s">
        <v>224</v>
      </c>
      <c r="G81" s="42" t="s">
        <v>97</v>
      </c>
      <c r="H81" s="43" t="str">
        <f t="shared" si="4"/>
        <v>55 55 0079 0079</v>
      </c>
      <c r="I81" s="43" t="str">
        <f t="shared" si="5"/>
        <v>usuario79@ejemplo.com</v>
      </c>
      <c r="J81" s="46" t="str">
        <f t="shared" si="6"/>
        <v/>
      </c>
      <c r="K81" s="47" t="str">
        <f t="shared" si="10"/>
        <v>Adulto</v>
      </c>
    </row>
    <row r="82">
      <c r="A82" s="42" t="s">
        <v>225</v>
      </c>
      <c r="B82" s="43" t="str">
        <f t="shared" si="1"/>
        <v>NombreDePersona_081</v>
      </c>
      <c r="C82" s="42">
        <v>2025.0</v>
      </c>
      <c r="D82" s="44">
        <f t="shared" si="2"/>
        <v>13695</v>
      </c>
      <c r="E82" s="43">
        <f t="shared" si="3"/>
        <v>88</v>
      </c>
      <c r="F82" s="47" t="s">
        <v>122</v>
      </c>
      <c r="G82" s="47" t="s">
        <v>103</v>
      </c>
      <c r="H82" s="43" t="str">
        <f t="shared" si="4"/>
        <v>55 55 0080 0080</v>
      </c>
      <c r="I82" s="43" t="str">
        <f t="shared" si="5"/>
        <v>usuario80@ejemplo.com</v>
      </c>
      <c r="J82" s="46" t="str">
        <f t="shared" si="6"/>
        <v/>
      </c>
      <c r="K82" s="47" t="str">
        <f t="shared" si="10"/>
        <v>Adulto Mayor</v>
      </c>
    </row>
    <row r="83">
      <c r="A83" s="42" t="s">
        <v>226</v>
      </c>
      <c r="B83" s="43" t="str">
        <f t="shared" si="1"/>
        <v>NombreDePersona_082</v>
      </c>
      <c r="C83" s="42">
        <v>2025.0</v>
      </c>
      <c r="D83" s="44">
        <f t="shared" si="2"/>
        <v>42761</v>
      </c>
      <c r="E83" s="43">
        <f t="shared" si="3"/>
        <v>8</v>
      </c>
      <c r="F83" s="42" t="s">
        <v>109</v>
      </c>
      <c r="G83" s="42" t="s">
        <v>93</v>
      </c>
      <c r="H83" s="43" t="str">
        <f t="shared" si="4"/>
        <v>55 55 0081 0081</v>
      </c>
      <c r="I83" s="43" t="str">
        <f t="shared" si="5"/>
        <v>usuario81@ejemplo.com</v>
      </c>
      <c r="J83" s="46" t="str">
        <f t="shared" si="6"/>
        <v>Tutor_081</v>
      </c>
      <c r="K83" s="47" t="str">
        <f t="shared" si="10"/>
        <v>Infancia</v>
      </c>
    </row>
    <row r="84">
      <c r="A84" s="42" t="s">
        <v>227</v>
      </c>
      <c r="B84" s="43" t="str">
        <f t="shared" si="1"/>
        <v>NombreDePersona_083</v>
      </c>
      <c r="C84" s="42">
        <v>2024.0</v>
      </c>
      <c r="D84" s="44">
        <f t="shared" si="2"/>
        <v>21893</v>
      </c>
      <c r="E84" s="43">
        <f t="shared" si="3"/>
        <v>66</v>
      </c>
      <c r="F84" s="42" t="s">
        <v>228</v>
      </c>
      <c r="G84" s="47" t="s">
        <v>97</v>
      </c>
      <c r="H84" s="43" t="str">
        <f t="shared" si="4"/>
        <v>55 55 0082 0082</v>
      </c>
      <c r="I84" s="43" t="str">
        <f t="shared" si="5"/>
        <v>usuario82@ejemplo.com</v>
      </c>
      <c r="J84" s="46" t="str">
        <f t="shared" si="6"/>
        <v/>
      </c>
      <c r="K84" s="47" t="str">
        <f t="shared" si="10"/>
        <v>Adulto Mayor</v>
      </c>
    </row>
    <row r="85">
      <c r="A85" s="42" t="s">
        <v>229</v>
      </c>
      <c r="B85" s="43" t="str">
        <f t="shared" si="1"/>
        <v>NombreDePersona_084</v>
      </c>
      <c r="C85" s="42">
        <v>2025.0</v>
      </c>
      <c r="D85" s="44">
        <f t="shared" si="2"/>
        <v>29763</v>
      </c>
      <c r="E85" s="43">
        <f t="shared" si="3"/>
        <v>44</v>
      </c>
      <c r="F85" s="42" t="s">
        <v>230</v>
      </c>
      <c r="G85" s="42" t="s">
        <v>97</v>
      </c>
      <c r="H85" s="43" t="str">
        <f t="shared" si="4"/>
        <v>55 55 0083 0083</v>
      </c>
      <c r="I85" s="43" t="str">
        <f t="shared" si="5"/>
        <v>usuario83@ejemplo.com</v>
      </c>
      <c r="J85" s="46" t="str">
        <f t="shared" si="6"/>
        <v/>
      </c>
      <c r="K85" s="47" t="str">
        <f t="shared" si="10"/>
        <v>Adulto</v>
      </c>
    </row>
    <row r="86">
      <c r="A86" s="42" t="s">
        <v>231</v>
      </c>
      <c r="B86" s="43" t="str">
        <f t="shared" si="1"/>
        <v>NombreDePersona_085</v>
      </c>
      <c r="C86" s="42">
        <v>2025.0</v>
      </c>
      <c r="D86" s="44">
        <f t="shared" si="2"/>
        <v>11662</v>
      </c>
      <c r="E86" s="43">
        <f t="shared" si="3"/>
        <v>94</v>
      </c>
      <c r="F86" s="42" t="s">
        <v>92</v>
      </c>
      <c r="G86" s="42" t="s">
        <v>104</v>
      </c>
      <c r="H86" s="43" t="str">
        <f t="shared" si="4"/>
        <v>55 55 0084 0084</v>
      </c>
      <c r="I86" s="43" t="str">
        <f t="shared" si="5"/>
        <v>usuario84@ejemplo.com</v>
      </c>
      <c r="J86" s="46" t="str">
        <f t="shared" si="6"/>
        <v/>
      </c>
      <c r="K86" s="47" t="str">
        <f t="shared" si="10"/>
        <v>Adulto Mayor</v>
      </c>
    </row>
    <row r="87">
      <c r="A87" s="42" t="s">
        <v>232</v>
      </c>
      <c r="B87" s="43" t="str">
        <f t="shared" si="1"/>
        <v>NombreDePersona_086</v>
      </c>
      <c r="C87" s="42">
        <v>2024.0</v>
      </c>
      <c r="D87" s="44">
        <f t="shared" si="2"/>
        <v>39351</v>
      </c>
      <c r="E87" s="43">
        <f t="shared" si="3"/>
        <v>18</v>
      </c>
      <c r="F87" s="42" t="s">
        <v>109</v>
      </c>
      <c r="G87" s="42" t="s">
        <v>233</v>
      </c>
      <c r="H87" s="43" t="str">
        <f t="shared" si="4"/>
        <v>55 55 0085 0085</v>
      </c>
      <c r="I87" s="43" t="str">
        <f t="shared" si="5"/>
        <v>usuario85@ejemplo.com</v>
      </c>
      <c r="J87" s="46" t="str">
        <f t="shared" si="6"/>
        <v>Tutor_085</v>
      </c>
      <c r="K87" s="47" t="str">
        <f t="shared" si="10"/>
        <v>Jóven adulto</v>
      </c>
    </row>
    <row r="88">
      <c r="A88" s="42" t="s">
        <v>234</v>
      </c>
      <c r="B88" s="43" t="str">
        <f t="shared" si="1"/>
        <v>NombreDePersona_087</v>
      </c>
      <c r="C88" s="42">
        <v>2025.0</v>
      </c>
      <c r="D88" s="44">
        <f t="shared" si="2"/>
        <v>29706</v>
      </c>
      <c r="E88" s="43">
        <f t="shared" si="3"/>
        <v>44</v>
      </c>
      <c r="F88" s="42" t="s">
        <v>92</v>
      </c>
      <c r="G88" s="42" t="s">
        <v>93</v>
      </c>
      <c r="H88" s="43" t="str">
        <f t="shared" si="4"/>
        <v>55 55 0086 0086</v>
      </c>
      <c r="I88" s="43" t="str">
        <f t="shared" si="5"/>
        <v>usuario86@ejemplo.com</v>
      </c>
      <c r="J88" s="46" t="str">
        <f t="shared" si="6"/>
        <v/>
      </c>
      <c r="K88" s="47" t="str">
        <f t="shared" si="10"/>
        <v>Adulto</v>
      </c>
    </row>
    <row r="89">
      <c r="A89" s="42" t="s">
        <v>235</v>
      </c>
      <c r="B89" s="43" t="str">
        <f t="shared" si="1"/>
        <v>NombreDePersona_088</v>
      </c>
      <c r="C89" s="42">
        <v>2024.0</v>
      </c>
      <c r="D89" s="44">
        <f t="shared" si="2"/>
        <v>13609</v>
      </c>
      <c r="E89" s="43">
        <f t="shared" si="3"/>
        <v>88</v>
      </c>
      <c r="F89" s="47" t="s">
        <v>103</v>
      </c>
      <c r="G89" s="47" t="s">
        <v>97</v>
      </c>
      <c r="H89" s="43" t="str">
        <f t="shared" si="4"/>
        <v>55 55 0087 0087</v>
      </c>
      <c r="I89" s="43" t="str">
        <f t="shared" si="5"/>
        <v>usuario87@ejemplo.com</v>
      </c>
      <c r="J89" s="46" t="str">
        <f t="shared" si="6"/>
        <v/>
      </c>
      <c r="K89" s="47" t="str">
        <f t="shared" si="10"/>
        <v>Adulto Mayor</v>
      </c>
    </row>
    <row r="90">
      <c r="A90" s="42" t="s">
        <v>236</v>
      </c>
      <c r="B90" s="43" t="str">
        <f t="shared" si="1"/>
        <v>NombreDePersona_089</v>
      </c>
      <c r="C90" s="42">
        <v>2025.0</v>
      </c>
      <c r="D90" s="44">
        <f t="shared" si="2"/>
        <v>18377</v>
      </c>
      <c r="E90" s="43">
        <f t="shared" si="3"/>
        <v>75</v>
      </c>
      <c r="F90" s="42" t="s">
        <v>109</v>
      </c>
      <c r="G90" s="42" t="s">
        <v>188</v>
      </c>
      <c r="H90" s="43" t="str">
        <f t="shared" si="4"/>
        <v>55 55 0088 0088</v>
      </c>
      <c r="I90" s="43" t="str">
        <f t="shared" si="5"/>
        <v>usuario88@ejemplo.com</v>
      </c>
      <c r="J90" s="46" t="str">
        <f t="shared" si="6"/>
        <v/>
      </c>
      <c r="K90" s="47" t="str">
        <f t="shared" si="10"/>
        <v>Adulto Mayor</v>
      </c>
    </row>
    <row r="91">
      <c r="A91" s="42" t="s">
        <v>237</v>
      </c>
      <c r="B91" s="43" t="str">
        <f t="shared" si="1"/>
        <v>NombreDePersona_090</v>
      </c>
      <c r="C91" s="42">
        <v>2025.0</v>
      </c>
      <c r="D91" s="44">
        <f t="shared" si="2"/>
        <v>36072</v>
      </c>
      <c r="E91" s="43">
        <f t="shared" si="3"/>
        <v>27</v>
      </c>
      <c r="F91" s="42" t="s">
        <v>238</v>
      </c>
      <c r="G91" s="42" t="s">
        <v>97</v>
      </c>
      <c r="H91" s="43" t="str">
        <f t="shared" si="4"/>
        <v>55 55 0089 0089</v>
      </c>
      <c r="I91" s="43" t="str">
        <f t="shared" si="5"/>
        <v>usuario89@ejemplo.com</v>
      </c>
      <c r="J91" s="46" t="str">
        <f t="shared" si="6"/>
        <v/>
      </c>
      <c r="K91" s="47" t="str">
        <f t="shared" si="10"/>
        <v>Jóven adulto</v>
      </c>
    </row>
    <row r="92">
      <c r="A92" s="42" t="s">
        <v>239</v>
      </c>
      <c r="B92" s="43" t="str">
        <f t="shared" si="1"/>
        <v>NombreDePersona_091</v>
      </c>
      <c r="C92" s="42">
        <v>2025.0</v>
      </c>
      <c r="D92" s="44">
        <f t="shared" si="2"/>
        <v>36154</v>
      </c>
      <c r="E92" s="43">
        <f t="shared" si="3"/>
        <v>27</v>
      </c>
      <c r="F92" s="42" t="s">
        <v>240</v>
      </c>
      <c r="G92" s="42" t="s">
        <v>93</v>
      </c>
      <c r="H92" s="43" t="str">
        <f t="shared" si="4"/>
        <v>55 55 0090 0090</v>
      </c>
      <c r="I92" s="43" t="str">
        <f t="shared" si="5"/>
        <v>usuario90@ejemplo.com</v>
      </c>
      <c r="J92" s="46" t="str">
        <f t="shared" si="6"/>
        <v/>
      </c>
      <c r="K92" s="47" t="str">
        <f t="shared" si="10"/>
        <v>Jóven adulto</v>
      </c>
    </row>
    <row r="93">
      <c r="A93" s="42" t="s">
        <v>241</v>
      </c>
      <c r="B93" s="43" t="str">
        <f t="shared" si="1"/>
        <v>NombreDePersona_092</v>
      </c>
      <c r="C93" s="42">
        <v>2025.0</v>
      </c>
      <c r="D93" s="44">
        <f t="shared" si="2"/>
        <v>41975</v>
      </c>
      <c r="E93" s="43">
        <f t="shared" si="3"/>
        <v>11</v>
      </c>
      <c r="F93" s="42" t="s">
        <v>92</v>
      </c>
      <c r="G93" s="42" t="s">
        <v>126</v>
      </c>
      <c r="H93" s="43" t="str">
        <f t="shared" si="4"/>
        <v>55 55 0091 0091</v>
      </c>
      <c r="I93" s="43" t="str">
        <f t="shared" si="5"/>
        <v>usuario91@ejemplo.com</v>
      </c>
      <c r="J93" s="46" t="str">
        <f t="shared" si="6"/>
        <v>Tutor_091</v>
      </c>
      <c r="K93" s="47" t="str">
        <f t="shared" si="10"/>
        <v>Infancia</v>
      </c>
    </row>
    <row r="94">
      <c r="A94" s="42" t="s">
        <v>242</v>
      </c>
      <c r="B94" s="43" t="str">
        <f t="shared" si="1"/>
        <v>NombreDePersona_093</v>
      </c>
      <c r="C94" s="42">
        <v>2025.0</v>
      </c>
      <c r="D94" s="44">
        <f t="shared" si="2"/>
        <v>26972</v>
      </c>
      <c r="E94" s="43">
        <f t="shared" si="3"/>
        <v>52</v>
      </c>
      <c r="F94" s="42" t="s">
        <v>243</v>
      </c>
      <c r="G94" s="42" t="s">
        <v>136</v>
      </c>
      <c r="H94" s="43" t="str">
        <f t="shared" si="4"/>
        <v>55 55 0092 0092</v>
      </c>
      <c r="I94" s="43" t="str">
        <f t="shared" si="5"/>
        <v>usuario92@ejemplo.com</v>
      </c>
      <c r="J94" s="46" t="str">
        <f t="shared" si="6"/>
        <v/>
      </c>
      <c r="K94" s="47" t="str">
        <f t="shared" si="10"/>
        <v>Adulto</v>
      </c>
    </row>
    <row r="95">
      <c r="A95" s="42" t="s">
        <v>244</v>
      </c>
      <c r="B95" s="43" t="str">
        <f t="shared" si="1"/>
        <v>NombreDePersona_094</v>
      </c>
      <c r="C95" s="42">
        <v>2025.0</v>
      </c>
      <c r="D95" s="44">
        <f t="shared" si="2"/>
        <v>23916</v>
      </c>
      <c r="E95" s="43">
        <f t="shared" si="3"/>
        <v>60</v>
      </c>
      <c r="F95" s="47" t="s">
        <v>245</v>
      </c>
      <c r="G95" s="42" t="s">
        <v>150</v>
      </c>
      <c r="H95" s="43" t="str">
        <f t="shared" si="4"/>
        <v>55 55 0093 0093</v>
      </c>
      <c r="I95" s="43" t="str">
        <f t="shared" si="5"/>
        <v>usuario93@ejemplo.com</v>
      </c>
      <c r="J95" s="46" t="str">
        <f t="shared" si="6"/>
        <v/>
      </c>
      <c r="K95" s="47" t="str">
        <f t="shared" si="10"/>
        <v>Adulto Mayor</v>
      </c>
    </row>
    <row r="96">
      <c r="A96" s="42" t="s">
        <v>246</v>
      </c>
      <c r="B96" s="43" t="str">
        <f t="shared" si="1"/>
        <v>NombreDePersona_095</v>
      </c>
      <c r="C96" s="42">
        <v>2025.0</v>
      </c>
      <c r="D96" s="44">
        <f t="shared" si="2"/>
        <v>39673</v>
      </c>
      <c r="E96" s="43">
        <f t="shared" si="3"/>
        <v>17</v>
      </c>
      <c r="F96" s="42" t="s">
        <v>247</v>
      </c>
      <c r="G96" s="47" t="s">
        <v>103</v>
      </c>
      <c r="H96" s="43" t="str">
        <f t="shared" si="4"/>
        <v>55 55 0094 0094</v>
      </c>
      <c r="I96" s="43" t="str">
        <f t="shared" si="5"/>
        <v>usuario94@ejemplo.com</v>
      </c>
      <c r="J96" s="46" t="str">
        <f t="shared" si="6"/>
        <v>Tutor_094</v>
      </c>
      <c r="K96" s="47" t="str">
        <f t="shared" si="10"/>
        <v>Adolescente</v>
      </c>
    </row>
    <row r="97">
      <c r="A97" s="42" t="s">
        <v>248</v>
      </c>
      <c r="B97" s="43" t="str">
        <f t="shared" si="1"/>
        <v>NombreDePersona_096</v>
      </c>
      <c r="C97" s="42">
        <v>2025.0</v>
      </c>
      <c r="D97" s="44">
        <f t="shared" si="2"/>
        <v>21315</v>
      </c>
      <c r="E97" s="43">
        <f t="shared" si="3"/>
        <v>67</v>
      </c>
      <c r="F97" s="42" t="s">
        <v>249</v>
      </c>
      <c r="G97" s="47" t="s">
        <v>118</v>
      </c>
      <c r="H97" s="43" t="str">
        <f t="shared" si="4"/>
        <v>55 55 0095 0095</v>
      </c>
      <c r="I97" s="43" t="str">
        <f t="shared" si="5"/>
        <v>usuario95@ejemplo.com</v>
      </c>
      <c r="J97" s="46" t="str">
        <f t="shared" si="6"/>
        <v/>
      </c>
      <c r="K97" s="47" t="str">
        <f t="shared" si="10"/>
        <v>Adulto Mayor</v>
      </c>
    </row>
    <row r="98">
      <c r="A98" s="42" t="s">
        <v>250</v>
      </c>
      <c r="B98" s="43" t="str">
        <f t="shared" si="1"/>
        <v>NombreDePersona_097</v>
      </c>
      <c r="C98" s="42">
        <v>2025.0</v>
      </c>
      <c r="D98" s="44">
        <f t="shared" si="2"/>
        <v>22080</v>
      </c>
      <c r="E98" s="43">
        <f t="shared" si="3"/>
        <v>65</v>
      </c>
      <c r="F98" s="47" t="s">
        <v>251</v>
      </c>
      <c r="G98" s="42" t="s">
        <v>126</v>
      </c>
      <c r="H98" s="43" t="str">
        <f t="shared" si="4"/>
        <v>55 55 0096 0096</v>
      </c>
      <c r="I98" s="43" t="str">
        <f t="shared" si="5"/>
        <v>usuario96@ejemplo.com</v>
      </c>
      <c r="J98" s="46" t="str">
        <f t="shared" si="6"/>
        <v/>
      </c>
      <c r="K98" s="47" t="str">
        <f t="shared" si="10"/>
        <v>Adulto Mayor</v>
      </c>
    </row>
    <row r="99">
      <c r="A99" s="42" t="s">
        <v>252</v>
      </c>
      <c r="B99" s="43" t="str">
        <f t="shared" si="1"/>
        <v>NombreDePersona_098</v>
      </c>
      <c r="C99" s="42">
        <v>2025.0</v>
      </c>
      <c r="D99" s="44">
        <f t="shared" si="2"/>
        <v>42503</v>
      </c>
      <c r="E99" s="43">
        <f t="shared" si="3"/>
        <v>9</v>
      </c>
      <c r="F99" s="42" t="s">
        <v>109</v>
      </c>
      <c r="G99" s="47" t="s">
        <v>104</v>
      </c>
      <c r="H99" s="43" t="str">
        <f t="shared" si="4"/>
        <v>55 55 0097 0097</v>
      </c>
      <c r="I99" s="43" t="str">
        <f t="shared" si="5"/>
        <v>usuario97@ejemplo.com</v>
      </c>
      <c r="J99" s="46" t="str">
        <f t="shared" si="6"/>
        <v>Tutor_097</v>
      </c>
      <c r="K99" s="47" t="str">
        <f t="shared" si="10"/>
        <v>Infancia</v>
      </c>
    </row>
    <row r="100">
      <c r="A100" s="42" t="s">
        <v>253</v>
      </c>
      <c r="B100" s="43" t="str">
        <f t="shared" si="1"/>
        <v>NombreDePersona_099</v>
      </c>
      <c r="C100" s="42">
        <v>2025.0</v>
      </c>
      <c r="D100" s="44">
        <f t="shared" si="2"/>
        <v>24945</v>
      </c>
      <c r="E100" s="43">
        <f t="shared" si="3"/>
        <v>57</v>
      </c>
      <c r="F100" s="42" t="s">
        <v>171</v>
      </c>
      <c r="G100" s="47" t="s">
        <v>97</v>
      </c>
      <c r="H100" s="43" t="str">
        <f t="shared" si="4"/>
        <v>55 55 0098 0098</v>
      </c>
      <c r="I100" s="43" t="str">
        <f t="shared" si="5"/>
        <v>usuario98@ejemplo.com</v>
      </c>
      <c r="J100" s="46" t="str">
        <f t="shared" si="6"/>
        <v/>
      </c>
      <c r="K100" s="47" t="str">
        <f t="shared" si="10"/>
        <v>Adulto</v>
      </c>
    </row>
    <row r="101">
      <c r="A101" s="42" t="s">
        <v>254</v>
      </c>
      <c r="B101" s="43" t="str">
        <f t="shared" si="1"/>
        <v>NombreDePersona_100</v>
      </c>
      <c r="C101" s="42">
        <v>2025.0</v>
      </c>
      <c r="D101" s="44">
        <f t="shared" si="2"/>
        <v>40893</v>
      </c>
      <c r="E101" s="43">
        <f t="shared" si="3"/>
        <v>14</v>
      </c>
      <c r="F101" s="42" t="s">
        <v>92</v>
      </c>
      <c r="G101" s="42" t="s">
        <v>104</v>
      </c>
      <c r="H101" s="43" t="str">
        <f t="shared" si="4"/>
        <v>55 55 0099 0099</v>
      </c>
      <c r="I101" s="43" t="str">
        <f t="shared" si="5"/>
        <v>usuario99@ejemplo.com</v>
      </c>
      <c r="J101" s="46" t="str">
        <f t="shared" si="6"/>
        <v>Tutor_099</v>
      </c>
      <c r="K101" s="47" t="str">
        <f t="shared" si="10"/>
        <v>Adolescente</v>
      </c>
    </row>
    <row r="102">
      <c r="A102" s="42" t="s">
        <v>255</v>
      </c>
      <c r="B102" s="43" t="str">
        <f t="shared" si="1"/>
        <v>NombreDePersona_101</v>
      </c>
      <c r="C102" s="42">
        <v>2025.0</v>
      </c>
      <c r="D102" s="44">
        <f t="shared" si="2"/>
        <v>9902</v>
      </c>
      <c r="E102" s="43">
        <f t="shared" si="3"/>
        <v>98</v>
      </c>
      <c r="F102" s="42" t="s">
        <v>122</v>
      </c>
      <c r="G102" s="42" t="s">
        <v>97</v>
      </c>
      <c r="H102" s="43" t="str">
        <f t="shared" si="4"/>
        <v>55 55 0100 0100</v>
      </c>
      <c r="I102" s="43" t="str">
        <f t="shared" si="5"/>
        <v>usuario100@ejemplo.com</v>
      </c>
      <c r="J102" s="46" t="str">
        <f t="shared" si="6"/>
        <v/>
      </c>
      <c r="K102" s="47" t="str">
        <f t="shared" si="10"/>
        <v>Adulto Mayor</v>
      </c>
    </row>
    <row r="103">
      <c r="A103" s="42" t="s">
        <v>256</v>
      </c>
      <c r="B103" s="43" t="str">
        <f t="shared" si="1"/>
        <v>NombreDePersona_102</v>
      </c>
      <c r="C103" s="42">
        <v>2024.0</v>
      </c>
      <c r="D103" s="44">
        <f t="shared" si="2"/>
        <v>36688</v>
      </c>
      <c r="E103" s="43">
        <f t="shared" si="3"/>
        <v>25</v>
      </c>
      <c r="F103" s="42" t="s">
        <v>109</v>
      </c>
      <c r="G103" s="42" t="s">
        <v>118</v>
      </c>
      <c r="H103" s="43" t="str">
        <f t="shared" si="4"/>
        <v>55 55 0101 0101</v>
      </c>
      <c r="I103" s="43" t="str">
        <f t="shared" si="5"/>
        <v>usuario101@ejemplo.com</v>
      </c>
      <c r="J103" s="46" t="str">
        <f t="shared" si="6"/>
        <v/>
      </c>
      <c r="K103" s="47" t="str">
        <f t="shared" si="10"/>
        <v>Jóven adulto</v>
      </c>
    </row>
    <row r="104">
      <c r="A104" s="42" t="s">
        <v>257</v>
      </c>
      <c r="B104" s="43" t="str">
        <f t="shared" si="1"/>
        <v>NombreDePersona_103</v>
      </c>
      <c r="C104" s="42">
        <v>2025.0</v>
      </c>
      <c r="D104" s="44">
        <f t="shared" si="2"/>
        <v>35848</v>
      </c>
      <c r="E104" s="43">
        <f t="shared" si="3"/>
        <v>27</v>
      </c>
      <c r="F104" s="47" t="s">
        <v>109</v>
      </c>
      <c r="G104" s="47" t="s">
        <v>104</v>
      </c>
      <c r="H104" s="43" t="str">
        <f t="shared" si="4"/>
        <v>55 55 0102 0102</v>
      </c>
      <c r="I104" s="43" t="str">
        <f t="shared" si="5"/>
        <v>usuario102@ejemplo.com</v>
      </c>
      <c r="J104" s="46" t="str">
        <f t="shared" si="6"/>
        <v/>
      </c>
      <c r="K104" s="47" t="str">
        <f t="shared" si="10"/>
        <v>Jóven adulto</v>
      </c>
    </row>
    <row r="105">
      <c r="A105" s="42" t="s">
        <v>258</v>
      </c>
      <c r="B105" s="43" t="str">
        <f t="shared" si="1"/>
        <v>NombreDePersona_104</v>
      </c>
      <c r="C105" s="42">
        <v>2025.0</v>
      </c>
      <c r="D105" s="44">
        <f t="shared" si="2"/>
        <v>21915</v>
      </c>
      <c r="E105" s="43">
        <f t="shared" si="3"/>
        <v>66</v>
      </c>
      <c r="F105" s="47" t="s">
        <v>259</v>
      </c>
      <c r="G105" s="42" t="s">
        <v>126</v>
      </c>
      <c r="H105" s="43" t="str">
        <f t="shared" si="4"/>
        <v>55 55 0103 0103</v>
      </c>
      <c r="I105" s="43" t="str">
        <f t="shared" si="5"/>
        <v>usuario103@ejemplo.com</v>
      </c>
      <c r="J105" s="46" t="str">
        <f t="shared" si="6"/>
        <v/>
      </c>
      <c r="K105" s="47" t="str">
        <f t="shared" si="10"/>
        <v>Adulto Mayor</v>
      </c>
    </row>
    <row r="106">
      <c r="A106" s="42" t="s">
        <v>260</v>
      </c>
      <c r="B106" s="43" t="str">
        <f t="shared" si="1"/>
        <v>NombreDePersona_105</v>
      </c>
      <c r="C106" s="42">
        <v>2025.0</v>
      </c>
      <c r="D106" s="44">
        <f t="shared" si="2"/>
        <v>37057</v>
      </c>
      <c r="E106" s="43">
        <f t="shared" si="3"/>
        <v>24</v>
      </c>
      <c r="F106" s="47" t="s">
        <v>109</v>
      </c>
      <c r="G106" s="42" t="s">
        <v>261</v>
      </c>
      <c r="H106" s="43" t="str">
        <f t="shared" si="4"/>
        <v>55 55 0104 0104</v>
      </c>
      <c r="I106" s="43" t="str">
        <f t="shared" si="5"/>
        <v>usuario104@ejemplo.com</v>
      </c>
      <c r="J106" s="46" t="str">
        <f t="shared" si="6"/>
        <v/>
      </c>
      <c r="K106" s="47" t="s">
        <v>153</v>
      </c>
    </row>
    <row r="107">
      <c r="A107" s="42" t="s">
        <v>262</v>
      </c>
      <c r="B107" s="43" t="str">
        <f t="shared" si="1"/>
        <v>NombreDePersona_106</v>
      </c>
      <c r="C107" s="47">
        <v>2025.0</v>
      </c>
      <c r="D107" s="44">
        <f t="shared" si="2"/>
        <v>28342</v>
      </c>
      <c r="E107" s="43">
        <f t="shared" si="3"/>
        <v>48</v>
      </c>
      <c r="F107" s="48" t="s">
        <v>109</v>
      </c>
      <c r="G107" s="48" t="s">
        <v>214</v>
      </c>
      <c r="H107" s="43" t="str">
        <f t="shared" si="4"/>
        <v>55 55 0105 0105</v>
      </c>
      <c r="I107" s="43" t="str">
        <f t="shared" si="5"/>
        <v>usuario105@ejemplo.com</v>
      </c>
      <c r="J107" s="46" t="str">
        <f t="shared" si="6"/>
        <v/>
      </c>
      <c r="K107" s="47" t="str">
        <f t="shared" ref="K107:K112" si="11">IF(
  E107="",
  "", IF(
  ISNUMBER(E107),
  IF(E107&lt;=12,"Infancia",
    IF(E107&lt;=17,"Adolescente",
      IF(E107&lt;=29,"Jóven adulto",
        IF(E107&lt;=59,"Adulto",
          IF(E107&gt;=60,"Adulto Mayor","Desconocido")
        )
      )
    )
  ),
  "Desconocido"
))</f>
        <v>Adulto</v>
      </c>
    </row>
    <row r="108">
      <c r="A108" s="42" t="s">
        <v>263</v>
      </c>
      <c r="B108" s="43" t="str">
        <f t="shared" si="1"/>
        <v>NombreDePersona_107</v>
      </c>
      <c r="C108" s="42">
        <v>2025.0</v>
      </c>
      <c r="D108" s="44">
        <f t="shared" si="2"/>
        <v>39288</v>
      </c>
      <c r="E108" s="43">
        <f t="shared" si="3"/>
        <v>18</v>
      </c>
      <c r="F108" s="47" t="s">
        <v>264</v>
      </c>
      <c r="G108" s="42" t="s">
        <v>97</v>
      </c>
      <c r="H108" s="43" t="str">
        <f t="shared" si="4"/>
        <v>55 55 0106 0106</v>
      </c>
      <c r="I108" s="43" t="str">
        <f t="shared" si="5"/>
        <v>usuario106@ejemplo.com</v>
      </c>
      <c r="J108" s="46" t="str">
        <f t="shared" si="6"/>
        <v>Tutor_106</v>
      </c>
      <c r="K108" s="47" t="str">
        <f t="shared" si="11"/>
        <v>Jóven adulto</v>
      </c>
    </row>
    <row r="109">
      <c r="A109" s="42" t="s">
        <v>265</v>
      </c>
      <c r="B109" s="43" t="str">
        <f t="shared" si="1"/>
        <v>NombreDePersona_108</v>
      </c>
      <c r="C109" s="42">
        <v>2025.0</v>
      </c>
      <c r="D109" s="44">
        <f t="shared" si="2"/>
        <v>15022</v>
      </c>
      <c r="E109" s="43">
        <f t="shared" si="3"/>
        <v>84</v>
      </c>
      <c r="F109" s="42" t="s">
        <v>109</v>
      </c>
      <c r="G109" s="42" t="s">
        <v>93</v>
      </c>
      <c r="H109" s="43" t="str">
        <f t="shared" si="4"/>
        <v>55 55 0107 0107</v>
      </c>
      <c r="I109" s="43" t="str">
        <f t="shared" si="5"/>
        <v>usuario107@ejemplo.com</v>
      </c>
      <c r="J109" s="46" t="str">
        <f t="shared" si="6"/>
        <v/>
      </c>
      <c r="K109" s="47" t="str">
        <f t="shared" si="11"/>
        <v>Adulto Mayor</v>
      </c>
    </row>
    <row r="110">
      <c r="A110" s="42" t="s">
        <v>266</v>
      </c>
      <c r="B110" s="43" t="str">
        <f t="shared" si="1"/>
        <v>NombreDePersona_109</v>
      </c>
      <c r="C110" s="42">
        <v>2025.0</v>
      </c>
      <c r="D110" s="44">
        <f t="shared" si="2"/>
        <v>36105</v>
      </c>
      <c r="E110" s="43">
        <f t="shared" si="3"/>
        <v>27</v>
      </c>
      <c r="F110" s="42" t="s">
        <v>122</v>
      </c>
      <c r="G110" s="42" t="s">
        <v>150</v>
      </c>
      <c r="H110" s="43" t="str">
        <f t="shared" si="4"/>
        <v>55 55 0108 0108</v>
      </c>
      <c r="I110" s="43" t="str">
        <f t="shared" si="5"/>
        <v>usuario108@ejemplo.com</v>
      </c>
      <c r="J110" s="46" t="str">
        <f t="shared" si="6"/>
        <v/>
      </c>
      <c r="K110" s="47" t="str">
        <f t="shared" si="11"/>
        <v>Jóven adulto</v>
      </c>
    </row>
    <row r="111">
      <c r="A111" s="42" t="s">
        <v>267</v>
      </c>
      <c r="B111" s="43" t="str">
        <f t="shared" si="1"/>
        <v>NombreDePersona_110</v>
      </c>
      <c r="C111" s="42">
        <v>2025.0</v>
      </c>
      <c r="D111" s="44">
        <f t="shared" si="2"/>
        <v>28852</v>
      </c>
      <c r="E111" s="43">
        <f t="shared" si="3"/>
        <v>47</v>
      </c>
      <c r="F111" s="42" t="s">
        <v>109</v>
      </c>
      <c r="G111" s="42" t="s">
        <v>131</v>
      </c>
      <c r="H111" s="43" t="str">
        <f t="shared" si="4"/>
        <v>55 55 0109 0109</v>
      </c>
      <c r="I111" s="43" t="str">
        <f t="shared" si="5"/>
        <v>usuario109@ejemplo.com</v>
      </c>
      <c r="J111" s="46" t="str">
        <f t="shared" si="6"/>
        <v/>
      </c>
      <c r="K111" s="47" t="str">
        <f t="shared" si="11"/>
        <v>Adulto</v>
      </c>
    </row>
    <row r="112">
      <c r="A112" s="42" t="s">
        <v>268</v>
      </c>
      <c r="B112" s="43" t="str">
        <f t="shared" si="1"/>
        <v>NombreDePersona_111</v>
      </c>
      <c r="C112" s="42">
        <v>2024.0</v>
      </c>
      <c r="D112" s="44">
        <f t="shared" si="2"/>
        <v>30933</v>
      </c>
      <c r="E112" s="43">
        <f t="shared" si="3"/>
        <v>41</v>
      </c>
      <c r="F112" s="42" t="s">
        <v>92</v>
      </c>
      <c r="G112" s="42" t="s">
        <v>188</v>
      </c>
      <c r="H112" s="43" t="str">
        <f t="shared" si="4"/>
        <v>55 55 0110 0110</v>
      </c>
      <c r="I112" s="43" t="str">
        <f t="shared" si="5"/>
        <v>usuario110@ejemplo.com</v>
      </c>
      <c r="J112" s="46" t="str">
        <f t="shared" si="6"/>
        <v/>
      </c>
      <c r="K112" s="47" t="str">
        <f t="shared" si="11"/>
        <v>Adulto</v>
      </c>
    </row>
    <row r="113">
      <c r="A113" s="42" t="s">
        <v>269</v>
      </c>
      <c r="B113" s="43" t="str">
        <f t="shared" si="1"/>
        <v>NombreDePersona_112</v>
      </c>
      <c r="C113" s="50">
        <v>2024.0</v>
      </c>
      <c r="D113" s="51">
        <f t="shared" si="2"/>
        <v>36665</v>
      </c>
      <c r="E113" s="52">
        <f t="shared" si="3"/>
        <v>25</v>
      </c>
      <c r="F113" s="53" t="s">
        <v>103</v>
      </c>
      <c r="G113" s="50" t="s">
        <v>93</v>
      </c>
      <c r="H113" s="52" t="str">
        <f t="shared" si="4"/>
        <v>55 55 0111 0111</v>
      </c>
      <c r="I113" s="52" t="str">
        <f t="shared" si="5"/>
        <v>usuario111@ejemplo.com</v>
      </c>
      <c r="J113" s="54" t="str">
        <f t="shared" si="6"/>
        <v/>
      </c>
      <c r="K113" s="53" t="s">
        <v>270</v>
      </c>
    </row>
    <row r="114">
      <c r="A114" s="42" t="s">
        <v>271</v>
      </c>
      <c r="B114" s="43" t="str">
        <f t="shared" si="1"/>
        <v>NombreDePersona_113</v>
      </c>
      <c r="C114" s="49">
        <v>2025.0</v>
      </c>
      <c r="D114" s="55">
        <f t="shared" si="2"/>
        <v>29146</v>
      </c>
      <c r="E114" s="56">
        <f t="shared" si="3"/>
        <v>46</v>
      </c>
      <c r="F114" s="57" t="s">
        <v>103</v>
      </c>
      <c r="G114" s="57" t="s">
        <v>97</v>
      </c>
      <c r="H114" s="56" t="str">
        <f t="shared" si="4"/>
        <v>55 55 0112 0112</v>
      </c>
      <c r="I114" s="56" t="str">
        <f t="shared" si="5"/>
        <v>usuario112@ejemplo.com</v>
      </c>
      <c r="J114" s="58" t="str">
        <f t="shared" si="6"/>
        <v/>
      </c>
      <c r="K114" s="57" t="str">
        <f t="shared" ref="K114:K164" si="12">IF(
  E114="",
  "", IF(
  ISNUMBER(E114),
  IF(E114&lt;=12,"Infancia",
    IF(E114&lt;=17,"Adolescente",
      IF(E114&lt;=29,"Jóven adulto",
        IF(E114&lt;=59,"Adulto",
          IF(E114&gt;=60,"Adulto Mayor","Desconocido")
        )
      )
    )
  ),
  "Desconocido"
))</f>
        <v>Adulto</v>
      </c>
    </row>
    <row r="115">
      <c r="A115" s="42" t="s">
        <v>272</v>
      </c>
      <c r="B115" s="43" t="str">
        <f t="shared" si="1"/>
        <v>NombreDePersona_114</v>
      </c>
      <c r="C115" s="50">
        <v>2025.0</v>
      </c>
      <c r="D115" s="51">
        <f t="shared" si="2"/>
        <v>37397</v>
      </c>
      <c r="E115" s="52">
        <f t="shared" si="3"/>
        <v>23</v>
      </c>
      <c r="F115" s="50" t="s">
        <v>273</v>
      </c>
      <c r="G115" s="50" t="s">
        <v>166</v>
      </c>
      <c r="H115" s="52" t="str">
        <f t="shared" si="4"/>
        <v>55 55 0113 0113</v>
      </c>
      <c r="I115" s="52" t="str">
        <f t="shared" si="5"/>
        <v>usuario113@ejemplo.com</v>
      </c>
      <c r="J115" s="54" t="str">
        <f t="shared" si="6"/>
        <v/>
      </c>
      <c r="K115" s="53" t="str">
        <f t="shared" si="12"/>
        <v>Jóven adulto</v>
      </c>
    </row>
    <row r="116">
      <c r="A116" s="42" t="s">
        <v>274</v>
      </c>
      <c r="B116" s="43" t="str">
        <f t="shared" si="1"/>
        <v>NombreDePersona_115</v>
      </c>
      <c r="C116" s="49">
        <v>2025.0</v>
      </c>
      <c r="D116" s="55">
        <f t="shared" si="2"/>
        <v>42483</v>
      </c>
      <c r="E116" s="56">
        <f t="shared" si="3"/>
        <v>9</v>
      </c>
      <c r="F116" s="49" t="s">
        <v>275</v>
      </c>
      <c r="G116" s="49" t="s">
        <v>97</v>
      </c>
      <c r="H116" s="56" t="str">
        <f t="shared" si="4"/>
        <v>55 55 0114 0114</v>
      </c>
      <c r="I116" s="56" t="str">
        <f t="shared" si="5"/>
        <v>usuario114@ejemplo.com</v>
      </c>
      <c r="J116" s="58" t="str">
        <f t="shared" si="6"/>
        <v>Tutor_114</v>
      </c>
      <c r="K116" s="57" t="str">
        <f t="shared" si="12"/>
        <v>Infancia</v>
      </c>
    </row>
    <row r="117">
      <c r="A117" s="42" t="s">
        <v>276</v>
      </c>
      <c r="B117" s="43" t="str">
        <f t="shared" si="1"/>
        <v>NombreDePersona_116</v>
      </c>
      <c r="C117" s="50">
        <v>2025.0</v>
      </c>
      <c r="D117" s="51">
        <f t="shared" si="2"/>
        <v>24039</v>
      </c>
      <c r="E117" s="52">
        <f t="shared" si="3"/>
        <v>60</v>
      </c>
      <c r="F117" s="50" t="s">
        <v>109</v>
      </c>
      <c r="G117" s="50" t="s">
        <v>93</v>
      </c>
      <c r="H117" s="52" t="str">
        <f t="shared" si="4"/>
        <v>55 55 0115 0115</v>
      </c>
      <c r="I117" s="52" t="str">
        <f t="shared" si="5"/>
        <v>usuario115@ejemplo.com</v>
      </c>
      <c r="J117" s="54" t="str">
        <f t="shared" si="6"/>
        <v/>
      </c>
      <c r="K117" s="53" t="str">
        <f t="shared" si="12"/>
        <v>Adulto Mayor</v>
      </c>
    </row>
    <row r="118">
      <c r="A118" s="42" t="s">
        <v>277</v>
      </c>
      <c r="B118" s="43" t="str">
        <f t="shared" si="1"/>
        <v>NombreDePersona_117</v>
      </c>
      <c r="C118" s="49">
        <v>2024.0</v>
      </c>
      <c r="D118" s="55">
        <f t="shared" si="2"/>
        <v>32453</v>
      </c>
      <c r="E118" s="56">
        <f t="shared" si="3"/>
        <v>37</v>
      </c>
      <c r="F118" s="49" t="s">
        <v>171</v>
      </c>
      <c r="G118" s="57" t="s">
        <v>103</v>
      </c>
      <c r="H118" s="56" t="str">
        <f t="shared" si="4"/>
        <v>55 55 0116 0116</v>
      </c>
      <c r="I118" s="56" t="str">
        <f t="shared" si="5"/>
        <v>usuario116@ejemplo.com</v>
      </c>
      <c r="J118" s="58" t="str">
        <f t="shared" si="6"/>
        <v/>
      </c>
      <c r="K118" s="57" t="str">
        <f t="shared" si="12"/>
        <v>Adulto</v>
      </c>
    </row>
    <row r="119">
      <c r="A119" s="42" t="s">
        <v>278</v>
      </c>
      <c r="B119" s="43" t="str">
        <f t="shared" si="1"/>
        <v>NombreDePersona_118</v>
      </c>
      <c r="C119" s="50">
        <v>2025.0</v>
      </c>
      <c r="D119" s="51">
        <f t="shared" si="2"/>
        <v>30821</v>
      </c>
      <c r="E119" s="52">
        <f t="shared" si="3"/>
        <v>41</v>
      </c>
      <c r="F119" s="53" t="s">
        <v>103</v>
      </c>
      <c r="G119" s="53" t="s">
        <v>97</v>
      </c>
      <c r="H119" s="52" t="str">
        <f t="shared" si="4"/>
        <v>55 55 0117 0117</v>
      </c>
      <c r="I119" s="52" t="str">
        <f t="shared" si="5"/>
        <v>usuario117@ejemplo.com</v>
      </c>
      <c r="J119" s="54" t="str">
        <f t="shared" si="6"/>
        <v/>
      </c>
      <c r="K119" s="53" t="str">
        <f t="shared" si="12"/>
        <v>Adulto</v>
      </c>
    </row>
    <row r="120">
      <c r="A120" s="42" t="s">
        <v>279</v>
      </c>
      <c r="B120" s="43" t="str">
        <f t="shared" si="1"/>
        <v>NombreDePersona_119</v>
      </c>
      <c r="C120" s="49">
        <v>2025.0</v>
      </c>
      <c r="D120" s="55">
        <f t="shared" si="2"/>
        <v>42912</v>
      </c>
      <c r="E120" s="56">
        <f t="shared" si="3"/>
        <v>8</v>
      </c>
      <c r="F120" s="49" t="s">
        <v>109</v>
      </c>
      <c r="G120" s="49" t="s">
        <v>133</v>
      </c>
      <c r="H120" s="56" t="str">
        <f t="shared" si="4"/>
        <v>55 55 0118 0118</v>
      </c>
      <c r="I120" s="56" t="str">
        <f t="shared" si="5"/>
        <v>usuario118@ejemplo.com</v>
      </c>
      <c r="J120" s="58" t="str">
        <f t="shared" si="6"/>
        <v>Tutor_118</v>
      </c>
      <c r="K120" s="57" t="str">
        <f t="shared" si="12"/>
        <v>Infancia</v>
      </c>
    </row>
    <row r="121">
      <c r="A121" s="42" t="s">
        <v>280</v>
      </c>
      <c r="B121" s="43" t="str">
        <f t="shared" si="1"/>
        <v>NombreDePersona_120</v>
      </c>
      <c r="C121" s="50">
        <v>2025.0</v>
      </c>
      <c r="D121" s="51">
        <f t="shared" si="2"/>
        <v>38149</v>
      </c>
      <c r="E121" s="52">
        <f t="shared" si="3"/>
        <v>21</v>
      </c>
      <c r="F121" s="50" t="s">
        <v>92</v>
      </c>
      <c r="G121" s="50" t="s">
        <v>93</v>
      </c>
      <c r="H121" s="52" t="str">
        <f t="shared" si="4"/>
        <v>55 55 0119 0119</v>
      </c>
      <c r="I121" s="52" t="str">
        <f t="shared" si="5"/>
        <v>usuario119@ejemplo.com</v>
      </c>
      <c r="J121" s="54" t="str">
        <f t="shared" si="6"/>
        <v/>
      </c>
      <c r="K121" s="53" t="str">
        <f t="shared" si="12"/>
        <v>Jóven adulto</v>
      </c>
    </row>
    <row r="122">
      <c r="A122" s="42" t="s">
        <v>281</v>
      </c>
      <c r="B122" s="43" t="str">
        <f t="shared" si="1"/>
        <v>NombreDePersona_121</v>
      </c>
      <c r="C122" s="49">
        <v>2025.0</v>
      </c>
      <c r="D122" s="55">
        <f t="shared" si="2"/>
        <v>20382</v>
      </c>
      <c r="E122" s="56">
        <f t="shared" si="3"/>
        <v>70</v>
      </c>
      <c r="F122" s="49" t="s">
        <v>282</v>
      </c>
      <c r="G122" s="57" t="s">
        <v>97</v>
      </c>
      <c r="H122" s="56" t="str">
        <f t="shared" si="4"/>
        <v>55 55 0120 0120</v>
      </c>
      <c r="I122" s="56" t="str">
        <f t="shared" si="5"/>
        <v>usuario120@ejemplo.com</v>
      </c>
      <c r="J122" s="58" t="str">
        <f t="shared" si="6"/>
        <v/>
      </c>
      <c r="K122" s="57" t="str">
        <f t="shared" si="12"/>
        <v>Adulto Mayor</v>
      </c>
    </row>
    <row r="123">
      <c r="A123" s="42" t="s">
        <v>283</v>
      </c>
      <c r="B123" s="43" t="str">
        <f t="shared" si="1"/>
        <v>NombreDePersona_122</v>
      </c>
      <c r="C123" s="50">
        <v>2025.0</v>
      </c>
      <c r="D123" s="51">
        <f t="shared" si="2"/>
        <v>12685</v>
      </c>
      <c r="E123" s="52">
        <f t="shared" si="3"/>
        <v>91</v>
      </c>
      <c r="F123" s="53" t="s">
        <v>207</v>
      </c>
      <c r="G123" s="53" t="s">
        <v>97</v>
      </c>
      <c r="H123" s="52" t="str">
        <f t="shared" si="4"/>
        <v>55 55 0121 0121</v>
      </c>
      <c r="I123" s="52" t="str">
        <f t="shared" si="5"/>
        <v>usuario121@ejemplo.com</v>
      </c>
      <c r="J123" s="54" t="str">
        <f t="shared" si="6"/>
        <v/>
      </c>
      <c r="K123" s="53" t="str">
        <f t="shared" si="12"/>
        <v>Adulto Mayor</v>
      </c>
    </row>
    <row r="124">
      <c r="A124" s="42" t="s">
        <v>284</v>
      </c>
      <c r="B124" s="43" t="str">
        <f t="shared" si="1"/>
        <v>NombreDePersona_123</v>
      </c>
      <c r="C124" s="49">
        <v>2024.0</v>
      </c>
      <c r="D124" s="55">
        <f t="shared" si="2"/>
        <v>20456</v>
      </c>
      <c r="E124" s="56">
        <f t="shared" si="3"/>
        <v>70</v>
      </c>
      <c r="F124" s="57" t="s">
        <v>103</v>
      </c>
      <c r="G124" s="57" t="s">
        <v>97</v>
      </c>
      <c r="H124" s="56" t="str">
        <f t="shared" si="4"/>
        <v>55 55 0122 0122</v>
      </c>
      <c r="I124" s="56" t="str">
        <f t="shared" si="5"/>
        <v>usuario122@ejemplo.com</v>
      </c>
      <c r="J124" s="58" t="str">
        <f t="shared" si="6"/>
        <v/>
      </c>
      <c r="K124" s="57" t="str">
        <f t="shared" si="12"/>
        <v>Adulto Mayor</v>
      </c>
    </row>
    <row r="125">
      <c r="A125" s="42" t="s">
        <v>285</v>
      </c>
      <c r="B125" s="43" t="str">
        <f t="shared" si="1"/>
        <v>NombreDePersona_124</v>
      </c>
      <c r="C125" s="50">
        <v>2025.0</v>
      </c>
      <c r="D125" s="51">
        <f t="shared" si="2"/>
        <v>15552</v>
      </c>
      <c r="E125" s="52">
        <f t="shared" si="3"/>
        <v>83</v>
      </c>
      <c r="F125" s="53" t="s">
        <v>103</v>
      </c>
      <c r="G125" s="53" t="s">
        <v>103</v>
      </c>
      <c r="H125" s="52" t="str">
        <f t="shared" si="4"/>
        <v>55 55 0123 0123</v>
      </c>
      <c r="I125" s="52" t="str">
        <f t="shared" si="5"/>
        <v>usuario123@ejemplo.com</v>
      </c>
      <c r="J125" s="54" t="str">
        <f t="shared" si="6"/>
        <v/>
      </c>
      <c r="K125" s="53" t="str">
        <f t="shared" si="12"/>
        <v>Adulto Mayor</v>
      </c>
    </row>
    <row r="126">
      <c r="A126" s="42" t="s">
        <v>286</v>
      </c>
      <c r="B126" s="43" t="str">
        <f t="shared" si="1"/>
        <v>NombreDePersona_125</v>
      </c>
      <c r="C126" s="49">
        <v>2025.0</v>
      </c>
      <c r="D126" s="55">
        <f t="shared" si="2"/>
        <v>38045</v>
      </c>
      <c r="E126" s="56">
        <f t="shared" si="3"/>
        <v>21</v>
      </c>
      <c r="F126" s="49" t="s">
        <v>162</v>
      </c>
      <c r="G126" s="49" t="s">
        <v>93</v>
      </c>
      <c r="H126" s="56" t="str">
        <f t="shared" si="4"/>
        <v>55 55 0124 0124</v>
      </c>
      <c r="I126" s="56" t="str">
        <f t="shared" si="5"/>
        <v>usuario124@ejemplo.com</v>
      </c>
      <c r="J126" s="58" t="str">
        <f t="shared" si="6"/>
        <v/>
      </c>
      <c r="K126" s="57" t="str">
        <f t="shared" si="12"/>
        <v>Jóven adulto</v>
      </c>
    </row>
    <row r="127">
      <c r="A127" s="42" t="s">
        <v>287</v>
      </c>
      <c r="B127" s="43" t="str">
        <f t="shared" si="1"/>
        <v>NombreDePersona_126</v>
      </c>
      <c r="C127" s="50">
        <v>2024.0</v>
      </c>
      <c r="D127" s="51">
        <f t="shared" si="2"/>
        <v>21822</v>
      </c>
      <c r="E127" s="52">
        <f t="shared" si="3"/>
        <v>66</v>
      </c>
      <c r="F127" s="50" t="s">
        <v>288</v>
      </c>
      <c r="G127" s="50" t="s">
        <v>169</v>
      </c>
      <c r="H127" s="52" t="str">
        <f t="shared" si="4"/>
        <v>55 55 0125 0125</v>
      </c>
      <c r="I127" s="52" t="str">
        <f t="shared" si="5"/>
        <v>usuario125@ejemplo.com</v>
      </c>
      <c r="J127" s="54" t="str">
        <f t="shared" si="6"/>
        <v/>
      </c>
      <c r="K127" s="53" t="str">
        <f t="shared" si="12"/>
        <v>Adulto Mayor</v>
      </c>
    </row>
    <row r="128">
      <c r="A128" s="42" t="s">
        <v>289</v>
      </c>
      <c r="B128" s="43" t="str">
        <f t="shared" si="1"/>
        <v>NombreDePersona_127</v>
      </c>
      <c r="C128" s="49">
        <v>2025.0</v>
      </c>
      <c r="D128" s="55">
        <f t="shared" si="2"/>
        <v>24148</v>
      </c>
      <c r="E128" s="56">
        <f t="shared" si="3"/>
        <v>59</v>
      </c>
      <c r="F128" s="57" t="s">
        <v>103</v>
      </c>
      <c r="G128" s="57" t="s">
        <v>104</v>
      </c>
      <c r="H128" s="56" t="str">
        <f t="shared" si="4"/>
        <v>55 55 0126 0126</v>
      </c>
      <c r="I128" s="56" t="str">
        <f t="shared" si="5"/>
        <v>usuario126@ejemplo.com</v>
      </c>
      <c r="J128" s="58" t="str">
        <f t="shared" si="6"/>
        <v/>
      </c>
      <c r="K128" s="57" t="str">
        <f t="shared" si="12"/>
        <v>Adulto</v>
      </c>
    </row>
    <row r="129">
      <c r="A129" s="42" t="s">
        <v>290</v>
      </c>
      <c r="B129" s="43" t="str">
        <f t="shared" si="1"/>
        <v>NombreDePersona_128</v>
      </c>
      <c r="C129" s="50">
        <v>2024.0</v>
      </c>
      <c r="D129" s="51">
        <f t="shared" si="2"/>
        <v>18040</v>
      </c>
      <c r="E129" s="52">
        <f t="shared" si="3"/>
        <v>76</v>
      </c>
      <c r="F129" s="50" t="s">
        <v>291</v>
      </c>
      <c r="G129" s="50" t="s">
        <v>214</v>
      </c>
      <c r="H129" s="52" t="str">
        <f t="shared" si="4"/>
        <v>55 55 0127 0127</v>
      </c>
      <c r="I129" s="52" t="str">
        <f t="shared" si="5"/>
        <v>usuario127@ejemplo.com</v>
      </c>
      <c r="J129" s="54" t="str">
        <f t="shared" si="6"/>
        <v/>
      </c>
      <c r="K129" s="53" t="str">
        <f t="shared" si="12"/>
        <v>Adulto Mayor</v>
      </c>
    </row>
    <row r="130">
      <c r="A130" s="42" t="s">
        <v>292</v>
      </c>
      <c r="B130" s="43" t="str">
        <f t="shared" si="1"/>
        <v>NombreDePersona_129</v>
      </c>
      <c r="C130" s="49">
        <v>2025.0</v>
      </c>
      <c r="D130" s="55">
        <f t="shared" si="2"/>
        <v>29193</v>
      </c>
      <c r="E130" s="56">
        <f t="shared" si="3"/>
        <v>46</v>
      </c>
      <c r="F130" s="49" t="s">
        <v>293</v>
      </c>
      <c r="G130" s="57" t="s">
        <v>97</v>
      </c>
      <c r="H130" s="56" t="str">
        <f t="shared" si="4"/>
        <v>55 55 0128 0128</v>
      </c>
      <c r="I130" s="56" t="str">
        <f t="shared" si="5"/>
        <v>usuario128@ejemplo.com</v>
      </c>
      <c r="J130" s="58" t="str">
        <f t="shared" si="6"/>
        <v/>
      </c>
      <c r="K130" s="57" t="str">
        <f t="shared" si="12"/>
        <v>Adulto</v>
      </c>
    </row>
    <row r="131">
      <c r="A131" s="42" t="s">
        <v>294</v>
      </c>
      <c r="B131" s="43" t="str">
        <f t="shared" si="1"/>
        <v>NombreDePersona_130</v>
      </c>
      <c r="C131" s="53">
        <v>2025.0</v>
      </c>
      <c r="D131" s="51">
        <f t="shared" si="2"/>
        <v>35802</v>
      </c>
      <c r="E131" s="52">
        <f t="shared" si="3"/>
        <v>28</v>
      </c>
      <c r="F131" s="59" t="s">
        <v>109</v>
      </c>
      <c r="G131" s="59" t="s">
        <v>295</v>
      </c>
      <c r="H131" s="52" t="str">
        <f t="shared" si="4"/>
        <v>55 55 0129 0129</v>
      </c>
      <c r="I131" s="52" t="str">
        <f t="shared" si="5"/>
        <v>usuario129@ejemplo.com</v>
      </c>
      <c r="J131" s="54" t="str">
        <f t="shared" si="6"/>
        <v/>
      </c>
      <c r="K131" s="53" t="str">
        <f t="shared" si="12"/>
        <v>Jóven adulto</v>
      </c>
    </row>
    <row r="132">
      <c r="A132" s="42" t="s">
        <v>296</v>
      </c>
      <c r="B132" s="43" t="str">
        <f t="shared" si="1"/>
        <v>NombreDePersona_131</v>
      </c>
      <c r="C132" s="49">
        <v>2025.0</v>
      </c>
      <c r="D132" s="55">
        <f t="shared" si="2"/>
        <v>28381</v>
      </c>
      <c r="E132" s="56">
        <f t="shared" si="3"/>
        <v>48</v>
      </c>
      <c r="F132" s="49" t="s">
        <v>297</v>
      </c>
      <c r="G132" s="49" t="s">
        <v>97</v>
      </c>
      <c r="H132" s="56" t="str">
        <f t="shared" si="4"/>
        <v>55 55 0130 0130</v>
      </c>
      <c r="I132" s="56" t="str">
        <f t="shared" si="5"/>
        <v>usuario130@ejemplo.com</v>
      </c>
      <c r="J132" s="58" t="str">
        <f t="shared" si="6"/>
        <v/>
      </c>
      <c r="K132" s="57" t="str">
        <f t="shared" si="12"/>
        <v>Adulto</v>
      </c>
    </row>
    <row r="133">
      <c r="A133" s="42" t="s">
        <v>298</v>
      </c>
      <c r="B133" s="43" t="str">
        <f t="shared" si="1"/>
        <v>NombreDePersona_132</v>
      </c>
      <c r="C133" s="50">
        <v>2025.0</v>
      </c>
      <c r="D133" s="51">
        <f t="shared" si="2"/>
        <v>10595</v>
      </c>
      <c r="E133" s="52">
        <f t="shared" si="3"/>
        <v>97</v>
      </c>
      <c r="F133" s="50" t="s">
        <v>299</v>
      </c>
      <c r="G133" s="50" t="s">
        <v>97</v>
      </c>
      <c r="H133" s="52" t="str">
        <f t="shared" si="4"/>
        <v>55 55 0131 0131</v>
      </c>
      <c r="I133" s="52" t="str">
        <f t="shared" si="5"/>
        <v>usuario131@ejemplo.com</v>
      </c>
      <c r="J133" s="54" t="str">
        <f t="shared" si="6"/>
        <v/>
      </c>
      <c r="K133" s="53" t="str">
        <f t="shared" si="12"/>
        <v>Adulto Mayor</v>
      </c>
    </row>
    <row r="134">
      <c r="A134" s="42" t="s">
        <v>300</v>
      </c>
      <c r="B134" s="43" t="str">
        <f t="shared" si="1"/>
        <v>NombreDePersona_133</v>
      </c>
      <c r="C134" s="49">
        <v>2025.0</v>
      </c>
      <c r="D134" s="55">
        <f t="shared" si="2"/>
        <v>28448</v>
      </c>
      <c r="E134" s="56">
        <f t="shared" si="3"/>
        <v>48</v>
      </c>
      <c r="F134" s="49" t="s">
        <v>162</v>
      </c>
      <c r="G134" s="49" t="s">
        <v>301</v>
      </c>
      <c r="H134" s="56" t="str">
        <f t="shared" si="4"/>
        <v>55 55 0132 0132</v>
      </c>
      <c r="I134" s="56" t="str">
        <f t="shared" si="5"/>
        <v>usuario132@ejemplo.com</v>
      </c>
      <c r="J134" s="58" t="str">
        <f t="shared" si="6"/>
        <v/>
      </c>
      <c r="K134" s="57" t="str">
        <f t="shared" si="12"/>
        <v>Adulto</v>
      </c>
    </row>
    <row r="135">
      <c r="A135" s="42" t="s">
        <v>302</v>
      </c>
      <c r="B135" s="43" t="str">
        <f t="shared" si="1"/>
        <v>NombreDePersona_134</v>
      </c>
      <c r="C135" s="50">
        <v>2025.0</v>
      </c>
      <c r="D135" s="51">
        <f t="shared" si="2"/>
        <v>41954</v>
      </c>
      <c r="E135" s="52">
        <f t="shared" si="3"/>
        <v>11</v>
      </c>
      <c r="F135" s="50" t="s">
        <v>303</v>
      </c>
      <c r="G135" s="50" t="s">
        <v>131</v>
      </c>
      <c r="H135" s="52" t="str">
        <f t="shared" si="4"/>
        <v>55 55 0133 0133</v>
      </c>
      <c r="I135" s="52" t="str">
        <f t="shared" si="5"/>
        <v>usuario133@ejemplo.com</v>
      </c>
      <c r="J135" s="54" t="str">
        <f t="shared" si="6"/>
        <v>Tutor_133</v>
      </c>
      <c r="K135" s="53" t="str">
        <f t="shared" si="12"/>
        <v>Infancia</v>
      </c>
    </row>
    <row r="136">
      <c r="A136" s="42" t="s">
        <v>304</v>
      </c>
      <c r="B136" s="43" t="str">
        <f t="shared" si="1"/>
        <v>NombreDePersona_135</v>
      </c>
      <c r="C136" s="49">
        <v>2025.0</v>
      </c>
      <c r="D136" s="55">
        <f t="shared" si="2"/>
        <v>28501</v>
      </c>
      <c r="E136" s="56">
        <f t="shared" si="3"/>
        <v>48</v>
      </c>
      <c r="F136" s="49" t="s">
        <v>171</v>
      </c>
      <c r="G136" s="57" t="s">
        <v>93</v>
      </c>
      <c r="H136" s="56" t="str">
        <f t="shared" si="4"/>
        <v>55 55 0134 0134</v>
      </c>
      <c r="I136" s="56" t="str">
        <f t="shared" si="5"/>
        <v>usuario134@ejemplo.com</v>
      </c>
      <c r="J136" s="58" t="str">
        <f t="shared" si="6"/>
        <v/>
      </c>
      <c r="K136" s="57" t="str">
        <f t="shared" si="12"/>
        <v>Adulto</v>
      </c>
    </row>
    <row r="137">
      <c r="A137" s="42" t="s">
        <v>305</v>
      </c>
      <c r="B137" s="43" t="str">
        <f t="shared" si="1"/>
        <v>NombreDePersona_136</v>
      </c>
      <c r="C137" s="50">
        <v>2025.0</v>
      </c>
      <c r="D137" s="51">
        <f t="shared" si="2"/>
        <v>18990</v>
      </c>
      <c r="E137" s="52">
        <f t="shared" si="3"/>
        <v>74</v>
      </c>
      <c r="F137" s="50" t="s">
        <v>171</v>
      </c>
      <c r="G137" s="50" t="s">
        <v>97</v>
      </c>
      <c r="H137" s="52" t="str">
        <f t="shared" si="4"/>
        <v>55 55 0135 0135</v>
      </c>
      <c r="I137" s="52" t="str">
        <f t="shared" si="5"/>
        <v>usuario135@ejemplo.com</v>
      </c>
      <c r="J137" s="54" t="str">
        <f t="shared" si="6"/>
        <v/>
      </c>
      <c r="K137" s="53" t="str">
        <f t="shared" si="12"/>
        <v>Adulto Mayor</v>
      </c>
    </row>
    <row r="138">
      <c r="A138" s="42" t="s">
        <v>306</v>
      </c>
      <c r="B138" s="43" t="str">
        <f t="shared" si="1"/>
        <v>NombreDePersona_137</v>
      </c>
      <c r="C138" s="49">
        <v>2025.0</v>
      </c>
      <c r="D138" s="55">
        <f t="shared" si="2"/>
        <v>36467</v>
      </c>
      <c r="E138" s="56">
        <f t="shared" si="3"/>
        <v>26</v>
      </c>
      <c r="F138" s="57" t="s">
        <v>103</v>
      </c>
      <c r="G138" s="57" t="s">
        <v>103</v>
      </c>
      <c r="H138" s="56" t="str">
        <f t="shared" si="4"/>
        <v>55 55 0136 0136</v>
      </c>
      <c r="I138" s="56" t="str">
        <f t="shared" si="5"/>
        <v>usuario136@ejemplo.com</v>
      </c>
      <c r="J138" s="58" t="str">
        <f t="shared" si="6"/>
        <v/>
      </c>
      <c r="K138" s="57" t="str">
        <f t="shared" si="12"/>
        <v>Jóven adulto</v>
      </c>
    </row>
    <row r="139">
      <c r="A139" s="42" t="s">
        <v>307</v>
      </c>
      <c r="B139" s="43" t="str">
        <f t="shared" si="1"/>
        <v>NombreDePersona_138</v>
      </c>
      <c r="C139" s="50">
        <v>2024.0</v>
      </c>
      <c r="D139" s="51">
        <f t="shared" si="2"/>
        <v>25258</v>
      </c>
      <c r="E139" s="52">
        <f t="shared" si="3"/>
        <v>56</v>
      </c>
      <c r="F139" s="50" t="s">
        <v>92</v>
      </c>
      <c r="G139" s="50" t="s">
        <v>97</v>
      </c>
      <c r="H139" s="52" t="str">
        <f t="shared" si="4"/>
        <v>55 55 0137 0137</v>
      </c>
      <c r="I139" s="52" t="str">
        <f t="shared" si="5"/>
        <v>usuario137@ejemplo.com</v>
      </c>
      <c r="J139" s="54" t="str">
        <f t="shared" si="6"/>
        <v/>
      </c>
      <c r="K139" s="53" t="str">
        <f t="shared" si="12"/>
        <v>Adulto</v>
      </c>
    </row>
    <row r="140">
      <c r="A140" s="42" t="s">
        <v>308</v>
      </c>
      <c r="B140" s="43" t="str">
        <f t="shared" si="1"/>
        <v>NombreDePersona_139</v>
      </c>
      <c r="C140" s="49">
        <v>2025.0</v>
      </c>
      <c r="D140" s="55">
        <f t="shared" si="2"/>
        <v>19353</v>
      </c>
      <c r="E140" s="56">
        <f t="shared" si="3"/>
        <v>73</v>
      </c>
      <c r="F140" s="49" t="s">
        <v>309</v>
      </c>
      <c r="G140" s="49" t="s">
        <v>310</v>
      </c>
      <c r="H140" s="56" t="str">
        <f t="shared" si="4"/>
        <v>55 55 0138 0138</v>
      </c>
      <c r="I140" s="56" t="str">
        <f t="shared" si="5"/>
        <v>usuario138@ejemplo.com</v>
      </c>
      <c r="J140" s="58" t="str">
        <f t="shared" si="6"/>
        <v/>
      </c>
      <c r="K140" s="57" t="str">
        <f t="shared" si="12"/>
        <v>Adulto Mayor</v>
      </c>
    </row>
    <row r="141">
      <c r="A141" s="42" t="s">
        <v>311</v>
      </c>
      <c r="B141" s="43" t="str">
        <f t="shared" si="1"/>
        <v>NombreDePersona_140</v>
      </c>
      <c r="C141" s="50">
        <v>2025.0</v>
      </c>
      <c r="D141" s="51">
        <f t="shared" si="2"/>
        <v>37524</v>
      </c>
      <c r="E141" s="52">
        <f t="shared" si="3"/>
        <v>23</v>
      </c>
      <c r="F141" s="53" t="s">
        <v>109</v>
      </c>
      <c r="G141" s="53" t="s">
        <v>103</v>
      </c>
      <c r="H141" s="52" t="str">
        <f t="shared" si="4"/>
        <v>55 55 0139 0139</v>
      </c>
      <c r="I141" s="52" t="str">
        <f t="shared" si="5"/>
        <v>usuario139@ejemplo.com</v>
      </c>
      <c r="J141" s="54" t="str">
        <f t="shared" si="6"/>
        <v/>
      </c>
      <c r="K141" s="53" t="str">
        <f t="shared" si="12"/>
        <v>Jóven adulto</v>
      </c>
    </row>
    <row r="142">
      <c r="A142" s="42" t="s">
        <v>312</v>
      </c>
      <c r="B142" s="43" t="str">
        <f t="shared" si="1"/>
        <v>NombreDePersona_141</v>
      </c>
      <c r="C142" s="49">
        <v>2025.0</v>
      </c>
      <c r="D142" s="55">
        <f t="shared" si="2"/>
        <v>35347</v>
      </c>
      <c r="E142" s="56">
        <f t="shared" si="3"/>
        <v>29</v>
      </c>
      <c r="F142" s="49" t="s">
        <v>109</v>
      </c>
      <c r="G142" s="49" t="s">
        <v>188</v>
      </c>
      <c r="H142" s="56" t="str">
        <f t="shared" si="4"/>
        <v>55 55 0140 0140</v>
      </c>
      <c r="I142" s="56" t="str">
        <f t="shared" si="5"/>
        <v>usuario140@ejemplo.com</v>
      </c>
      <c r="J142" s="58" t="str">
        <f t="shared" si="6"/>
        <v/>
      </c>
      <c r="K142" s="57" t="str">
        <f t="shared" si="12"/>
        <v>Jóven adulto</v>
      </c>
    </row>
    <row r="143">
      <c r="A143" s="42" t="s">
        <v>313</v>
      </c>
      <c r="B143" s="43" t="str">
        <f t="shared" si="1"/>
        <v>NombreDePersona_142</v>
      </c>
      <c r="C143" s="50">
        <v>2025.0</v>
      </c>
      <c r="D143" s="51">
        <f t="shared" si="2"/>
        <v>32232</v>
      </c>
      <c r="E143" s="52">
        <f t="shared" si="3"/>
        <v>37</v>
      </c>
      <c r="F143" s="50" t="s">
        <v>109</v>
      </c>
      <c r="G143" s="50" t="s">
        <v>261</v>
      </c>
      <c r="H143" s="52" t="str">
        <f t="shared" si="4"/>
        <v>55 55 0141 0141</v>
      </c>
      <c r="I143" s="52" t="str">
        <f t="shared" si="5"/>
        <v>usuario141@ejemplo.com</v>
      </c>
      <c r="J143" s="54" t="str">
        <f t="shared" si="6"/>
        <v/>
      </c>
      <c r="K143" s="53" t="str">
        <f t="shared" si="12"/>
        <v>Adulto</v>
      </c>
    </row>
    <row r="144">
      <c r="A144" s="42" t="s">
        <v>314</v>
      </c>
      <c r="B144" s="43" t="str">
        <f t="shared" si="1"/>
        <v>NombreDePersona_143</v>
      </c>
      <c r="C144" s="49">
        <v>2025.0</v>
      </c>
      <c r="D144" s="55">
        <f t="shared" si="2"/>
        <v>42870</v>
      </c>
      <c r="E144" s="56">
        <f t="shared" si="3"/>
        <v>8</v>
      </c>
      <c r="F144" s="49" t="s">
        <v>109</v>
      </c>
      <c r="G144" s="49" t="s">
        <v>97</v>
      </c>
      <c r="H144" s="56" t="str">
        <f t="shared" si="4"/>
        <v>55 55 0142 0142</v>
      </c>
      <c r="I144" s="56" t="str">
        <f t="shared" si="5"/>
        <v>usuario142@ejemplo.com</v>
      </c>
      <c r="J144" s="58" t="str">
        <f t="shared" si="6"/>
        <v>Tutor_142</v>
      </c>
      <c r="K144" s="57" t="str">
        <f t="shared" si="12"/>
        <v>Infancia</v>
      </c>
    </row>
    <row r="145">
      <c r="A145" s="42" t="s">
        <v>315</v>
      </c>
      <c r="B145" s="43" t="str">
        <f t="shared" si="1"/>
        <v>NombreDePersona_144</v>
      </c>
      <c r="C145" s="50">
        <v>2024.0</v>
      </c>
      <c r="D145" s="51">
        <f t="shared" si="2"/>
        <v>20981</v>
      </c>
      <c r="E145" s="52">
        <f t="shared" si="3"/>
        <v>68</v>
      </c>
      <c r="F145" s="50" t="s">
        <v>316</v>
      </c>
      <c r="G145" s="50" t="s">
        <v>97</v>
      </c>
      <c r="H145" s="52" t="str">
        <f t="shared" si="4"/>
        <v>55 55 0143 0143</v>
      </c>
      <c r="I145" s="52" t="str">
        <f t="shared" si="5"/>
        <v>usuario143@ejemplo.com</v>
      </c>
      <c r="J145" s="54" t="str">
        <f t="shared" si="6"/>
        <v/>
      </c>
      <c r="K145" s="53" t="str">
        <f t="shared" si="12"/>
        <v>Adulto Mayor</v>
      </c>
    </row>
    <row r="146">
      <c r="A146" s="42" t="s">
        <v>317</v>
      </c>
      <c r="B146" s="43" t="str">
        <f t="shared" si="1"/>
        <v>NombreDePersona_145</v>
      </c>
      <c r="C146" s="49">
        <v>2025.0</v>
      </c>
      <c r="D146" s="55">
        <f t="shared" si="2"/>
        <v>24567</v>
      </c>
      <c r="E146" s="56">
        <f t="shared" si="3"/>
        <v>58</v>
      </c>
      <c r="F146" s="57" t="s">
        <v>103</v>
      </c>
      <c r="G146" s="57" t="s">
        <v>103</v>
      </c>
      <c r="H146" s="56" t="str">
        <f t="shared" si="4"/>
        <v>55 55 0144 0144</v>
      </c>
      <c r="I146" s="56" t="str">
        <f t="shared" si="5"/>
        <v>usuario144@ejemplo.com</v>
      </c>
      <c r="J146" s="58" t="str">
        <f t="shared" si="6"/>
        <v/>
      </c>
      <c r="K146" s="57" t="str">
        <f t="shared" si="12"/>
        <v>Adulto</v>
      </c>
    </row>
    <row r="147">
      <c r="A147" s="42" t="s">
        <v>318</v>
      </c>
      <c r="B147" s="43" t="str">
        <f t="shared" si="1"/>
        <v>NombreDePersona_146</v>
      </c>
      <c r="C147" s="50">
        <v>2025.0</v>
      </c>
      <c r="D147" s="51">
        <f t="shared" si="2"/>
        <v>19365</v>
      </c>
      <c r="E147" s="52">
        <f t="shared" si="3"/>
        <v>73</v>
      </c>
      <c r="F147" s="50" t="s">
        <v>319</v>
      </c>
      <c r="G147" s="50" t="s">
        <v>131</v>
      </c>
      <c r="H147" s="52" t="str">
        <f t="shared" si="4"/>
        <v>55 55 0145 0145</v>
      </c>
      <c r="I147" s="52" t="str">
        <f t="shared" si="5"/>
        <v>usuario145@ejemplo.com</v>
      </c>
      <c r="J147" s="54" t="str">
        <f t="shared" si="6"/>
        <v/>
      </c>
      <c r="K147" s="53" t="str">
        <f t="shared" si="12"/>
        <v>Adulto Mayor</v>
      </c>
    </row>
    <row r="148">
      <c r="A148" s="42" t="s">
        <v>320</v>
      </c>
      <c r="B148" s="43" t="str">
        <f t="shared" si="1"/>
        <v>NombreDePersona_147</v>
      </c>
      <c r="C148" s="49">
        <v>2025.0</v>
      </c>
      <c r="D148" s="55">
        <f t="shared" si="2"/>
        <v>23238</v>
      </c>
      <c r="E148" s="56">
        <f t="shared" si="3"/>
        <v>62</v>
      </c>
      <c r="F148" s="49" t="s">
        <v>109</v>
      </c>
      <c r="G148" s="49" t="s">
        <v>97</v>
      </c>
      <c r="H148" s="56" t="str">
        <f t="shared" si="4"/>
        <v>55 55 0146 0146</v>
      </c>
      <c r="I148" s="56" t="str">
        <f t="shared" si="5"/>
        <v>usuario146@ejemplo.com</v>
      </c>
      <c r="J148" s="58" t="str">
        <f t="shared" si="6"/>
        <v/>
      </c>
      <c r="K148" s="57" t="str">
        <f t="shared" si="12"/>
        <v>Adulto Mayor</v>
      </c>
    </row>
    <row r="149">
      <c r="A149" s="42" t="s">
        <v>321</v>
      </c>
      <c r="B149" s="43" t="str">
        <f t="shared" si="1"/>
        <v>NombreDePersona_148</v>
      </c>
      <c r="C149" s="50">
        <v>2025.0</v>
      </c>
      <c r="D149" s="51">
        <f t="shared" si="2"/>
        <v>16086</v>
      </c>
      <c r="E149" s="52">
        <f t="shared" si="3"/>
        <v>81</v>
      </c>
      <c r="F149" s="50" t="s">
        <v>322</v>
      </c>
      <c r="G149" s="53" t="s">
        <v>97</v>
      </c>
      <c r="H149" s="52" t="str">
        <f t="shared" si="4"/>
        <v>55 55 0147 0147</v>
      </c>
      <c r="I149" s="52" t="str">
        <f t="shared" si="5"/>
        <v>usuario147@ejemplo.com</v>
      </c>
      <c r="J149" s="54" t="str">
        <f t="shared" si="6"/>
        <v/>
      </c>
      <c r="K149" s="53" t="str">
        <f t="shared" si="12"/>
        <v>Adulto Mayor</v>
      </c>
    </row>
    <row r="150">
      <c r="A150" s="42" t="s">
        <v>323</v>
      </c>
      <c r="B150" s="43" t="str">
        <f t="shared" si="1"/>
        <v>NombreDePersona_149</v>
      </c>
      <c r="C150" s="49">
        <v>2025.0</v>
      </c>
      <c r="D150" s="55">
        <f t="shared" si="2"/>
        <v>23286</v>
      </c>
      <c r="E150" s="56">
        <f t="shared" si="3"/>
        <v>62</v>
      </c>
      <c r="F150" s="49" t="s">
        <v>324</v>
      </c>
      <c r="G150" s="49" t="s">
        <v>177</v>
      </c>
      <c r="H150" s="56" t="str">
        <f t="shared" si="4"/>
        <v>55 55 0148 0148</v>
      </c>
      <c r="I150" s="56" t="str">
        <f t="shared" si="5"/>
        <v>usuario148@ejemplo.com</v>
      </c>
      <c r="J150" s="58" t="str">
        <f t="shared" si="6"/>
        <v/>
      </c>
      <c r="K150" s="57" t="str">
        <f t="shared" si="12"/>
        <v>Adulto Mayor</v>
      </c>
    </row>
    <row r="151">
      <c r="A151" s="42" t="s">
        <v>325</v>
      </c>
      <c r="B151" s="43" t="str">
        <f t="shared" si="1"/>
        <v>NombreDePersona_150</v>
      </c>
      <c r="C151" s="50">
        <v>2025.0</v>
      </c>
      <c r="D151" s="51">
        <f t="shared" si="2"/>
        <v>42439</v>
      </c>
      <c r="E151" s="52">
        <f t="shared" si="3"/>
        <v>9</v>
      </c>
      <c r="F151" s="50" t="s">
        <v>171</v>
      </c>
      <c r="G151" s="53" t="s">
        <v>97</v>
      </c>
      <c r="H151" s="52" t="str">
        <f t="shared" si="4"/>
        <v>55 55 0149 0149</v>
      </c>
      <c r="I151" s="52" t="str">
        <f t="shared" si="5"/>
        <v>usuario149@ejemplo.com</v>
      </c>
      <c r="J151" s="54" t="str">
        <f t="shared" si="6"/>
        <v>Tutor_149</v>
      </c>
      <c r="K151" s="53" t="str">
        <f t="shared" si="12"/>
        <v>Infancia</v>
      </c>
    </row>
    <row r="152">
      <c r="A152" s="42" t="s">
        <v>326</v>
      </c>
      <c r="B152" s="43" t="str">
        <f t="shared" si="1"/>
        <v>NombreDePersona_151</v>
      </c>
      <c r="C152" s="49">
        <v>2024.0</v>
      </c>
      <c r="D152" s="55">
        <f t="shared" si="2"/>
        <v>30548</v>
      </c>
      <c r="E152" s="56">
        <f t="shared" si="3"/>
        <v>42</v>
      </c>
      <c r="F152" s="49" t="s">
        <v>327</v>
      </c>
      <c r="G152" s="49" t="s">
        <v>104</v>
      </c>
      <c r="H152" s="56" t="str">
        <f t="shared" si="4"/>
        <v>55 55 0150 0150</v>
      </c>
      <c r="I152" s="56" t="str">
        <f t="shared" si="5"/>
        <v>usuario150@ejemplo.com</v>
      </c>
      <c r="J152" s="58" t="str">
        <f t="shared" si="6"/>
        <v/>
      </c>
      <c r="K152" s="57" t="str">
        <f t="shared" si="12"/>
        <v>Adulto</v>
      </c>
    </row>
    <row r="153">
      <c r="A153" s="42" t="s">
        <v>328</v>
      </c>
      <c r="B153" s="43" t="str">
        <f t="shared" si="1"/>
        <v>NombreDePersona_152</v>
      </c>
      <c r="C153" s="50">
        <v>2025.0</v>
      </c>
      <c r="D153" s="51">
        <f t="shared" si="2"/>
        <v>29240</v>
      </c>
      <c r="E153" s="52">
        <f t="shared" si="3"/>
        <v>45</v>
      </c>
      <c r="F153" s="53" t="s">
        <v>103</v>
      </c>
      <c r="G153" s="50" t="s">
        <v>261</v>
      </c>
      <c r="H153" s="52" t="str">
        <f t="shared" si="4"/>
        <v>55 55 0151 0151</v>
      </c>
      <c r="I153" s="52" t="str">
        <f t="shared" si="5"/>
        <v>usuario151@ejemplo.com</v>
      </c>
      <c r="J153" s="54" t="str">
        <f t="shared" si="6"/>
        <v/>
      </c>
      <c r="K153" s="53" t="str">
        <f t="shared" si="12"/>
        <v>Adulto</v>
      </c>
    </row>
    <row r="154">
      <c r="A154" s="42" t="s">
        <v>329</v>
      </c>
      <c r="B154" s="43" t="str">
        <f t="shared" si="1"/>
        <v>NombreDePersona_153</v>
      </c>
      <c r="C154" s="49"/>
      <c r="D154" s="55">
        <f t="shared" si="2"/>
        <v>28451</v>
      </c>
      <c r="E154" s="56">
        <f t="shared" si="3"/>
        <v>48</v>
      </c>
      <c r="F154" s="57" t="s">
        <v>216</v>
      </c>
      <c r="G154" s="49" t="s">
        <v>93</v>
      </c>
      <c r="H154" s="56" t="str">
        <f t="shared" si="4"/>
        <v>55 55 0152 0152</v>
      </c>
      <c r="I154" s="56" t="str">
        <f t="shared" si="5"/>
        <v>usuario152@ejemplo.com</v>
      </c>
      <c r="J154" s="58" t="str">
        <f t="shared" si="6"/>
        <v/>
      </c>
      <c r="K154" s="57" t="str">
        <f t="shared" si="12"/>
        <v>Adulto</v>
      </c>
    </row>
    <row r="155">
      <c r="A155" s="42" t="s">
        <v>330</v>
      </c>
      <c r="B155" s="43" t="str">
        <f t="shared" si="1"/>
        <v>NombreDePersona_154</v>
      </c>
      <c r="C155" s="50">
        <v>2025.0</v>
      </c>
      <c r="D155" s="51">
        <f t="shared" si="2"/>
        <v>35115</v>
      </c>
      <c r="E155" s="52">
        <f t="shared" si="3"/>
        <v>29</v>
      </c>
      <c r="F155" s="53" t="s">
        <v>103</v>
      </c>
      <c r="G155" s="53" t="s">
        <v>103</v>
      </c>
      <c r="H155" s="52" t="str">
        <f t="shared" si="4"/>
        <v>55 55 0153 0153</v>
      </c>
      <c r="I155" s="52" t="str">
        <f t="shared" si="5"/>
        <v>usuario153@ejemplo.com</v>
      </c>
      <c r="J155" s="54" t="str">
        <f t="shared" si="6"/>
        <v/>
      </c>
      <c r="K155" s="53" t="str">
        <f t="shared" si="12"/>
        <v>Jóven adulto</v>
      </c>
    </row>
    <row r="156">
      <c r="A156" s="42" t="s">
        <v>331</v>
      </c>
      <c r="B156" s="43" t="str">
        <f t="shared" si="1"/>
        <v>NombreDePersona_155</v>
      </c>
      <c r="C156" s="49">
        <v>2025.0</v>
      </c>
      <c r="D156" s="55">
        <f t="shared" si="2"/>
        <v>39839</v>
      </c>
      <c r="E156" s="56">
        <f t="shared" si="3"/>
        <v>16</v>
      </c>
      <c r="F156" s="49" t="s">
        <v>332</v>
      </c>
      <c r="G156" s="49" t="s">
        <v>126</v>
      </c>
      <c r="H156" s="56" t="str">
        <f t="shared" si="4"/>
        <v>55 55 0154 0154</v>
      </c>
      <c r="I156" s="56" t="str">
        <f t="shared" si="5"/>
        <v>usuario154@ejemplo.com</v>
      </c>
      <c r="J156" s="58" t="str">
        <f t="shared" si="6"/>
        <v>Tutor_154</v>
      </c>
      <c r="K156" s="57" t="str">
        <f t="shared" si="12"/>
        <v>Adolescente</v>
      </c>
    </row>
    <row r="157" ht="15.75" customHeight="1">
      <c r="A157" s="42" t="s">
        <v>333</v>
      </c>
      <c r="B157" s="43" t="str">
        <f t="shared" si="1"/>
        <v>NombreDePersona_156</v>
      </c>
      <c r="C157" s="50">
        <v>2025.0</v>
      </c>
      <c r="D157" s="51">
        <f t="shared" si="2"/>
        <v>17620</v>
      </c>
      <c r="E157" s="52">
        <f t="shared" si="3"/>
        <v>77</v>
      </c>
      <c r="F157" s="50" t="s">
        <v>109</v>
      </c>
      <c r="G157" s="50" t="s">
        <v>93</v>
      </c>
      <c r="H157" s="52" t="str">
        <f t="shared" si="4"/>
        <v>55 55 0155 0155</v>
      </c>
      <c r="I157" s="52" t="str">
        <f t="shared" si="5"/>
        <v>usuario155@ejemplo.com</v>
      </c>
      <c r="J157" s="54" t="str">
        <f t="shared" si="6"/>
        <v/>
      </c>
      <c r="K157" s="53" t="str">
        <f t="shared" si="12"/>
        <v>Adulto Mayor</v>
      </c>
    </row>
    <row r="158">
      <c r="A158" s="42" t="s">
        <v>334</v>
      </c>
      <c r="B158" s="43" t="str">
        <f t="shared" si="1"/>
        <v>NombreDePersona_157</v>
      </c>
      <c r="C158" s="49">
        <v>2025.0</v>
      </c>
      <c r="D158" s="55">
        <f t="shared" si="2"/>
        <v>39762</v>
      </c>
      <c r="E158" s="56">
        <f t="shared" si="3"/>
        <v>17</v>
      </c>
      <c r="F158" s="49" t="s">
        <v>335</v>
      </c>
      <c r="G158" s="49" t="s">
        <v>97</v>
      </c>
      <c r="H158" s="56" t="str">
        <f t="shared" si="4"/>
        <v>55 55 0156 0156</v>
      </c>
      <c r="I158" s="56" t="str">
        <f t="shared" si="5"/>
        <v>usuario156@ejemplo.com</v>
      </c>
      <c r="J158" s="58" t="str">
        <f t="shared" si="6"/>
        <v>Tutor_156</v>
      </c>
      <c r="K158" s="57" t="str">
        <f t="shared" si="12"/>
        <v>Adolescente</v>
      </c>
    </row>
    <row r="159">
      <c r="A159" s="42" t="s">
        <v>336</v>
      </c>
      <c r="B159" s="43" t="str">
        <f t="shared" si="1"/>
        <v>NombreDePersona_158</v>
      </c>
      <c r="C159" s="50">
        <v>2025.0</v>
      </c>
      <c r="D159" s="51">
        <f t="shared" si="2"/>
        <v>9981</v>
      </c>
      <c r="E159" s="52">
        <f t="shared" si="3"/>
        <v>98</v>
      </c>
      <c r="F159" s="50" t="s">
        <v>95</v>
      </c>
      <c r="G159" s="50" t="s">
        <v>188</v>
      </c>
      <c r="H159" s="52" t="str">
        <f t="shared" si="4"/>
        <v>55 55 0157 0157</v>
      </c>
      <c r="I159" s="52" t="str">
        <f t="shared" si="5"/>
        <v>usuario157@ejemplo.com</v>
      </c>
      <c r="J159" s="54" t="str">
        <f t="shared" si="6"/>
        <v/>
      </c>
      <c r="K159" s="53" t="str">
        <f t="shared" si="12"/>
        <v>Adulto Mayor</v>
      </c>
    </row>
    <row r="160">
      <c r="A160" s="42" t="s">
        <v>337</v>
      </c>
      <c r="B160" s="43" t="str">
        <f t="shared" si="1"/>
        <v>NombreDePersona_159</v>
      </c>
      <c r="C160" s="49">
        <v>2025.0</v>
      </c>
      <c r="D160" s="55">
        <f t="shared" si="2"/>
        <v>27975</v>
      </c>
      <c r="E160" s="56">
        <f t="shared" si="3"/>
        <v>49</v>
      </c>
      <c r="F160" s="49" t="s">
        <v>338</v>
      </c>
      <c r="G160" s="49" t="s">
        <v>177</v>
      </c>
      <c r="H160" s="56" t="str">
        <f t="shared" si="4"/>
        <v>55 55 0158 0158</v>
      </c>
      <c r="I160" s="56" t="str">
        <f t="shared" si="5"/>
        <v>usuario158@ejemplo.com</v>
      </c>
      <c r="J160" s="58" t="str">
        <f t="shared" si="6"/>
        <v/>
      </c>
      <c r="K160" s="57" t="str">
        <f t="shared" si="12"/>
        <v>Adulto</v>
      </c>
    </row>
    <row r="161">
      <c r="A161" s="42" t="s">
        <v>339</v>
      </c>
      <c r="B161" s="43" t="str">
        <f t="shared" si="1"/>
        <v>NombreDePersona_160</v>
      </c>
      <c r="C161" s="53">
        <v>2025.0</v>
      </c>
      <c r="D161" s="51">
        <f t="shared" si="2"/>
        <v>38170</v>
      </c>
      <c r="E161" s="52">
        <f t="shared" si="3"/>
        <v>21</v>
      </c>
      <c r="F161" s="59" t="s">
        <v>340</v>
      </c>
      <c r="G161" s="59" t="s">
        <v>341</v>
      </c>
      <c r="H161" s="52" t="str">
        <f t="shared" si="4"/>
        <v>55 55 0159 0159</v>
      </c>
      <c r="I161" s="52" t="str">
        <f t="shared" si="5"/>
        <v>usuario159@ejemplo.com</v>
      </c>
      <c r="J161" s="54" t="str">
        <f t="shared" si="6"/>
        <v/>
      </c>
      <c r="K161" s="53" t="str">
        <f t="shared" si="12"/>
        <v>Jóven adulto</v>
      </c>
    </row>
    <row r="162">
      <c r="A162" s="42" t="s">
        <v>342</v>
      </c>
      <c r="B162" s="43" t="str">
        <f t="shared" si="1"/>
        <v>NombreDePersona_161</v>
      </c>
      <c r="C162" s="42">
        <v>2025.0</v>
      </c>
      <c r="D162" s="44">
        <f t="shared" si="2"/>
        <v>30102</v>
      </c>
      <c r="E162" s="43">
        <f t="shared" si="3"/>
        <v>43</v>
      </c>
      <c r="F162" s="42" t="s">
        <v>92</v>
      </c>
      <c r="G162" s="42" t="s">
        <v>93</v>
      </c>
      <c r="H162" s="43" t="str">
        <f t="shared" si="4"/>
        <v>55 55 0160 0160</v>
      </c>
      <c r="I162" s="43" t="str">
        <f t="shared" si="5"/>
        <v>usuario160@ejemplo.com</v>
      </c>
      <c r="J162" s="46" t="str">
        <f t="shared" si="6"/>
        <v/>
      </c>
      <c r="K162" s="47" t="str">
        <f t="shared" si="12"/>
        <v>Adulto</v>
      </c>
    </row>
    <row r="163">
      <c r="A163" s="42" t="s">
        <v>343</v>
      </c>
      <c r="B163" s="43" t="str">
        <f t="shared" si="1"/>
        <v>NombreDePersona_162</v>
      </c>
      <c r="C163" s="47">
        <v>2025.0</v>
      </c>
      <c r="D163" s="44">
        <f t="shared" si="2"/>
        <v>14150</v>
      </c>
      <c r="E163" s="43">
        <f t="shared" si="3"/>
        <v>87</v>
      </c>
      <c r="F163" s="42" t="s">
        <v>109</v>
      </c>
      <c r="G163" s="42" t="s">
        <v>233</v>
      </c>
      <c r="H163" s="43" t="str">
        <f t="shared" si="4"/>
        <v>55 55 0161 0161</v>
      </c>
      <c r="I163" s="43" t="str">
        <f t="shared" si="5"/>
        <v>usuario161@ejemplo.com</v>
      </c>
      <c r="J163" s="46" t="str">
        <f t="shared" si="6"/>
        <v/>
      </c>
      <c r="K163" s="47" t="str">
        <f t="shared" si="12"/>
        <v>Adulto Mayor</v>
      </c>
    </row>
    <row r="164">
      <c r="A164" s="42" t="s">
        <v>344</v>
      </c>
      <c r="B164" s="43" t="str">
        <f t="shared" si="1"/>
        <v>NombreDePersona_163</v>
      </c>
      <c r="C164" s="42">
        <v>2025.0</v>
      </c>
      <c r="D164" s="44">
        <f t="shared" si="2"/>
        <v>31835</v>
      </c>
      <c r="E164" s="43">
        <f t="shared" si="3"/>
        <v>38</v>
      </c>
      <c r="F164" s="47" t="s">
        <v>103</v>
      </c>
      <c r="G164" s="47" t="s">
        <v>103</v>
      </c>
      <c r="H164" s="43" t="str">
        <f t="shared" si="4"/>
        <v>55 55 0162 0162</v>
      </c>
      <c r="I164" s="43" t="str">
        <f t="shared" si="5"/>
        <v>usuario162@ejemplo.com</v>
      </c>
      <c r="J164" s="46" t="str">
        <f t="shared" si="6"/>
        <v/>
      </c>
      <c r="K164" s="47" t="str">
        <f t="shared" si="12"/>
        <v>Adulto</v>
      </c>
    </row>
    <row r="165">
      <c r="A165" s="42" t="s">
        <v>345</v>
      </c>
      <c r="B165" s="43" t="str">
        <f t="shared" si="1"/>
        <v>NombreDePersona_164</v>
      </c>
      <c r="C165" s="42">
        <v>2025.0</v>
      </c>
      <c r="D165" s="44">
        <f t="shared" si="2"/>
        <v>23630</v>
      </c>
      <c r="E165" s="43">
        <f t="shared" si="3"/>
        <v>61</v>
      </c>
      <c r="F165" s="47" t="s">
        <v>103</v>
      </c>
      <c r="G165" s="42" t="s">
        <v>126</v>
      </c>
      <c r="H165" s="43" t="str">
        <f t="shared" si="4"/>
        <v>55 55 0163 0163</v>
      </c>
      <c r="I165" s="43" t="str">
        <f t="shared" si="5"/>
        <v>usuario163@ejemplo.com</v>
      </c>
      <c r="J165" s="46" t="str">
        <f t="shared" si="6"/>
        <v/>
      </c>
      <c r="K165" s="47" t="s">
        <v>270</v>
      </c>
    </row>
    <row r="166">
      <c r="A166" s="42" t="s">
        <v>346</v>
      </c>
      <c r="B166" s="43" t="str">
        <f t="shared" si="1"/>
        <v>NombreDePersona_165</v>
      </c>
      <c r="C166" s="42">
        <v>2025.0</v>
      </c>
      <c r="D166" s="44">
        <f t="shared" si="2"/>
        <v>17296</v>
      </c>
      <c r="E166" s="43">
        <f t="shared" si="3"/>
        <v>78</v>
      </c>
      <c r="F166" s="42" t="s">
        <v>92</v>
      </c>
      <c r="G166" s="42" t="s">
        <v>347</v>
      </c>
      <c r="H166" s="43" t="str">
        <f t="shared" si="4"/>
        <v>55 55 0164 0164</v>
      </c>
      <c r="I166" s="43" t="str">
        <f t="shared" si="5"/>
        <v>usuario164@ejemplo.com</v>
      </c>
      <c r="J166" s="46" t="str">
        <f t="shared" si="6"/>
        <v/>
      </c>
      <c r="K166" s="47" t="str">
        <f t="shared" ref="K166:K861" si="13">IF(
  E166="",
  "", IF(
  ISNUMBER(E166),
  IF(E166&lt;=12,"Infancia",
    IF(E166&lt;=17,"Adolescente",
      IF(E166&lt;=29,"Jóven adulto",
        IF(E166&lt;=59,"Adulto",
          IF(E166&gt;=60,"Adulto Mayor","Desconocido")
        )
      )
    )
  ),
  "Desconocido"
))</f>
        <v>Adulto Mayor</v>
      </c>
    </row>
    <row r="167">
      <c r="A167" s="42" t="s">
        <v>348</v>
      </c>
      <c r="B167" s="43" t="str">
        <f t="shared" si="1"/>
        <v>NombreDePersona_166</v>
      </c>
      <c r="C167" s="42">
        <v>2024.0</v>
      </c>
      <c r="D167" s="44">
        <f t="shared" si="2"/>
        <v>31877</v>
      </c>
      <c r="E167" s="43">
        <f t="shared" si="3"/>
        <v>38</v>
      </c>
      <c r="F167" s="42" t="s">
        <v>109</v>
      </c>
      <c r="G167" s="42" t="s">
        <v>233</v>
      </c>
      <c r="H167" s="43" t="str">
        <f t="shared" si="4"/>
        <v>55 55 0165 0165</v>
      </c>
      <c r="I167" s="43" t="str">
        <f t="shared" si="5"/>
        <v>usuario165@ejemplo.com</v>
      </c>
      <c r="J167" s="46" t="str">
        <f t="shared" si="6"/>
        <v/>
      </c>
      <c r="K167" s="47" t="str">
        <f t="shared" si="13"/>
        <v>Adulto</v>
      </c>
    </row>
    <row r="168">
      <c r="A168" s="42" t="s">
        <v>349</v>
      </c>
      <c r="B168" s="43" t="str">
        <f t="shared" si="1"/>
        <v>NombreDePersona_167</v>
      </c>
      <c r="C168" s="42">
        <v>2025.0</v>
      </c>
      <c r="D168" s="44">
        <f t="shared" si="2"/>
        <v>28517</v>
      </c>
      <c r="E168" s="43">
        <f t="shared" si="3"/>
        <v>47</v>
      </c>
      <c r="F168" s="47" t="s">
        <v>103</v>
      </c>
      <c r="G168" s="47" t="s">
        <v>93</v>
      </c>
      <c r="H168" s="43" t="str">
        <f t="shared" si="4"/>
        <v>55 55 0166 0166</v>
      </c>
      <c r="I168" s="43" t="str">
        <f t="shared" si="5"/>
        <v>usuario166@ejemplo.com</v>
      </c>
      <c r="J168" s="46" t="str">
        <f t="shared" si="6"/>
        <v/>
      </c>
      <c r="K168" s="47" t="str">
        <f t="shared" si="13"/>
        <v>Adulto</v>
      </c>
    </row>
    <row r="169">
      <c r="A169" s="42" t="s">
        <v>350</v>
      </c>
      <c r="B169" s="43" t="str">
        <f t="shared" si="1"/>
        <v>NombreDePersona_168</v>
      </c>
      <c r="C169" s="42">
        <v>2025.0</v>
      </c>
      <c r="D169" s="44">
        <f t="shared" si="2"/>
        <v>35680</v>
      </c>
      <c r="E169" s="43">
        <f t="shared" si="3"/>
        <v>28</v>
      </c>
      <c r="F169" s="42" t="s">
        <v>109</v>
      </c>
      <c r="G169" s="42" t="s">
        <v>261</v>
      </c>
      <c r="H169" s="43" t="str">
        <f t="shared" si="4"/>
        <v>55 55 0167 0167</v>
      </c>
      <c r="I169" s="43" t="str">
        <f t="shared" si="5"/>
        <v>usuario167@ejemplo.com</v>
      </c>
      <c r="J169" s="46" t="str">
        <f t="shared" si="6"/>
        <v/>
      </c>
      <c r="K169" s="47" t="str">
        <f t="shared" si="13"/>
        <v>Jóven adulto</v>
      </c>
    </row>
    <row r="170">
      <c r="A170" s="42" t="s">
        <v>351</v>
      </c>
      <c r="B170" s="43" t="str">
        <f t="shared" si="1"/>
        <v>NombreDePersona_169</v>
      </c>
      <c r="C170" s="42">
        <v>2025.0</v>
      </c>
      <c r="D170" s="44">
        <f t="shared" si="2"/>
        <v>17380</v>
      </c>
      <c r="E170" s="43">
        <f t="shared" si="3"/>
        <v>78</v>
      </c>
      <c r="F170" s="47" t="s">
        <v>352</v>
      </c>
      <c r="G170" s="42" t="s">
        <v>353</v>
      </c>
      <c r="H170" s="43" t="str">
        <f t="shared" si="4"/>
        <v>55 55 0168 0168</v>
      </c>
      <c r="I170" s="43" t="str">
        <f t="shared" si="5"/>
        <v>usuario168@ejemplo.com</v>
      </c>
      <c r="J170" s="46" t="str">
        <f t="shared" si="6"/>
        <v/>
      </c>
      <c r="K170" s="47" t="str">
        <f t="shared" si="13"/>
        <v>Adulto Mayor</v>
      </c>
    </row>
    <row r="171">
      <c r="A171" s="42" t="s">
        <v>354</v>
      </c>
      <c r="B171" s="43" t="str">
        <f t="shared" si="1"/>
        <v>NombreDePersona_170</v>
      </c>
      <c r="C171" s="42">
        <v>2024.0</v>
      </c>
      <c r="D171" s="44">
        <f t="shared" si="2"/>
        <v>26431</v>
      </c>
      <c r="E171" s="43">
        <f t="shared" si="3"/>
        <v>53</v>
      </c>
      <c r="F171" s="42" t="s">
        <v>109</v>
      </c>
      <c r="G171" s="42" t="s">
        <v>97</v>
      </c>
      <c r="H171" s="43" t="str">
        <f t="shared" si="4"/>
        <v>55 55 0169 0169</v>
      </c>
      <c r="I171" s="43" t="str">
        <f t="shared" si="5"/>
        <v>usuario169@ejemplo.com</v>
      </c>
      <c r="J171" s="46" t="str">
        <f t="shared" si="6"/>
        <v/>
      </c>
      <c r="K171" s="47" t="str">
        <f t="shared" si="13"/>
        <v>Adulto</v>
      </c>
    </row>
    <row r="172">
      <c r="A172" s="42" t="s">
        <v>355</v>
      </c>
      <c r="B172" s="43" t="str">
        <f t="shared" si="1"/>
        <v>NombreDePersona_171</v>
      </c>
      <c r="C172" s="42">
        <v>2025.0</v>
      </c>
      <c r="D172" s="44">
        <f t="shared" si="2"/>
        <v>29317</v>
      </c>
      <c r="E172" s="43">
        <f t="shared" si="3"/>
        <v>45</v>
      </c>
      <c r="F172" s="47" t="s">
        <v>109</v>
      </c>
      <c r="G172" s="47" t="s">
        <v>93</v>
      </c>
      <c r="H172" s="43" t="str">
        <f t="shared" si="4"/>
        <v>55 55 0170 0170</v>
      </c>
      <c r="I172" s="43" t="str">
        <f t="shared" si="5"/>
        <v>usuario170@ejemplo.com</v>
      </c>
      <c r="J172" s="46" t="str">
        <f t="shared" si="6"/>
        <v/>
      </c>
      <c r="K172" s="47" t="str">
        <f t="shared" si="13"/>
        <v>Adulto</v>
      </c>
    </row>
    <row r="173">
      <c r="A173" s="42" t="s">
        <v>356</v>
      </c>
      <c r="B173" s="43" t="str">
        <f t="shared" si="1"/>
        <v>NombreDePersona_172</v>
      </c>
      <c r="C173" s="42">
        <v>2025.0</v>
      </c>
      <c r="D173" s="44">
        <f t="shared" si="2"/>
        <v>23911</v>
      </c>
      <c r="E173" s="43">
        <f t="shared" si="3"/>
        <v>60</v>
      </c>
      <c r="F173" s="42" t="s">
        <v>109</v>
      </c>
      <c r="G173" s="42" t="s">
        <v>93</v>
      </c>
      <c r="H173" s="43" t="str">
        <f t="shared" si="4"/>
        <v>55 55 0171 0171</v>
      </c>
      <c r="I173" s="43" t="str">
        <f t="shared" si="5"/>
        <v>usuario171@ejemplo.com</v>
      </c>
      <c r="J173" s="46" t="str">
        <f t="shared" si="6"/>
        <v/>
      </c>
      <c r="K173" s="47" t="str">
        <f t="shared" si="13"/>
        <v>Adulto Mayor</v>
      </c>
    </row>
    <row r="174">
      <c r="A174" s="42" t="s">
        <v>357</v>
      </c>
      <c r="B174" s="43" t="str">
        <f t="shared" si="1"/>
        <v>NombreDePersona_173</v>
      </c>
      <c r="C174" s="42">
        <v>2025.0</v>
      </c>
      <c r="D174" s="44">
        <f t="shared" si="2"/>
        <v>26112</v>
      </c>
      <c r="E174" s="43">
        <f t="shared" si="3"/>
        <v>54</v>
      </c>
      <c r="F174" s="42" t="s">
        <v>128</v>
      </c>
      <c r="G174" s="42" t="s">
        <v>233</v>
      </c>
      <c r="H174" s="43" t="str">
        <f t="shared" si="4"/>
        <v>55 55 0172 0172</v>
      </c>
      <c r="I174" s="43" t="str">
        <f t="shared" si="5"/>
        <v>usuario172@ejemplo.com</v>
      </c>
      <c r="J174" s="46" t="str">
        <f t="shared" si="6"/>
        <v/>
      </c>
      <c r="K174" s="47" t="str">
        <f t="shared" si="13"/>
        <v>Adulto</v>
      </c>
    </row>
    <row r="175">
      <c r="A175" s="42" t="s">
        <v>358</v>
      </c>
      <c r="B175" s="43" t="str">
        <f t="shared" si="1"/>
        <v>NombreDePersona_174</v>
      </c>
      <c r="C175" s="47">
        <v>2025.0</v>
      </c>
      <c r="D175" s="44">
        <f t="shared" si="2"/>
        <v>17543</v>
      </c>
      <c r="E175" s="43">
        <f t="shared" si="3"/>
        <v>78</v>
      </c>
      <c r="F175" s="47" t="s">
        <v>109</v>
      </c>
      <c r="G175" s="47" t="s">
        <v>97</v>
      </c>
      <c r="H175" s="43" t="str">
        <f t="shared" si="4"/>
        <v>55 55 0173 0173</v>
      </c>
      <c r="I175" s="43" t="str">
        <f t="shared" si="5"/>
        <v>usuario173@ejemplo.com</v>
      </c>
      <c r="J175" s="46" t="str">
        <f t="shared" si="6"/>
        <v/>
      </c>
      <c r="K175" s="47" t="str">
        <f t="shared" si="13"/>
        <v>Adulto Mayor</v>
      </c>
    </row>
    <row r="176">
      <c r="A176" s="42" t="s">
        <v>359</v>
      </c>
      <c r="B176" s="43" t="str">
        <f t="shared" si="1"/>
        <v>NombreDePersona_175</v>
      </c>
      <c r="C176" s="42">
        <v>2024.0</v>
      </c>
      <c r="D176" s="44">
        <f t="shared" si="2"/>
        <v>42902</v>
      </c>
      <c r="E176" s="43">
        <f t="shared" si="3"/>
        <v>8</v>
      </c>
      <c r="F176" s="42" t="s">
        <v>360</v>
      </c>
      <c r="G176" s="42" t="s">
        <v>261</v>
      </c>
      <c r="H176" s="43" t="str">
        <f t="shared" si="4"/>
        <v>55 55 0174 0174</v>
      </c>
      <c r="I176" s="43" t="str">
        <f t="shared" si="5"/>
        <v>usuario174@ejemplo.com</v>
      </c>
      <c r="J176" s="46" t="str">
        <f t="shared" si="6"/>
        <v>Tutor_174</v>
      </c>
      <c r="K176" s="47" t="str">
        <f t="shared" si="13"/>
        <v>Infancia</v>
      </c>
    </row>
    <row r="177">
      <c r="A177" s="42" t="s">
        <v>361</v>
      </c>
      <c r="B177" s="43" t="str">
        <f t="shared" si="1"/>
        <v>NombreDePersona_176</v>
      </c>
      <c r="C177" s="42">
        <v>2025.0</v>
      </c>
      <c r="D177" s="44">
        <f t="shared" si="2"/>
        <v>37940</v>
      </c>
      <c r="E177" s="43">
        <f t="shared" si="3"/>
        <v>22</v>
      </c>
      <c r="F177" s="47" t="s">
        <v>103</v>
      </c>
      <c r="G177" s="47" t="s">
        <v>103</v>
      </c>
      <c r="H177" s="43" t="str">
        <f t="shared" si="4"/>
        <v>55 55 0175 0175</v>
      </c>
      <c r="I177" s="43" t="str">
        <f t="shared" si="5"/>
        <v>usuario175@ejemplo.com</v>
      </c>
      <c r="J177" s="46" t="str">
        <f t="shared" si="6"/>
        <v/>
      </c>
      <c r="K177" s="47" t="str">
        <f t="shared" si="13"/>
        <v>Jóven adulto</v>
      </c>
    </row>
    <row r="178">
      <c r="A178" s="42" t="s">
        <v>362</v>
      </c>
      <c r="B178" s="43" t="str">
        <f t="shared" si="1"/>
        <v>NombreDePersona_177</v>
      </c>
      <c r="C178" s="42">
        <v>2025.0</v>
      </c>
      <c r="D178" s="44">
        <f t="shared" si="2"/>
        <v>21895</v>
      </c>
      <c r="E178" s="43">
        <f t="shared" si="3"/>
        <v>66</v>
      </c>
      <c r="F178" s="47" t="s">
        <v>259</v>
      </c>
      <c r="G178" s="42" t="s">
        <v>145</v>
      </c>
      <c r="H178" s="43" t="str">
        <f t="shared" si="4"/>
        <v>55 55 0176 0176</v>
      </c>
      <c r="I178" s="43" t="str">
        <f t="shared" si="5"/>
        <v>usuario176@ejemplo.com</v>
      </c>
      <c r="J178" s="46" t="str">
        <f t="shared" si="6"/>
        <v/>
      </c>
      <c r="K178" s="47" t="str">
        <f t="shared" si="13"/>
        <v>Adulto Mayor</v>
      </c>
    </row>
    <row r="179">
      <c r="A179" s="42" t="s">
        <v>363</v>
      </c>
      <c r="B179" s="43" t="str">
        <f t="shared" si="1"/>
        <v>NombreDePersona_178</v>
      </c>
      <c r="C179" s="47">
        <v>2025.0</v>
      </c>
      <c r="D179" s="44">
        <f t="shared" si="2"/>
        <v>30321</v>
      </c>
      <c r="E179" s="43">
        <f t="shared" si="3"/>
        <v>43</v>
      </c>
      <c r="F179" s="47" t="s">
        <v>109</v>
      </c>
      <c r="G179" s="48" t="s">
        <v>364</v>
      </c>
      <c r="H179" s="43" t="str">
        <f t="shared" si="4"/>
        <v>55 55 0177 0177</v>
      </c>
      <c r="I179" s="43" t="str">
        <f t="shared" si="5"/>
        <v>usuario177@ejemplo.com</v>
      </c>
      <c r="J179" s="46" t="str">
        <f t="shared" si="6"/>
        <v/>
      </c>
      <c r="K179" s="47" t="str">
        <f t="shared" si="13"/>
        <v>Adulto</v>
      </c>
    </row>
    <row r="180">
      <c r="A180" s="42" t="s">
        <v>365</v>
      </c>
      <c r="B180" s="43" t="str">
        <f t="shared" si="1"/>
        <v>NombreDePersona_179</v>
      </c>
      <c r="C180" s="42">
        <v>2025.0</v>
      </c>
      <c r="D180" s="44">
        <f t="shared" si="2"/>
        <v>17252</v>
      </c>
      <c r="E180" s="43">
        <f t="shared" si="3"/>
        <v>78</v>
      </c>
      <c r="F180" s="42" t="s">
        <v>109</v>
      </c>
      <c r="G180" s="47" t="s">
        <v>97</v>
      </c>
      <c r="H180" s="43" t="str">
        <f t="shared" si="4"/>
        <v>55 55 0178 0178</v>
      </c>
      <c r="I180" s="43" t="str">
        <f t="shared" si="5"/>
        <v>usuario178@ejemplo.com</v>
      </c>
      <c r="J180" s="46" t="str">
        <f t="shared" si="6"/>
        <v/>
      </c>
      <c r="K180" s="47" t="str">
        <f t="shared" si="13"/>
        <v>Adulto Mayor</v>
      </c>
    </row>
    <row r="181">
      <c r="A181" s="42" t="s">
        <v>366</v>
      </c>
      <c r="B181" s="43" t="str">
        <f t="shared" si="1"/>
        <v>NombreDePersona_180</v>
      </c>
      <c r="C181" s="42">
        <v>2025.0</v>
      </c>
      <c r="D181" s="44">
        <f t="shared" si="2"/>
        <v>24873</v>
      </c>
      <c r="E181" s="43">
        <f t="shared" si="3"/>
        <v>57</v>
      </c>
      <c r="F181" s="42" t="s">
        <v>122</v>
      </c>
      <c r="G181" s="42" t="s">
        <v>367</v>
      </c>
      <c r="H181" s="43" t="str">
        <f t="shared" si="4"/>
        <v>55 55 0179 0179</v>
      </c>
      <c r="I181" s="43" t="str">
        <f t="shared" si="5"/>
        <v>usuario179@ejemplo.com</v>
      </c>
      <c r="J181" s="46" t="str">
        <f t="shared" si="6"/>
        <v/>
      </c>
      <c r="K181" s="47" t="str">
        <f t="shared" si="13"/>
        <v>Adulto</v>
      </c>
    </row>
    <row r="182">
      <c r="A182" s="42" t="s">
        <v>368</v>
      </c>
      <c r="B182" s="43" t="str">
        <f t="shared" si="1"/>
        <v>NombreDePersona_181</v>
      </c>
      <c r="C182" s="42">
        <v>2025.0</v>
      </c>
      <c r="D182" s="44">
        <f t="shared" si="2"/>
        <v>40480</v>
      </c>
      <c r="E182" s="43">
        <f t="shared" si="3"/>
        <v>15</v>
      </c>
      <c r="F182" s="42" t="s">
        <v>369</v>
      </c>
      <c r="G182" s="42" t="s">
        <v>233</v>
      </c>
      <c r="H182" s="43" t="str">
        <f t="shared" si="4"/>
        <v>55 55 0180 0180</v>
      </c>
      <c r="I182" s="43" t="str">
        <f t="shared" si="5"/>
        <v>usuario180@ejemplo.com</v>
      </c>
      <c r="J182" s="46" t="str">
        <f t="shared" si="6"/>
        <v>Tutor_180</v>
      </c>
      <c r="K182" s="47" t="str">
        <f t="shared" si="13"/>
        <v>Adolescente</v>
      </c>
    </row>
    <row r="183">
      <c r="A183" s="42" t="s">
        <v>370</v>
      </c>
      <c r="B183" s="43" t="str">
        <f t="shared" si="1"/>
        <v>NombreDePersona_182</v>
      </c>
      <c r="C183" s="42">
        <v>2024.0</v>
      </c>
      <c r="D183" s="44">
        <f t="shared" si="2"/>
        <v>26476</v>
      </c>
      <c r="E183" s="43">
        <f t="shared" si="3"/>
        <v>53</v>
      </c>
      <c r="F183" s="42" t="s">
        <v>371</v>
      </c>
      <c r="G183" s="47" t="s">
        <v>93</v>
      </c>
      <c r="H183" s="43" t="str">
        <f t="shared" si="4"/>
        <v>55 55 0181 0181</v>
      </c>
      <c r="I183" s="43" t="str">
        <f t="shared" si="5"/>
        <v>usuario181@ejemplo.com</v>
      </c>
      <c r="J183" s="46" t="str">
        <f t="shared" si="6"/>
        <v/>
      </c>
      <c r="K183" s="47" t="str">
        <f t="shared" si="13"/>
        <v>Adulto</v>
      </c>
    </row>
    <row r="184">
      <c r="A184" s="42" t="s">
        <v>372</v>
      </c>
      <c r="B184" s="43" t="str">
        <f t="shared" si="1"/>
        <v>NombreDePersona_183</v>
      </c>
      <c r="C184" s="47">
        <v>2025.0</v>
      </c>
      <c r="D184" s="44">
        <f t="shared" si="2"/>
        <v>20120</v>
      </c>
      <c r="E184" s="43">
        <f t="shared" si="3"/>
        <v>70</v>
      </c>
      <c r="F184" s="47" t="s">
        <v>109</v>
      </c>
      <c r="G184" s="47" t="s">
        <v>103</v>
      </c>
      <c r="H184" s="43" t="str">
        <f t="shared" si="4"/>
        <v>55 55 0182 0182</v>
      </c>
      <c r="I184" s="43" t="str">
        <f t="shared" si="5"/>
        <v>usuario182@ejemplo.com</v>
      </c>
      <c r="J184" s="46" t="str">
        <f t="shared" si="6"/>
        <v/>
      </c>
      <c r="K184" s="47" t="str">
        <f t="shared" si="13"/>
        <v>Adulto Mayor</v>
      </c>
    </row>
    <row r="185">
      <c r="A185" s="42" t="s">
        <v>373</v>
      </c>
      <c r="B185" s="43" t="str">
        <f t="shared" si="1"/>
        <v>NombreDePersona_184</v>
      </c>
      <c r="C185" s="47">
        <v>2024.0</v>
      </c>
      <c r="D185" s="44">
        <f t="shared" si="2"/>
        <v>36603</v>
      </c>
      <c r="E185" s="43">
        <f t="shared" si="3"/>
        <v>25</v>
      </c>
      <c r="F185" s="47" t="s">
        <v>171</v>
      </c>
      <c r="G185" s="47" t="s">
        <v>131</v>
      </c>
      <c r="H185" s="43" t="str">
        <f t="shared" si="4"/>
        <v>55 55 0183 0183</v>
      </c>
      <c r="I185" s="43" t="str">
        <f t="shared" si="5"/>
        <v>usuario183@ejemplo.com</v>
      </c>
      <c r="J185" s="46" t="str">
        <f t="shared" si="6"/>
        <v/>
      </c>
      <c r="K185" s="47" t="str">
        <f t="shared" si="13"/>
        <v>Jóven adulto</v>
      </c>
    </row>
    <row r="186">
      <c r="A186" s="42" t="s">
        <v>374</v>
      </c>
      <c r="B186" s="43" t="str">
        <f t="shared" si="1"/>
        <v>NombreDePersona_185</v>
      </c>
      <c r="C186" s="47">
        <v>2024.0</v>
      </c>
      <c r="D186" s="44">
        <f t="shared" si="2"/>
        <v>41839</v>
      </c>
      <c r="E186" s="43">
        <f t="shared" si="3"/>
        <v>11</v>
      </c>
      <c r="F186" s="47" t="s">
        <v>122</v>
      </c>
      <c r="G186" s="47" t="s">
        <v>150</v>
      </c>
      <c r="H186" s="43" t="str">
        <f t="shared" si="4"/>
        <v>55 55 0184 0184</v>
      </c>
      <c r="I186" s="43" t="str">
        <f t="shared" si="5"/>
        <v>usuario184@ejemplo.com</v>
      </c>
      <c r="J186" s="46" t="str">
        <f t="shared" si="6"/>
        <v>Tutor_184</v>
      </c>
      <c r="K186" s="47" t="str">
        <f t="shared" si="13"/>
        <v>Infancia</v>
      </c>
    </row>
    <row r="187">
      <c r="A187" s="42" t="s">
        <v>375</v>
      </c>
      <c r="B187" s="43" t="str">
        <f t="shared" si="1"/>
        <v>NombreDePersona_186</v>
      </c>
      <c r="C187" s="47">
        <v>2024.0</v>
      </c>
      <c r="D187" s="44">
        <f t="shared" si="2"/>
        <v>40617</v>
      </c>
      <c r="E187" s="43">
        <f t="shared" si="3"/>
        <v>14</v>
      </c>
      <c r="F187" s="47" t="s">
        <v>103</v>
      </c>
      <c r="G187" s="47" t="s">
        <v>341</v>
      </c>
      <c r="H187" s="43" t="str">
        <f t="shared" si="4"/>
        <v>55 55 0185 0185</v>
      </c>
      <c r="I187" s="43" t="str">
        <f t="shared" si="5"/>
        <v>usuario185@ejemplo.com</v>
      </c>
      <c r="J187" s="46" t="str">
        <f t="shared" si="6"/>
        <v>Tutor_185</v>
      </c>
      <c r="K187" s="47" t="str">
        <f t="shared" si="13"/>
        <v>Adolescente</v>
      </c>
    </row>
    <row r="188">
      <c r="A188" s="42" t="s">
        <v>376</v>
      </c>
      <c r="B188" s="43" t="str">
        <f t="shared" si="1"/>
        <v>NombreDePersona_187</v>
      </c>
      <c r="C188" s="47">
        <v>2024.0</v>
      </c>
      <c r="D188" s="44">
        <f t="shared" si="2"/>
        <v>32892</v>
      </c>
      <c r="E188" s="43">
        <f t="shared" si="3"/>
        <v>35</v>
      </c>
      <c r="F188" s="47" t="s">
        <v>360</v>
      </c>
      <c r="G188" s="47" t="s">
        <v>364</v>
      </c>
      <c r="H188" s="43" t="str">
        <f t="shared" si="4"/>
        <v>55 55 0186 0186</v>
      </c>
      <c r="I188" s="43" t="str">
        <f t="shared" si="5"/>
        <v>usuario186@ejemplo.com</v>
      </c>
      <c r="J188" s="46" t="str">
        <f t="shared" si="6"/>
        <v/>
      </c>
      <c r="K188" s="47" t="str">
        <f t="shared" si="13"/>
        <v>Adulto</v>
      </c>
    </row>
    <row r="189">
      <c r="A189" s="42" t="s">
        <v>377</v>
      </c>
      <c r="B189" s="43" t="str">
        <f t="shared" si="1"/>
        <v>NombreDePersona_188</v>
      </c>
      <c r="C189" s="47">
        <v>2024.0</v>
      </c>
      <c r="D189" s="44">
        <f t="shared" si="2"/>
        <v>28663</v>
      </c>
      <c r="E189" s="43">
        <f t="shared" si="3"/>
        <v>47</v>
      </c>
      <c r="F189" s="47" t="s">
        <v>378</v>
      </c>
      <c r="G189" s="47" t="s">
        <v>107</v>
      </c>
      <c r="H189" s="43" t="str">
        <f t="shared" si="4"/>
        <v>55 55 0187 0187</v>
      </c>
      <c r="I189" s="43" t="str">
        <f t="shared" si="5"/>
        <v>usuario187@ejemplo.com</v>
      </c>
      <c r="J189" s="46" t="str">
        <f t="shared" si="6"/>
        <v/>
      </c>
      <c r="K189" s="47" t="str">
        <f t="shared" si="13"/>
        <v>Adulto</v>
      </c>
    </row>
    <row r="190">
      <c r="A190" s="42" t="s">
        <v>379</v>
      </c>
      <c r="B190" s="43" t="str">
        <f t="shared" si="1"/>
        <v>NombreDePersona_189</v>
      </c>
      <c r="C190" s="47">
        <v>2026.0</v>
      </c>
      <c r="D190" s="44">
        <f t="shared" si="2"/>
        <v>33943</v>
      </c>
      <c r="E190" s="43">
        <f t="shared" si="3"/>
        <v>33</v>
      </c>
      <c r="F190" s="47" t="s">
        <v>352</v>
      </c>
      <c r="G190" s="47" t="s">
        <v>177</v>
      </c>
      <c r="H190" s="43" t="str">
        <f t="shared" si="4"/>
        <v>55 55 0188 0188</v>
      </c>
      <c r="I190" s="43" t="str">
        <f t="shared" si="5"/>
        <v>usuario188@ejemplo.com</v>
      </c>
      <c r="J190" s="46" t="str">
        <f t="shared" si="6"/>
        <v/>
      </c>
      <c r="K190" s="47" t="str">
        <f t="shared" si="13"/>
        <v>Adulto</v>
      </c>
    </row>
    <row r="191">
      <c r="A191" s="42" t="s">
        <v>380</v>
      </c>
      <c r="B191" s="43" t="str">
        <f t="shared" si="1"/>
        <v>NombreDePersona_190</v>
      </c>
      <c r="C191" s="47">
        <v>2026.0</v>
      </c>
      <c r="D191" s="44">
        <f t="shared" si="2"/>
        <v>29038</v>
      </c>
      <c r="E191" s="43">
        <f t="shared" si="3"/>
        <v>46</v>
      </c>
      <c r="F191" s="47" t="s">
        <v>381</v>
      </c>
      <c r="G191" s="47" t="s">
        <v>133</v>
      </c>
      <c r="H191" s="43" t="str">
        <f t="shared" si="4"/>
        <v>55 55 0189 0189</v>
      </c>
      <c r="I191" s="43" t="str">
        <f t="shared" si="5"/>
        <v>usuario189@ejemplo.com</v>
      </c>
      <c r="J191" s="46" t="str">
        <f t="shared" si="6"/>
        <v/>
      </c>
      <c r="K191" s="47" t="str">
        <f t="shared" si="13"/>
        <v>Adulto</v>
      </c>
    </row>
    <row r="192">
      <c r="A192" s="42" t="s">
        <v>382</v>
      </c>
      <c r="B192" s="43" t="str">
        <f t="shared" si="1"/>
        <v>NombreDePersona_191</v>
      </c>
      <c r="C192" s="47">
        <v>2026.0</v>
      </c>
      <c r="D192" s="44">
        <f t="shared" si="2"/>
        <v>35026</v>
      </c>
      <c r="E192" s="43">
        <f t="shared" si="3"/>
        <v>30</v>
      </c>
      <c r="F192" s="47" t="s">
        <v>383</v>
      </c>
      <c r="G192" s="47" t="s">
        <v>93</v>
      </c>
      <c r="H192" s="43" t="str">
        <f t="shared" si="4"/>
        <v>55 55 0190 0190</v>
      </c>
      <c r="I192" s="43" t="str">
        <f t="shared" si="5"/>
        <v>usuario190@ejemplo.com</v>
      </c>
      <c r="J192" s="46" t="str">
        <f t="shared" si="6"/>
        <v/>
      </c>
      <c r="K192" s="47" t="str">
        <f t="shared" si="13"/>
        <v>Adulto</v>
      </c>
    </row>
    <row r="193">
      <c r="A193" s="42" t="s">
        <v>384</v>
      </c>
      <c r="B193" s="43" t="str">
        <f t="shared" si="1"/>
        <v>NombreDePersona_192</v>
      </c>
      <c r="C193" s="47">
        <v>2026.0</v>
      </c>
      <c r="D193" s="44">
        <f t="shared" si="2"/>
        <v>31198</v>
      </c>
      <c r="E193" s="43">
        <f t="shared" si="3"/>
        <v>40</v>
      </c>
      <c r="F193" s="47" t="s">
        <v>385</v>
      </c>
      <c r="G193" s="47" t="s">
        <v>97</v>
      </c>
      <c r="H193" s="43" t="str">
        <f t="shared" si="4"/>
        <v>55 55 0191 0191</v>
      </c>
      <c r="I193" s="43" t="str">
        <f t="shared" si="5"/>
        <v>usuario191@ejemplo.com</v>
      </c>
      <c r="J193" s="46" t="str">
        <f t="shared" si="6"/>
        <v/>
      </c>
      <c r="K193" s="47" t="str">
        <f t="shared" si="13"/>
        <v>Adulto</v>
      </c>
    </row>
    <row r="194">
      <c r="A194" s="42" t="s">
        <v>386</v>
      </c>
      <c r="B194" s="43" t="str">
        <f t="shared" si="1"/>
        <v>NombreDePersona_193</v>
      </c>
      <c r="C194" s="47">
        <v>2026.0</v>
      </c>
      <c r="D194" s="44">
        <f t="shared" si="2"/>
        <v>13108</v>
      </c>
      <c r="E194" s="43">
        <f t="shared" si="3"/>
        <v>90</v>
      </c>
      <c r="F194" s="47" t="s">
        <v>109</v>
      </c>
      <c r="G194" s="47" t="s">
        <v>97</v>
      </c>
      <c r="H194" s="43" t="str">
        <f t="shared" si="4"/>
        <v>55 55 0192 0192</v>
      </c>
      <c r="I194" s="43" t="str">
        <f t="shared" si="5"/>
        <v>usuario192@ejemplo.com</v>
      </c>
      <c r="J194" s="46" t="str">
        <f t="shared" si="6"/>
        <v/>
      </c>
      <c r="K194" s="47" t="str">
        <f t="shared" si="13"/>
        <v>Adulto Mayor</v>
      </c>
    </row>
    <row r="195">
      <c r="A195" s="42" t="s">
        <v>387</v>
      </c>
      <c r="B195" s="43" t="str">
        <f t="shared" si="1"/>
        <v>NombreDePersona_194</v>
      </c>
      <c r="C195" s="47">
        <v>2026.0</v>
      </c>
      <c r="D195" s="44">
        <f t="shared" si="2"/>
        <v>19858</v>
      </c>
      <c r="E195" s="43">
        <f t="shared" si="3"/>
        <v>71</v>
      </c>
      <c r="F195" s="47" t="s">
        <v>171</v>
      </c>
      <c r="G195" s="47" t="s">
        <v>97</v>
      </c>
      <c r="H195" s="43" t="str">
        <f t="shared" si="4"/>
        <v>55 55 0193 0193</v>
      </c>
      <c r="I195" s="43" t="str">
        <f t="shared" si="5"/>
        <v>usuario193@ejemplo.com</v>
      </c>
      <c r="J195" s="46" t="str">
        <f t="shared" si="6"/>
        <v/>
      </c>
      <c r="K195" s="47" t="str">
        <f t="shared" si="13"/>
        <v>Adulto Mayor</v>
      </c>
    </row>
    <row r="196">
      <c r="A196" s="42" t="s">
        <v>388</v>
      </c>
      <c r="B196" s="43" t="str">
        <f t="shared" si="1"/>
        <v>NombreDePersona_195</v>
      </c>
      <c r="C196" s="47">
        <v>2026.0</v>
      </c>
      <c r="D196" s="44">
        <f t="shared" si="2"/>
        <v>28217</v>
      </c>
      <c r="E196" s="43">
        <f t="shared" si="3"/>
        <v>48</v>
      </c>
      <c r="F196" s="47" t="s">
        <v>109</v>
      </c>
      <c r="G196" s="47" t="s">
        <v>389</v>
      </c>
      <c r="H196" s="43" t="str">
        <f t="shared" si="4"/>
        <v>55 55 0194 0194</v>
      </c>
      <c r="I196" s="43" t="str">
        <f t="shared" si="5"/>
        <v>usuario194@ejemplo.com</v>
      </c>
      <c r="J196" s="46" t="str">
        <f t="shared" si="6"/>
        <v/>
      </c>
      <c r="K196" s="47" t="str">
        <f t="shared" si="13"/>
        <v>Adulto</v>
      </c>
    </row>
    <row r="197">
      <c r="A197" s="42" t="s">
        <v>390</v>
      </c>
      <c r="B197" s="43" t="str">
        <f t="shared" si="1"/>
        <v>NombreDePersona_196</v>
      </c>
      <c r="C197" s="47">
        <v>2026.0</v>
      </c>
      <c r="D197" s="44">
        <f t="shared" si="2"/>
        <v>35370</v>
      </c>
      <c r="E197" s="43">
        <f t="shared" si="3"/>
        <v>29</v>
      </c>
      <c r="F197" s="47" t="s">
        <v>109</v>
      </c>
      <c r="G197" s="47" t="s">
        <v>133</v>
      </c>
      <c r="H197" s="43" t="str">
        <f t="shared" si="4"/>
        <v>55 55 0195 0195</v>
      </c>
      <c r="I197" s="43" t="str">
        <f t="shared" si="5"/>
        <v>usuario195@ejemplo.com</v>
      </c>
      <c r="J197" s="46" t="str">
        <f t="shared" si="6"/>
        <v/>
      </c>
      <c r="K197" s="47" t="str">
        <f t="shared" si="13"/>
        <v>Jóven adulto</v>
      </c>
    </row>
    <row r="198">
      <c r="A198" s="42" t="s">
        <v>391</v>
      </c>
      <c r="B198" s="43" t="str">
        <f t="shared" si="1"/>
        <v>NombreDePersona_197</v>
      </c>
      <c r="C198" s="47">
        <v>2026.0</v>
      </c>
      <c r="D198" s="44">
        <f t="shared" si="2"/>
        <v>14588</v>
      </c>
      <c r="E198" s="43">
        <f t="shared" si="3"/>
        <v>86</v>
      </c>
      <c r="F198" s="47" t="s">
        <v>122</v>
      </c>
      <c r="G198" s="47" t="s">
        <v>97</v>
      </c>
      <c r="H198" s="43" t="str">
        <f t="shared" si="4"/>
        <v>55 55 0196 0196</v>
      </c>
      <c r="I198" s="43" t="str">
        <f t="shared" si="5"/>
        <v>usuario196@ejemplo.com</v>
      </c>
      <c r="J198" s="46" t="str">
        <f t="shared" si="6"/>
        <v/>
      </c>
      <c r="K198" s="47" t="str">
        <f t="shared" si="13"/>
        <v>Adulto Mayor</v>
      </c>
    </row>
    <row r="199">
      <c r="A199" s="42" t="s">
        <v>392</v>
      </c>
      <c r="B199" s="43" t="str">
        <f t="shared" si="1"/>
        <v>NombreDePersona_198</v>
      </c>
      <c r="C199" s="47">
        <v>2026.0</v>
      </c>
      <c r="D199" s="44">
        <f t="shared" si="2"/>
        <v>12451</v>
      </c>
      <c r="E199" s="43">
        <f t="shared" si="3"/>
        <v>91</v>
      </c>
      <c r="F199" s="47" t="s">
        <v>103</v>
      </c>
      <c r="G199" s="47" t="s">
        <v>120</v>
      </c>
      <c r="H199" s="43" t="str">
        <f t="shared" si="4"/>
        <v>55 55 0197 0197</v>
      </c>
      <c r="I199" s="43" t="str">
        <f t="shared" si="5"/>
        <v>usuario197@ejemplo.com</v>
      </c>
      <c r="J199" s="46" t="str">
        <f t="shared" si="6"/>
        <v/>
      </c>
      <c r="K199" s="47" t="str">
        <f t="shared" si="13"/>
        <v>Adulto Mayor</v>
      </c>
    </row>
    <row r="200">
      <c r="A200" s="42" t="s">
        <v>393</v>
      </c>
      <c r="B200" s="43" t="str">
        <f t="shared" si="1"/>
        <v>NombreDePersona_199</v>
      </c>
      <c r="C200" s="47">
        <v>2026.0</v>
      </c>
      <c r="D200" s="44">
        <f t="shared" si="2"/>
        <v>11250</v>
      </c>
      <c r="E200" s="43">
        <f t="shared" si="3"/>
        <v>95</v>
      </c>
      <c r="F200" s="47" t="s">
        <v>394</v>
      </c>
      <c r="G200" s="47" t="s">
        <v>395</v>
      </c>
      <c r="H200" s="43" t="str">
        <f t="shared" si="4"/>
        <v>55 55 0198 0198</v>
      </c>
      <c r="I200" s="43" t="str">
        <f t="shared" si="5"/>
        <v>usuario198@ejemplo.com</v>
      </c>
      <c r="J200" s="46" t="str">
        <f t="shared" si="6"/>
        <v/>
      </c>
      <c r="K200" s="47" t="str">
        <f t="shared" si="13"/>
        <v>Adulto Mayor</v>
      </c>
    </row>
    <row r="201">
      <c r="A201" s="42" t="s">
        <v>396</v>
      </c>
      <c r="B201" s="43" t="str">
        <f t="shared" si="1"/>
        <v>NombreDePersona_200</v>
      </c>
      <c r="C201" s="47">
        <v>2026.0</v>
      </c>
      <c r="D201" s="44">
        <f t="shared" si="2"/>
        <v>12149</v>
      </c>
      <c r="E201" s="43">
        <f t="shared" si="3"/>
        <v>92</v>
      </c>
      <c r="F201" s="47" t="s">
        <v>397</v>
      </c>
      <c r="G201" s="47" t="s">
        <v>131</v>
      </c>
      <c r="H201" s="43" t="str">
        <f t="shared" si="4"/>
        <v>55 55 0199 0199</v>
      </c>
      <c r="I201" s="43" t="str">
        <f t="shared" si="5"/>
        <v>usuario199@ejemplo.com</v>
      </c>
      <c r="J201" s="46" t="str">
        <f t="shared" si="6"/>
        <v/>
      </c>
      <c r="K201" s="47" t="str">
        <f t="shared" si="13"/>
        <v>Adulto Mayor</v>
      </c>
    </row>
    <row r="202">
      <c r="A202" s="42" t="s">
        <v>398</v>
      </c>
      <c r="B202" s="43" t="str">
        <f t="shared" si="1"/>
        <v>NombreDePersona_201</v>
      </c>
      <c r="C202" s="47">
        <v>2026.0</v>
      </c>
      <c r="D202" s="44">
        <f t="shared" si="2"/>
        <v>17009</v>
      </c>
      <c r="E202" s="43">
        <f t="shared" si="3"/>
        <v>79</v>
      </c>
      <c r="F202" s="47" t="s">
        <v>399</v>
      </c>
      <c r="G202" s="47" t="s">
        <v>97</v>
      </c>
      <c r="H202" s="43" t="str">
        <f t="shared" si="4"/>
        <v>55 55 0200 0200</v>
      </c>
      <c r="I202" s="43" t="str">
        <f t="shared" si="5"/>
        <v>usuario200@ejemplo.com</v>
      </c>
      <c r="J202" s="46" t="str">
        <f t="shared" si="6"/>
        <v/>
      </c>
      <c r="K202" s="47" t="str">
        <f t="shared" si="13"/>
        <v>Adulto Mayor</v>
      </c>
    </row>
    <row r="203">
      <c r="A203" s="42" t="s">
        <v>400</v>
      </c>
      <c r="B203" s="43" t="str">
        <f t="shared" si="1"/>
        <v>NombreDePersona_202</v>
      </c>
      <c r="C203" s="47">
        <v>2026.0</v>
      </c>
      <c r="D203" s="44">
        <f t="shared" si="2"/>
        <v>28883</v>
      </c>
      <c r="E203" s="43">
        <f t="shared" si="3"/>
        <v>46</v>
      </c>
      <c r="F203" s="47" t="s">
        <v>109</v>
      </c>
      <c r="G203" s="47" t="s">
        <v>136</v>
      </c>
      <c r="H203" s="43" t="str">
        <f t="shared" si="4"/>
        <v>55 55 0201 0201</v>
      </c>
      <c r="I203" s="43" t="str">
        <f t="shared" si="5"/>
        <v>usuario201@ejemplo.com</v>
      </c>
      <c r="J203" s="46" t="str">
        <f t="shared" si="6"/>
        <v/>
      </c>
      <c r="K203" s="47" t="str">
        <f t="shared" si="13"/>
        <v>Adulto</v>
      </c>
    </row>
    <row r="204">
      <c r="A204" s="42" t="s">
        <v>401</v>
      </c>
      <c r="B204" s="43" t="str">
        <f t="shared" si="1"/>
        <v>NombreDePersona_203</v>
      </c>
      <c r="C204" s="47">
        <v>2026.0</v>
      </c>
      <c r="D204" s="44">
        <f t="shared" si="2"/>
        <v>40660</v>
      </c>
      <c r="E204" s="43">
        <f t="shared" si="3"/>
        <v>14</v>
      </c>
      <c r="F204" s="47" t="s">
        <v>402</v>
      </c>
      <c r="G204" s="47" t="s">
        <v>188</v>
      </c>
      <c r="H204" s="43" t="str">
        <f t="shared" si="4"/>
        <v>55 55 0202 0202</v>
      </c>
      <c r="I204" s="43" t="str">
        <f t="shared" si="5"/>
        <v>usuario202@ejemplo.com</v>
      </c>
      <c r="J204" s="46" t="str">
        <f t="shared" si="6"/>
        <v>Tutor_202</v>
      </c>
      <c r="K204" s="47" t="str">
        <f t="shared" si="13"/>
        <v>Adolescente</v>
      </c>
    </row>
    <row r="205">
      <c r="A205" s="42" t="s">
        <v>403</v>
      </c>
      <c r="B205" s="43" t="str">
        <f t="shared" si="1"/>
        <v>NombreDePersona_204</v>
      </c>
      <c r="C205" s="47">
        <v>2026.0</v>
      </c>
      <c r="D205" s="44">
        <f t="shared" si="2"/>
        <v>12660</v>
      </c>
      <c r="E205" s="43">
        <f t="shared" si="3"/>
        <v>91</v>
      </c>
      <c r="F205" s="47" t="s">
        <v>404</v>
      </c>
      <c r="G205" s="47" t="s">
        <v>97</v>
      </c>
      <c r="H205" s="43" t="str">
        <f t="shared" si="4"/>
        <v>55 55 0203 0203</v>
      </c>
      <c r="I205" s="43" t="str">
        <f t="shared" si="5"/>
        <v>usuario203@ejemplo.com</v>
      </c>
      <c r="J205" s="46" t="str">
        <f t="shared" si="6"/>
        <v/>
      </c>
      <c r="K205" s="47" t="str">
        <f t="shared" si="13"/>
        <v>Adulto Mayor</v>
      </c>
    </row>
    <row r="206">
      <c r="A206" s="42" t="s">
        <v>405</v>
      </c>
      <c r="B206" s="43" t="str">
        <f t="shared" si="1"/>
        <v>NombreDePersona_205</v>
      </c>
      <c r="C206" s="47">
        <v>2026.0</v>
      </c>
      <c r="D206" s="44">
        <f t="shared" si="2"/>
        <v>34975</v>
      </c>
      <c r="E206" s="43">
        <f t="shared" si="3"/>
        <v>30</v>
      </c>
      <c r="F206" s="47" t="s">
        <v>406</v>
      </c>
      <c r="G206" s="47" t="s">
        <v>97</v>
      </c>
      <c r="H206" s="43" t="str">
        <f t="shared" si="4"/>
        <v>55 55 0204 0204</v>
      </c>
      <c r="I206" s="43" t="str">
        <f t="shared" si="5"/>
        <v>usuario204@ejemplo.com</v>
      </c>
      <c r="J206" s="46" t="str">
        <f t="shared" si="6"/>
        <v/>
      </c>
      <c r="K206" s="47" t="str">
        <f t="shared" si="13"/>
        <v>Adulto</v>
      </c>
    </row>
    <row r="207">
      <c r="A207" s="42" t="s">
        <v>407</v>
      </c>
      <c r="B207" s="43" t="str">
        <f t="shared" si="1"/>
        <v>NombreDePersona_206</v>
      </c>
      <c r="C207" s="47">
        <v>2026.0</v>
      </c>
      <c r="D207" s="44">
        <f t="shared" si="2"/>
        <v>17213</v>
      </c>
      <c r="E207" s="43">
        <f t="shared" si="3"/>
        <v>78</v>
      </c>
      <c r="F207" s="47" t="s">
        <v>109</v>
      </c>
      <c r="G207" s="47" t="s">
        <v>97</v>
      </c>
      <c r="H207" s="43" t="str">
        <f t="shared" si="4"/>
        <v>55 55 0205 0205</v>
      </c>
      <c r="I207" s="43" t="str">
        <f t="shared" si="5"/>
        <v>usuario205@ejemplo.com</v>
      </c>
      <c r="J207" s="46" t="str">
        <f t="shared" si="6"/>
        <v/>
      </c>
      <c r="K207" s="47" t="str">
        <f t="shared" si="13"/>
        <v>Adulto Mayor</v>
      </c>
    </row>
    <row r="208">
      <c r="A208" s="42" t="s">
        <v>408</v>
      </c>
      <c r="B208" s="43" t="str">
        <f t="shared" si="1"/>
        <v>NombreDePersona_207</v>
      </c>
      <c r="C208" s="47">
        <v>2026.0</v>
      </c>
      <c r="D208" s="44">
        <f t="shared" si="2"/>
        <v>33375</v>
      </c>
      <c r="E208" s="43">
        <f t="shared" si="3"/>
        <v>34</v>
      </c>
      <c r="F208" s="47" t="s">
        <v>171</v>
      </c>
      <c r="G208" s="47" t="s">
        <v>133</v>
      </c>
      <c r="H208" s="43" t="str">
        <f t="shared" si="4"/>
        <v>55 55 0206 0206</v>
      </c>
      <c r="I208" s="43" t="str">
        <f t="shared" si="5"/>
        <v>usuario206@ejemplo.com</v>
      </c>
      <c r="J208" s="46" t="str">
        <f t="shared" si="6"/>
        <v/>
      </c>
      <c r="K208" s="47" t="str">
        <f t="shared" si="13"/>
        <v>Adulto</v>
      </c>
    </row>
    <row r="209">
      <c r="A209" s="42" t="s">
        <v>409</v>
      </c>
      <c r="B209" s="43" t="str">
        <f t="shared" si="1"/>
        <v>NombreDePersona_208</v>
      </c>
      <c r="C209" s="47">
        <v>2026.0</v>
      </c>
      <c r="D209" s="44">
        <f t="shared" si="2"/>
        <v>17283</v>
      </c>
      <c r="E209" s="43">
        <f t="shared" si="3"/>
        <v>78</v>
      </c>
      <c r="F209" s="47" t="s">
        <v>109</v>
      </c>
      <c r="G209" s="47" t="s">
        <v>97</v>
      </c>
      <c r="H209" s="43" t="str">
        <f t="shared" si="4"/>
        <v>55 55 0207 0207</v>
      </c>
      <c r="I209" s="43" t="str">
        <f t="shared" si="5"/>
        <v>usuario207@ejemplo.com</v>
      </c>
      <c r="J209" s="46" t="str">
        <f t="shared" si="6"/>
        <v/>
      </c>
      <c r="K209" s="47" t="str">
        <f t="shared" si="13"/>
        <v>Adulto Mayor</v>
      </c>
    </row>
    <row r="210">
      <c r="A210" s="42" t="s">
        <v>410</v>
      </c>
      <c r="B210" s="43" t="str">
        <f t="shared" si="1"/>
        <v>NombreDePersona_209</v>
      </c>
      <c r="C210" s="47">
        <v>2026.0</v>
      </c>
      <c r="D210" s="44">
        <f t="shared" si="2"/>
        <v>40886</v>
      </c>
      <c r="E210" s="43">
        <f t="shared" si="3"/>
        <v>14</v>
      </c>
      <c r="F210" s="47" t="s">
        <v>216</v>
      </c>
      <c r="G210" s="47" t="s">
        <v>93</v>
      </c>
      <c r="H210" s="43" t="str">
        <f t="shared" si="4"/>
        <v>55 55 0208 0208</v>
      </c>
      <c r="I210" s="43" t="str">
        <f t="shared" si="5"/>
        <v>usuario208@ejemplo.com</v>
      </c>
      <c r="J210" s="46" t="str">
        <f t="shared" si="6"/>
        <v>Tutor_208</v>
      </c>
      <c r="K210" s="47" t="str">
        <f t="shared" si="13"/>
        <v>Adolescente</v>
      </c>
    </row>
    <row r="211">
      <c r="A211" s="42" t="s">
        <v>411</v>
      </c>
      <c r="B211" s="43" t="str">
        <f t="shared" si="1"/>
        <v>NombreDePersona_210</v>
      </c>
      <c r="C211" s="47">
        <v>2026.0</v>
      </c>
      <c r="D211" s="44">
        <f t="shared" si="2"/>
        <v>35009</v>
      </c>
      <c r="E211" s="43">
        <f t="shared" si="3"/>
        <v>30</v>
      </c>
      <c r="F211" s="47" t="s">
        <v>109</v>
      </c>
      <c r="G211" s="47" t="s">
        <v>93</v>
      </c>
      <c r="H211" s="43" t="str">
        <f t="shared" si="4"/>
        <v>55 55 0209 0209</v>
      </c>
      <c r="I211" s="43" t="str">
        <f t="shared" si="5"/>
        <v>usuario209@ejemplo.com</v>
      </c>
      <c r="J211" s="46" t="str">
        <f t="shared" si="6"/>
        <v/>
      </c>
      <c r="K211" s="47" t="str">
        <f t="shared" si="13"/>
        <v>Adulto</v>
      </c>
    </row>
    <row r="212">
      <c r="A212" s="42" t="s">
        <v>412</v>
      </c>
      <c r="B212" s="43" t="str">
        <f t="shared" si="1"/>
        <v>NombreDePersona_211</v>
      </c>
      <c r="C212" s="47">
        <v>2026.0</v>
      </c>
      <c r="D212" s="44">
        <f t="shared" si="2"/>
        <v>11314</v>
      </c>
      <c r="E212" s="43">
        <f t="shared" si="3"/>
        <v>95</v>
      </c>
      <c r="F212" s="47" t="s">
        <v>171</v>
      </c>
      <c r="G212" s="47" t="s">
        <v>395</v>
      </c>
      <c r="H212" s="43" t="str">
        <f t="shared" si="4"/>
        <v>55 55 0210 0210</v>
      </c>
      <c r="I212" s="43" t="str">
        <f t="shared" si="5"/>
        <v>usuario210@ejemplo.com</v>
      </c>
      <c r="J212" s="46" t="str">
        <f t="shared" si="6"/>
        <v/>
      </c>
      <c r="K212" s="47" t="str">
        <f t="shared" si="13"/>
        <v>Adulto Mayor</v>
      </c>
    </row>
    <row r="213">
      <c r="A213" s="42" t="s">
        <v>413</v>
      </c>
      <c r="B213" s="52" t="str">
        <f t="shared" si="1"/>
        <v>NombreDePersona_212</v>
      </c>
      <c r="C213" s="60">
        <v>2026.0</v>
      </c>
      <c r="D213" s="51">
        <f t="shared" si="2"/>
        <v>34580</v>
      </c>
      <c r="E213" s="52">
        <f t="shared" si="3"/>
        <v>31</v>
      </c>
      <c r="F213" s="60" t="s">
        <v>414</v>
      </c>
      <c r="G213" s="60" t="s">
        <v>415</v>
      </c>
      <c r="H213" s="52" t="str">
        <f t="shared" si="4"/>
        <v>55 55 0211 0211</v>
      </c>
      <c r="I213" s="52" t="str">
        <f t="shared" si="5"/>
        <v>usuario211@ejemplo.com</v>
      </c>
      <c r="J213" s="54" t="str">
        <f t="shared" si="6"/>
        <v/>
      </c>
      <c r="K213" s="47" t="str">
        <f t="shared" si="13"/>
        <v>Adulto</v>
      </c>
    </row>
    <row r="214">
      <c r="A214" s="42" t="s">
        <v>416</v>
      </c>
      <c r="B214" s="56" t="str">
        <f t="shared" si="1"/>
        <v>NombreDePersona_213</v>
      </c>
      <c r="C214" s="61">
        <v>2026.0</v>
      </c>
      <c r="D214" s="55">
        <f t="shared" si="2"/>
        <v>37006</v>
      </c>
      <c r="E214" s="56">
        <f t="shared" si="3"/>
        <v>24</v>
      </c>
      <c r="F214" s="61" t="s">
        <v>171</v>
      </c>
      <c r="G214" s="61" t="s">
        <v>97</v>
      </c>
      <c r="H214" s="56" t="str">
        <f t="shared" si="4"/>
        <v>55 55 0212 0212</v>
      </c>
      <c r="I214" s="56" t="str">
        <f t="shared" si="5"/>
        <v>usuario212@ejemplo.com</v>
      </c>
      <c r="J214" s="58" t="str">
        <f t="shared" si="6"/>
        <v/>
      </c>
      <c r="K214" s="47" t="str">
        <f t="shared" si="13"/>
        <v>Jóven adulto</v>
      </c>
    </row>
    <row r="215">
      <c r="A215" s="42" t="s">
        <v>417</v>
      </c>
      <c r="B215" s="48"/>
      <c r="C215" s="42"/>
      <c r="D215" s="62"/>
      <c r="E215" s="63"/>
      <c r="F215" s="63"/>
      <c r="G215" s="63"/>
      <c r="H215" s="63"/>
      <c r="I215" s="63"/>
      <c r="J215" s="63"/>
      <c r="K215" s="47" t="str">
        <f t="shared" si="13"/>
        <v/>
      </c>
    </row>
    <row r="216">
      <c r="A216" s="42" t="s">
        <v>418</v>
      </c>
      <c r="B216" s="48"/>
      <c r="C216" s="42"/>
      <c r="D216" s="62"/>
      <c r="E216" s="63"/>
      <c r="F216" s="63"/>
      <c r="G216" s="63"/>
      <c r="H216" s="63"/>
      <c r="I216" s="63"/>
      <c r="J216" s="63"/>
      <c r="K216" s="47" t="str">
        <f t="shared" si="13"/>
        <v/>
      </c>
    </row>
    <row r="217">
      <c r="A217" s="42" t="s">
        <v>419</v>
      </c>
      <c r="B217" s="48"/>
      <c r="C217" s="42"/>
      <c r="D217" s="62"/>
      <c r="E217" s="63"/>
      <c r="F217" s="63"/>
      <c r="G217" s="63"/>
      <c r="H217" s="63"/>
      <c r="I217" s="63"/>
      <c r="J217" s="63"/>
      <c r="K217" s="47" t="str">
        <f t="shared" si="13"/>
        <v/>
      </c>
    </row>
    <row r="218">
      <c r="A218" s="42" t="s">
        <v>420</v>
      </c>
      <c r="B218" s="48"/>
      <c r="C218" s="42"/>
      <c r="D218" s="62"/>
      <c r="E218" s="63"/>
      <c r="F218" s="63"/>
      <c r="G218" s="63"/>
      <c r="H218" s="63"/>
      <c r="I218" s="63"/>
      <c r="J218" s="63"/>
      <c r="K218" s="47" t="str">
        <f t="shared" si="13"/>
        <v/>
      </c>
    </row>
    <row r="219">
      <c r="A219" s="42" t="s">
        <v>421</v>
      </c>
      <c r="B219" s="48"/>
      <c r="C219" s="42"/>
      <c r="D219" s="62"/>
      <c r="E219" s="63"/>
      <c r="F219" s="63"/>
      <c r="G219" s="63"/>
      <c r="H219" s="63"/>
      <c r="I219" s="63"/>
      <c r="J219" s="63"/>
      <c r="K219" s="47" t="str">
        <f t="shared" si="13"/>
        <v/>
      </c>
    </row>
    <row r="220">
      <c r="A220" s="42" t="s">
        <v>422</v>
      </c>
      <c r="B220" s="48"/>
      <c r="C220" s="42"/>
      <c r="D220" s="62"/>
      <c r="E220" s="63"/>
      <c r="F220" s="63"/>
      <c r="G220" s="63"/>
      <c r="H220" s="63"/>
      <c r="I220" s="63"/>
      <c r="J220" s="63"/>
      <c r="K220" s="47" t="str">
        <f t="shared" si="13"/>
        <v/>
      </c>
    </row>
    <row r="221">
      <c r="A221" s="42" t="s">
        <v>423</v>
      </c>
      <c r="B221" s="48"/>
      <c r="C221" s="42"/>
      <c r="D221" s="62"/>
      <c r="E221" s="63"/>
      <c r="F221" s="63"/>
      <c r="G221" s="63"/>
      <c r="H221" s="63"/>
      <c r="I221" s="63"/>
      <c r="J221" s="63"/>
      <c r="K221" s="47" t="str">
        <f t="shared" si="13"/>
        <v/>
      </c>
    </row>
    <row r="222">
      <c r="A222" s="42" t="s">
        <v>424</v>
      </c>
      <c r="B222" s="48"/>
      <c r="C222" s="42"/>
      <c r="D222" s="62"/>
      <c r="E222" s="63"/>
      <c r="F222" s="63"/>
      <c r="G222" s="63"/>
      <c r="H222" s="63"/>
      <c r="I222" s="63"/>
      <c r="J222" s="63"/>
      <c r="K222" s="47" t="str">
        <f t="shared" si="13"/>
        <v/>
      </c>
    </row>
    <row r="223">
      <c r="A223" s="42" t="s">
        <v>425</v>
      </c>
      <c r="B223" s="48"/>
      <c r="C223" s="42"/>
      <c r="D223" s="62"/>
      <c r="E223" s="63"/>
      <c r="F223" s="63"/>
      <c r="G223" s="63"/>
      <c r="H223" s="63"/>
      <c r="I223" s="63"/>
      <c r="J223" s="63"/>
      <c r="K223" s="47" t="str">
        <f t="shared" si="13"/>
        <v/>
      </c>
    </row>
    <row r="224">
      <c r="A224" s="42" t="s">
        <v>426</v>
      </c>
      <c r="B224" s="48"/>
      <c r="C224" s="42"/>
      <c r="D224" s="62"/>
      <c r="E224" s="63"/>
      <c r="F224" s="63"/>
      <c r="G224" s="63"/>
      <c r="H224" s="63"/>
      <c r="I224" s="63"/>
      <c r="J224" s="63"/>
      <c r="K224" s="47" t="str">
        <f t="shared" si="13"/>
        <v/>
      </c>
    </row>
    <row r="225">
      <c r="A225" s="42" t="s">
        <v>427</v>
      </c>
      <c r="B225" s="48"/>
      <c r="C225" s="42"/>
      <c r="D225" s="62"/>
      <c r="E225" s="63"/>
      <c r="F225" s="63"/>
      <c r="G225" s="63"/>
      <c r="H225" s="63"/>
      <c r="I225" s="63"/>
      <c r="J225" s="63"/>
      <c r="K225" s="47" t="str">
        <f t="shared" si="13"/>
        <v/>
      </c>
    </row>
    <row r="226">
      <c r="A226" s="42" t="s">
        <v>428</v>
      </c>
      <c r="B226" s="48"/>
      <c r="C226" s="42"/>
      <c r="D226" s="62"/>
      <c r="E226" s="63"/>
      <c r="F226" s="63"/>
      <c r="G226" s="63"/>
      <c r="H226" s="63"/>
      <c r="I226" s="63"/>
      <c r="J226" s="63"/>
      <c r="K226" s="47" t="str">
        <f t="shared" si="13"/>
        <v/>
      </c>
    </row>
    <row r="227">
      <c r="A227" s="42" t="s">
        <v>429</v>
      </c>
      <c r="B227" s="48"/>
      <c r="C227" s="42"/>
      <c r="D227" s="62"/>
      <c r="E227" s="63"/>
      <c r="F227" s="63"/>
      <c r="G227" s="63"/>
      <c r="H227" s="63"/>
      <c r="I227" s="63"/>
      <c r="J227" s="63"/>
      <c r="K227" s="47" t="str">
        <f t="shared" si="13"/>
        <v/>
      </c>
    </row>
    <row r="228">
      <c r="A228" s="42" t="s">
        <v>430</v>
      </c>
      <c r="B228" s="48"/>
      <c r="C228" s="42"/>
      <c r="D228" s="62"/>
      <c r="E228" s="63"/>
      <c r="F228" s="63"/>
      <c r="G228" s="63"/>
      <c r="H228" s="63"/>
      <c r="I228" s="63"/>
      <c r="J228" s="63"/>
      <c r="K228" s="47" t="str">
        <f t="shared" si="13"/>
        <v/>
      </c>
    </row>
    <row r="229">
      <c r="A229" s="42" t="s">
        <v>431</v>
      </c>
      <c r="B229" s="48"/>
      <c r="C229" s="42"/>
      <c r="D229" s="62"/>
      <c r="E229" s="63"/>
      <c r="F229" s="63"/>
      <c r="G229" s="63"/>
      <c r="H229" s="63"/>
      <c r="I229" s="63"/>
      <c r="J229" s="63"/>
      <c r="K229" s="47" t="str">
        <f t="shared" si="13"/>
        <v/>
      </c>
    </row>
    <row r="230">
      <c r="A230" s="42" t="s">
        <v>432</v>
      </c>
      <c r="B230" s="48"/>
      <c r="C230" s="42"/>
      <c r="D230" s="62"/>
      <c r="E230" s="63"/>
      <c r="F230" s="63"/>
      <c r="G230" s="63"/>
      <c r="H230" s="63"/>
      <c r="I230" s="63"/>
      <c r="J230" s="63"/>
      <c r="K230" s="47" t="str">
        <f t="shared" si="13"/>
        <v/>
      </c>
    </row>
    <row r="231">
      <c r="A231" s="42" t="s">
        <v>433</v>
      </c>
      <c r="B231" s="48"/>
      <c r="C231" s="42"/>
      <c r="D231" s="62"/>
      <c r="E231" s="63"/>
      <c r="F231" s="63"/>
      <c r="G231" s="63"/>
      <c r="H231" s="63"/>
      <c r="I231" s="63"/>
      <c r="J231" s="63"/>
      <c r="K231" s="47" t="str">
        <f t="shared" si="13"/>
        <v/>
      </c>
    </row>
    <row r="232">
      <c r="A232" s="42" t="s">
        <v>434</v>
      </c>
      <c r="B232" s="48"/>
      <c r="C232" s="42"/>
      <c r="D232" s="62"/>
      <c r="E232" s="63"/>
      <c r="F232" s="63"/>
      <c r="G232" s="63"/>
      <c r="H232" s="63"/>
      <c r="I232" s="63"/>
      <c r="J232" s="63"/>
      <c r="K232" s="47" t="str">
        <f t="shared" si="13"/>
        <v/>
      </c>
    </row>
    <row r="233">
      <c r="A233" s="42" t="s">
        <v>435</v>
      </c>
      <c r="B233" s="48"/>
      <c r="C233" s="42"/>
      <c r="D233" s="62"/>
      <c r="E233" s="63"/>
      <c r="F233" s="63"/>
      <c r="G233" s="63"/>
      <c r="H233" s="63"/>
      <c r="I233" s="63"/>
      <c r="J233" s="63"/>
      <c r="K233" s="47" t="str">
        <f t="shared" si="13"/>
        <v/>
      </c>
    </row>
    <row r="234">
      <c r="A234" s="42" t="s">
        <v>436</v>
      </c>
      <c r="B234" s="48"/>
      <c r="C234" s="42"/>
      <c r="D234" s="62"/>
      <c r="E234" s="63"/>
      <c r="F234" s="63"/>
      <c r="G234" s="63"/>
      <c r="H234" s="63"/>
      <c r="I234" s="63"/>
      <c r="J234" s="63"/>
      <c r="K234" s="47" t="str">
        <f t="shared" si="13"/>
        <v/>
      </c>
    </row>
    <row r="235">
      <c r="A235" s="42" t="s">
        <v>437</v>
      </c>
      <c r="B235" s="48"/>
      <c r="C235" s="42"/>
      <c r="D235" s="62"/>
      <c r="E235" s="63"/>
      <c r="F235" s="63"/>
      <c r="G235" s="63"/>
      <c r="H235" s="63"/>
      <c r="I235" s="63"/>
      <c r="J235" s="63"/>
      <c r="K235" s="47" t="str">
        <f t="shared" si="13"/>
        <v/>
      </c>
    </row>
    <row r="236">
      <c r="A236" s="42" t="s">
        <v>438</v>
      </c>
      <c r="B236" s="48"/>
      <c r="C236" s="42"/>
      <c r="D236" s="62"/>
      <c r="E236" s="63"/>
      <c r="F236" s="63"/>
      <c r="G236" s="63"/>
      <c r="H236" s="63"/>
      <c r="I236" s="63"/>
      <c r="J236" s="63"/>
      <c r="K236" s="47" t="str">
        <f t="shared" si="13"/>
        <v/>
      </c>
    </row>
    <row r="237">
      <c r="A237" s="42" t="s">
        <v>439</v>
      </c>
      <c r="B237" s="48"/>
      <c r="C237" s="42"/>
      <c r="D237" s="62"/>
      <c r="E237" s="63"/>
      <c r="F237" s="63"/>
      <c r="G237" s="63"/>
      <c r="H237" s="63"/>
      <c r="I237" s="63"/>
      <c r="J237" s="63"/>
      <c r="K237" s="47" t="str">
        <f t="shared" si="13"/>
        <v/>
      </c>
    </row>
    <row r="238">
      <c r="A238" s="42" t="s">
        <v>440</v>
      </c>
      <c r="B238" s="48"/>
      <c r="C238" s="42"/>
      <c r="D238" s="62"/>
      <c r="E238" s="63"/>
      <c r="F238" s="63"/>
      <c r="G238" s="63"/>
      <c r="H238" s="63"/>
      <c r="I238" s="63"/>
      <c r="J238" s="63"/>
      <c r="K238" s="47" t="str">
        <f t="shared" si="13"/>
        <v/>
      </c>
    </row>
    <row r="239">
      <c r="A239" s="42" t="s">
        <v>441</v>
      </c>
      <c r="B239" s="48"/>
      <c r="C239" s="42"/>
      <c r="D239" s="62"/>
      <c r="E239" s="63"/>
      <c r="F239" s="63"/>
      <c r="G239" s="63"/>
      <c r="H239" s="63"/>
      <c r="I239" s="63"/>
      <c r="J239" s="63"/>
      <c r="K239" s="47" t="str">
        <f t="shared" si="13"/>
        <v/>
      </c>
    </row>
    <row r="240">
      <c r="A240" s="42" t="s">
        <v>442</v>
      </c>
      <c r="B240" s="48"/>
      <c r="C240" s="42"/>
      <c r="D240" s="62"/>
      <c r="E240" s="63"/>
      <c r="F240" s="63"/>
      <c r="G240" s="63"/>
      <c r="H240" s="63"/>
      <c r="I240" s="63"/>
      <c r="J240" s="63"/>
      <c r="K240" s="47" t="str">
        <f t="shared" si="13"/>
        <v/>
      </c>
    </row>
    <row r="241">
      <c r="A241" s="42" t="s">
        <v>443</v>
      </c>
      <c r="B241" s="48"/>
      <c r="C241" s="42"/>
      <c r="D241" s="62"/>
      <c r="E241" s="63"/>
      <c r="F241" s="63"/>
      <c r="G241" s="63"/>
      <c r="H241" s="63"/>
      <c r="I241" s="63"/>
      <c r="J241" s="63"/>
      <c r="K241" s="47" t="str">
        <f t="shared" si="13"/>
        <v/>
      </c>
    </row>
    <row r="242">
      <c r="A242" s="42" t="s">
        <v>444</v>
      </c>
      <c r="B242" s="48"/>
      <c r="C242" s="42"/>
      <c r="D242" s="62"/>
      <c r="E242" s="63"/>
      <c r="F242" s="63"/>
      <c r="G242" s="63"/>
      <c r="H242" s="63"/>
      <c r="I242" s="63"/>
      <c r="J242" s="63"/>
      <c r="K242" s="47" t="str">
        <f t="shared" si="13"/>
        <v/>
      </c>
    </row>
    <row r="243">
      <c r="A243" s="42" t="s">
        <v>445</v>
      </c>
      <c r="B243" s="48"/>
      <c r="C243" s="42"/>
      <c r="D243" s="62"/>
      <c r="E243" s="63"/>
      <c r="F243" s="63"/>
      <c r="G243" s="63"/>
      <c r="H243" s="63"/>
      <c r="I243" s="63"/>
      <c r="J243" s="63"/>
      <c r="K243" s="47" t="str">
        <f t="shared" si="13"/>
        <v/>
      </c>
    </row>
    <row r="244">
      <c r="A244" s="42" t="s">
        <v>446</v>
      </c>
      <c r="B244" s="48"/>
      <c r="C244" s="42"/>
      <c r="D244" s="62"/>
      <c r="E244" s="63"/>
      <c r="F244" s="63"/>
      <c r="G244" s="63"/>
      <c r="H244" s="63"/>
      <c r="I244" s="63"/>
      <c r="J244" s="63"/>
      <c r="K244" s="47" t="str">
        <f t="shared" si="13"/>
        <v/>
      </c>
    </row>
    <row r="245">
      <c r="A245" s="42" t="s">
        <v>447</v>
      </c>
      <c r="B245" s="48"/>
      <c r="C245" s="42"/>
      <c r="D245" s="62"/>
      <c r="E245" s="63"/>
      <c r="F245" s="63"/>
      <c r="G245" s="63"/>
      <c r="H245" s="63"/>
      <c r="I245" s="63"/>
      <c r="J245" s="63"/>
      <c r="K245" s="47" t="str">
        <f t="shared" si="13"/>
        <v/>
      </c>
    </row>
    <row r="246">
      <c r="A246" s="42" t="s">
        <v>448</v>
      </c>
      <c r="B246" s="48"/>
      <c r="C246" s="42"/>
      <c r="D246" s="62"/>
      <c r="E246" s="63"/>
      <c r="F246" s="63"/>
      <c r="G246" s="63"/>
      <c r="H246" s="63"/>
      <c r="I246" s="63"/>
      <c r="J246" s="63"/>
      <c r="K246" s="47" t="str">
        <f t="shared" si="13"/>
        <v/>
      </c>
    </row>
    <row r="247">
      <c r="A247" s="42" t="s">
        <v>449</v>
      </c>
      <c r="B247" s="48"/>
      <c r="C247" s="42"/>
      <c r="D247" s="62"/>
      <c r="E247" s="63"/>
      <c r="F247" s="63"/>
      <c r="G247" s="63"/>
      <c r="H247" s="63"/>
      <c r="I247" s="63"/>
      <c r="J247" s="63"/>
      <c r="K247" s="47" t="str">
        <f t="shared" si="13"/>
        <v/>
      </c>
    </row>
    <row r="248">
      <c r="A248" s="42" t="s">
        <v>450</v>
      </c>
      <c r="B248" s="48"/>
      <c r="C248" s="42"/>
      <c r="D248" s="62"/>
      <c r="E248" s="63"/>
      <c r="F248" s="63"/>
      <c r="G248" s="63"/>
      <c r="H248" s="63"/>
      <c r="I248" s="63"/>
      <c r="J248" s="63"/>
      <c r="K248" s="47" t="str">
        <f t="shared" si="13"/>
        <v/>
      </c>
    </row>
    <row r="249">
      <c r="A249" s="42" t="s">
        <v>451</v>
      </c>
      <c r="B249" s="48"/>
      <c r="C249" s="42"/>
      <c r="D249" s="62"/>
      <c r="E249" s="63"/>
      <c r="F249" s="63"/>
      <c r="G249" s="63"/>
      <c r="H249" s="63"/>
      <c r="I249" s="63"/>
      <c r="J249" s="63"/>
      <c r="K249" s="47" t="str">
        <f t="shared" si="13"/>
        <v/>
      </c>
    </row>
    <row r="250">
      <c r="A250" s="42" t="s">
        <v>452</v>
      </c>
      <c r="B250" s="48"/>
      <c r="C250" s="42"/>
      <c r="D250" s="62"/>
      <c r="E250" s="63"/>
      <c r="F250" s="63"/>
      <c r="G250" s="63"/>
      <c r="H250" s="63"/>
      <c r="I250" s="63"/>
      <c r="J250" s="63"/>
      <c r="K250" s="47" t="str">
        <f t="shared" si="13"/>
        <v/>
      </c>
    </row>
    <row r="251">
      <c r="A251" s="42" t="s">
        <v>453</v>
      </c>
      <c r="B251" s="48"/>
      <c r="C251" s="42"/>
      <c r="D251" s="62"/>
      <c r="E251" s="63"/>
      <c r="F251" s="63"/>
      <c r="G251" s="63"/>
      <c r="H251" s="63"/>
      <c r="I251" s="63"/>
      <c r="J251" s="63"/>
      <c r="K251" s="47" t="str">
        <f t="shared" si="13"/>
        <v/>
      </c>
    </row>
    <row r="252">
      <c r="A252" s="42" t="s">
        <v>454</v>
      </c>
      <c r="B252" s="48"/>
      <c r="C252" s="42"/>
      <c r="D252" s="62"/>
      <c r="E252" s="63"/>
      <c r="F252" s="63"/>
      <c r="G252" s="63"/>
      <c r="H252" s="63"/>
      <c r="I252" s="63"/>
      <c r="J252" s="63"/>
      <c r="K252" s="47" t="str">
        <f t="shared" si="13"/>
        <v/>
      </c>
    </row>
    <row r="253">
      <c r="A253" s="42" t="s">
        <v>455</v>
      </c>
      <c r="B253" s="48"/>
      <c r="C253" s="42"/>
      <c r="D253" s="62"/>
      <c r="E253" s="63"/>
      <c r="F253" s="63"/>
      <c r="G253" s="63"/>
      <c r="H253" s="63"/>
      <c r="I253" s="63"/>
      <c r="J253" s="63"/>
      <c r="K253" s="47" t="str">
        <f t="shared" si="13"/>
        <v/>
      </c>
    </row>
    <row r="254">
      <c r="A254" s="42" t="s">
        <v>456</v>
      </c>
      <c r="B254" s="48"/>
      <c r="C254" s="42"/>
      <c r="D254" s="62"/>
      <c r="E254" s="63"/>
      <c r="F254" s="63"/>
      <c r="G254" s="63"/>
      <c r="H254" s="63"/>
      <c r="I254" s="63"/>
      <c r="J254" s="63"/>
      <c r="K254" s="47" t="str">
        <f t="shared" si="13"/>
        <v/>
      </c>
    </row>
    <row r="255">
      <c r="A255" s="42" t="s">
        <v>457</v>
      </c>
      <c r="B255" s="48"/>
      <c r="C255" s="42"/>
      <c r="D255" s="62"/>
      <c r="E255" s="63"/>
      <c r="F255" s="63"/>
      <c r="G255" s="63"/>
      <c r="H255" s="63"/>
      <c r="I255" s="63"/>
      <c r="J255" s="63"/>
      <c r="K255" s="47" t="str">
        <f t="shared" si="13"/>
        <v/>
      </c>
    </row>
    <row r="256">
      <c r="A256" s="42" t="s">
        <v>458</v>
      </c>
      <c r="B256" s="48"/>
      <c r="C256" s="42"/>
      <c r="D256" s="62"/>
      <c r="E256" s="63"/>
      <c r="F256" s="63"/>
      <c r="G256" s="63"/>
      <c r="H256" s="63"/>
      <c r="I256" s="63"/>
      <c r="J256" s="63"/>
      <c r="K256" s="47" t="str">
        <f t="shared" si="13"/>
        <v/>
      </c>
    </row>
    <row r="257">
      <c r="A257" s="42" t="s">
        <v>459</v>
      </c>
      <c r="B257" s="48"/>
      <c r="C257" s="42"/>
      <c r="D257" s="62"/>
      <c r="E257" s="63"/>
      <c r="F257" s="63"/>
      <c r="G257" s="63"/>
      <c r="H257" s="63"/>
      <c r="I257" s="63"/>
      <c r="J257" s="63"/>
      <c r="K257" s="47" t="str">
        <f t="shared" si="13"/>
        <v/>
      </c>
    </row>
    <row r="258">
      <c r="A258" s="42" t="s">
        <v>460</v>
      </c>
      <c r="B258" s="48"/>
      <c r="C258" s="42"/>
      <c r="D258" s="62"/>
      <c r="E258" s="63"/>
      <c r="F258" s="63"/>
      <c r="G258" s="63"/>
      <c r="H258" s="63"/>
      <c r="I258" s="63"/>
      <c r="J258" s="63"/>
      <c r="K258" s="47" t="str">
        <f t="shared" si="13"/>
        <v/>
      </c>
    </row>
    <row r="259">
      <c r="A259" s="42" t="s">
        <v>461</v>
      </c>
      <c r="B259" s="48"/>
      <c r="C259" s="42"/>
      <c r="D259" s="62"/>
      <c r="E259" s="63"/>
      <c r="F259" s="63"/>
      <c r="G259" s="63"/>
      <c r="H259" s="63"/>
      <c r="I259" s="63"/>
      <c r="J259" s="63"/>
      <c r="K259" s="47" t="str">
        <f t="shared" si="13"/>
        <v/>
      </c>
    </row>
    <row r="260">
      <c r="A260" s="42" t="s">
        <v>462</v>
      </c>
      <c r="B260" s="48"/>
      <c r="C260" s="42"/>
      <c r="D260" s="62"/>
      <c r="E260" s="63"/>
      <c r="F260" s="63"/>
      <c r="G260" s="63"/>
      <c r="H260" s="63"/>
      <c r="I260" s="63"/>
      <c r="J260" s="63"/>
      <c r="K260" s="47" t="str">
        <f t="shared" si="13"/>
        <v/>
      </c>
    </row>
    <row r="261">
      <c r="A261" s="42" t="s">
        <v>463</v>
      </c>
      <c r="B261" s="48"/>
      <c r="C261" s="42"/>
      <c r="D261" s="62"/>
      <c r="E261" s="63"/>
      <c r="F261" s="63"/>
      <c r="G261" s="63"/>
      <c r="H261" s="63"/>
      <c r="I261" s="63"/>
      <c r="J261" s="63"/>
      <c r="K261" s="47" t="str">
        <f t="shared" si="13"/>
        <v/>
      </c>
    </row>
    <row r="262">
      <c r="A262" s="42" t="s">
        <v>464</v>
      </c>
      <c r="B262" s="48"/>
      <c r="C262" s="42"/>
      <c r="D262" s="62"/>
      <c r="E262" s="63"/>
      <c r="F262" s="63"/>
      <c r="G262" s="63"/>
      <c r="H262" s="63"/>
      <c r="I262" s="63"/>
      <c r="J262" s="63"/>
      <c r="K262" s="47" t="str">
        <f t="shared" si="13"/>
        <v/>
      </c>
    </row>
    <row r="263">
      <c r="A263" s="42" t="s">
        <v>465</v>
      </c>
      <c r="B263" s="48"/>
      <c r="C263" s="42"/>
      <c r="D263" s="62"/>
      <c r="E263" s="63"/>
      <c r="F263" s="63"/>
      <c r="G263" s="63"/>
      <c r="H263" s="63"/>
      <c r="I263" s="63"/>
      <c r="J263" s="63"/>
      <c r="K263" s="47" t="str">
        <f t="shared" si="13"/>
        <v/>
      </c>
    </row>
    <row r="264">
      <c r="A264" s="42" t="s">
        <v>466</v>
      </c>
      <c r="B264" s="48"/>
      <c r="C264" s="42"/>
      <c r="D264" s="62"/>
      <c r="E264" s="63"/>
      <c r="F264" s="63"/>
      <c r="G264" s="63"/>
      <c r="H264" s="63"/>
      <c r="I264" s="63"/>
      <c r="J264" s="63"/>
      <c r="K264" s="47" t="str">
        <f t="shared" si="13"/>
        <v/>
      </c>
    </row>
    <row r="265">
      <c r="A265" s="42" t="s">
        <v>467</v>
      </c>
      <c r="B265" s="48"/>
      <c r="C265" s="42"/>
      <c r="D265" s="62"/>
      <c r="E265" s="63"/>
      <c r="F265" s="63"/>
      <c r="G265" s="63"/>
      <c r="H265" s="63"/>
      <c r="I265" s="63"/>
      <c r="J265" s="63"/>
      <c r="K265" s="47" t="str">
        <f t="shared" si="13"/>
        <v/>
      </c>
    </row>
    <row r="266">
      <c r="A266" s="42" t="s">
        <v>468</v>
      </c>
      <c r="B266" s="48"/>
      <c r="C266" s="42"/>
      <c r="D266" s="62"/>
      <c r="E266" s="63"/>
      <c r="F266" s="63"/>
      <c r="G266" s="63"/>
      <c r="H266" s="63"/>
      <c r="I266" s="63"/>
      <c r="J266" s="63"/>
      <c r="K266" s="47" t="str">
        <f t="shared" si="13"/>
        <v/>
      </c>
    </row>
    <row r="267">
      <c r="A267" s="42" t="s">
        <v>469</v>
      </c>
      <c r="B267" s="48"/>
      <c r="C267" s="42"/>
      <c r="D267" s="62"/>
      <c r="E267" s="63"/>
      <c r="F267" s="63"/>
      <c r="G267" s="63"/>
      <c r="H267" s="63"/>
      <c r="I267" s="63"/>
      <c r="J267" s="63"/>
      <c r="K267" s="47" t="str">
        <f t="shared" si="13"/>
        <v/>
      </c>
    </row>
    <row r="268">
      <c r="A268" s="42" t="s">
        <v>470</v>
      </c>
      <c r="B268" s="48"/>
      <c r="C268" s="42"/>
      <c r="D268" s="62"/>
      <c r="E268" s="63"/>
      <c r="F268" s="63"/>
      <c r="G268" s="63"/>
      <c r="H268" s="63"/>
      <c r="I268" s="63"/>
      <c r="J268" s="63"/>
      <c r="K268" s="47" t="str">
        <f t="shared" si="13"/>
        <v/>
      </c>
    </row>
    <row r="269">
      <c r="A269" s="42" t="s">
        <v>471</v>
      </c>
      <c r="B269" s="48"/>
      <c r="C269" s="42"/>
      <c r="D269" s="62"/>
      <c r="E269" s="63"/>
      <c r="F269" s="63"/>
      <c r="G269" s="63"/>
      <c r="H269" s="63"/>
      <c r="I269" s="63"/>
      <c r="J269" s="63"/>
      <c r="K269" s="47" t="str">
        <f t="shared" si="13"/>
        <v/>
      </c>
    </row>
    <row r="270">
      <c r="A270" s="42" t="s">
        <v>472</v>
      </c>
      <c r="B270" s="48"/>
      <c r="C270" s="42"/>
      <c r="D270" s="62"/>
      <c r="E270" s="63"/>
      <c r="F270" s="63"/>
      <c r="G270" s="63"/>
      <c r="H270" s="63"/>
      <c r="I270" s="63"/>
      <c r="J270" s="63"/>
      <c r="K270" s="47" t="str">
        <f t="shared" si="13"/>
        <v/>
      </c>
    </row>
    <row r="271">
      <c r="A271" s="42" t="s">
        <v>473</v>
      </c>
      <c r="B271" s="48"/>
      <c r="C271" s="42"/>
      <c r="D271" s="62"/>
      <c r="E271" s="63"/>
      <c r="F271" s="63"/>
      <c r="G271" s="63"/>
      <c r="H271" s="63"/>
      <c r="I271" s="63"/>
      <c r="J271" s="63"/>
      <c r="K271" s="47" t="str">
        <f t="shared" si="13"/>
        <v/>
      </c>
    </row>
    <row r="272">
      <c r="A272" s="42" t="s">
        <v>474</v>
      </c>
      <c r="B272" s="48"/>
      <c r="C272" s="42"/>
      <c r="D272" s="62"/>
      <c r="E272" s="63"/>
      <c r="F272" s="63"/>
      <c r="G272" s="63"/>
      <c r="H272" s="63"/>
      <c r="I272" s="63"/>
      <c r="J272" s="63"/>
      <c r="K272" s="47" t="str">
        <f t="shared" si="13"/>
        <v/>
      </c>
    </row>
    <row r="273">
      <c r="A273" s="42" t="s">
        <v>475</v>
      </c>
      <c r="B273" s="48"/>
      <c r="C273" s="42"/>
      <c r="D273" s="62"/>
      <c r="E273" s="63"/>
      <c r="F273" s="63"/>
      <c r="G273" s="63"/>
      <c r="H273" s="63"/>
      <c r="I273" s="63"/>
      <c r="J273" s="63"/>
      <c r="K273" s="47" t="str">
        <f t="shared" si="13"/>
        <v/>
      </c>
    </row>
    <row r="274">
      <c r="A274" s="42" t="s">
        <v>476</v>
      </c>
      <c r="B274" s="48"/>
      <c r="C274" s="42"/>
      <c r="D274" s="62"/>
      <c r="E274" s="63"/>
      <c r="F274" s="63"/>
      <c r="G274" s="63"/>
      <c r="H274" s="63"/>
      <c r="I274" s="63"/>
      <c r="J274" s="63"/>
      <c r="K274" s="47" t="str">
        <f t="shared" si="13"/>
        <v/>
      </c>
    </row>
    <row r="275">
      <c r="A275" s="42" t="s">
        <v>477</v>
      </c>
      <c r="B275" s="48"/>
      <c r="C275" s="42"/>
      <c r="D275" s="62"/>
      <c r="E275" s="63"/>
      <c r="F275" s="63"/>
      <c r="G275" s="63"/>
      <c r="H275" s="63"/>
      <c r="I275" s="63"/>
      <c r="J275" s="63"/>
      <c r="K275" s="47" t="str">
        <f t="shared" si="13"/>
        <v/>
      </c>
    </row>
    <row r="276">
      <c r="A276" s="42" t="s">
        <v>478</v>
      </c>
      <c r="B276" s="48"/>
      <c r="C276" s="42"/>
      <c r="D276" s="62"/>
      <c r="E276" s="63"/>
      <c r="F276" s="63"/>
      <c r="G276" s="63"/>
      <c r="H276" s="63"/>
      <c r="I276" s="63"/>
      <c r="J276" s="63"/>
      <c r="K276" s="47" t="str">
        <f t="shared" si="13"/>
        <v/>
      </c>
    </row>
    <row r="277">
      <c r="A277" s="42" t="s">
        <v>479</v>
      </c>
      <c r="B277" s="48"/>
      <c r="C277" s="42"/>
      <c r="D277" s="62"/>
      <c r="E277" s="63"/>
      <c r="F277" s="63"/>
      <c r="G277" s="63"/>
      <c r="H277" s="63"/>
      <c r="I277" s="63"/>
      <c r="J277" s="63"/>
      <c r="K277" s="47" t="str">
        <f t="shared" si="13"/>
        <v/>
      </c>
    </row>
    <row r="278">
      <c r="A278" s="42" t="s">
        <v>480</v>
      </c>
      <c r="B278" s="48"/>
      <c r="C278" s="42"/>
      <c r="D278" s="62"/>
      <c r="E278" s="63"/>
      <c r="F278" s="63"/>
      <c r="G278" s="63"/>
      <c r="H278" s="63"/>
      <c r="I278" s="63"/>
      <c r="J278" s="63"/>
      <c r="K278" s="47" t="str">
        <f t="shared" si="13"/>
        <v/>
      </c>
    </row>
    <row r="279">
      <c r="A279" s="42" t="s">
        <v>481</v>
      </c>
      <c r="B279" s="48"/>
      <c r="C279" s="42"/>
      <c r="D279" s="62"/>
      <c r="E279" s="63"/>
      <c r="F279" s="63"/>
      <c r="G279" s="63"/>
      <c r="H279" s="63"/>
      <c r="I279" s="63"/>
      <c r="J279" s="63"/>
      <c r="K279" s="47" t="str">
        <f t="shared" si="13"/>
        <v/>
      </c>
    </row>
    <row r="280">
      <c r="A280" s="42" t="s">
        <v>482</v>
      </c>
      <c r="B280" s="48"/>
      <c r="C280" s="42"/>
      <c r="D280" s="62"/>
      <c r="E280" s="63"/>
      <c r="F280" s="63"/>
      <c r="G280" s="63"/>
      <c r="H280" s="63"/>
      <c r="I280" s="63"/>
      <c r="J280" s="63"/>
      <c r="K280" s="47" t="str">
        <f t="shared" si="13"/>
        <v/>
      </c>
    </row>
    <row r="281">
      <c r="A281" s="42" t="s">
        <v>483</v>
      </c>
      <c r="B281" s="48"/>
      <c r="C281" s="42"/>
      <c r="D281" s="62"/>
      <c r="E281" s="63"/>
      <c r="F281" s="63"/>
      <c r="G281" s="63"/>
      <c r="H281" s="63"/>
      <c r="I281" s="63"/>
      <c r="J281" s="63"/>
      <c r="K281" s="47" t="str">
        <f t="shared" si="13"/>
        <v/>
      </c>
    </row>
    <row r="282">
      <c r="A282" s="42" t="s">
        <v>484</v>
      </c>
      <c r="B282" s="48"/>
      <c r="C282" s="42"/>
      <c r="D282" s="62"/>
      <c r="E282" s="63"/>
      <c r="F282" s="63"/>
      <c r="G282" s="63"/>
      <c r="H282" s="63"/>
      <c r="I282" s="63"/>
      <c r="J282" s="63"/>
      <c r="K282" s="47" t="str">
        <f t="shared" si="13"/>
        <v/>
      </c>
    </row>
    <row r="283">
      <c r="A283" s="42" t="s">
        <v>485</v>
      </c>
      <c r="B283" s="48"/>
      <c r="C283" s="42"/>
      <c r="D283" s="62"/>
      <c r="E283" s="63"/>
      <c r="F283" s="63"/>
      <c r="G283" s="63"/>
      <c r="H283" s="63"/>
      <c r="I283" s="63"/>
      <c r="J283" s="63"/>
      <c r="K283" s="47" t="str">
        <f t="shared" si="13"/>
        <v/>
      </c>
    </row>
    <row r="284">
      <c r="A284" s="42" t="s">
        <v>486</v>
      </c>
      <c r="B284" s="48"/>
      <c r="C284" s="42"/>
      <c r="D284" s="62"/>
      <c r="E284" s="63"/>
      <c r="F284" s="63"/>
      <c r="G284" s="63"/>
      <c r="H284" s="63"/>
      <c r="I284" s="63"/>
      <c r="J284" s="63"/>
      <c r="K284" s="47" t="str">
        <f t="shared" si="13"/>
        <v/>
      </c>
    </row>
    <row r="285">
      <c r="A285" s="42" t="s">
        <v>487</v>
      </c>
      <c r="B285" s="48"/>
      <c r="C285" s="42"/>
      <c r="D285" s="62"/>
      <c r="E285" s="63"/>
      <c r="F285" s="63"/>
      <c r="G285" s="63"/>
      <c r="H285" s="63"/>
      <c r="I285" s="63"/>
      <c r="J285" s="63"/>
      <c r="K285" s="47" t="str">
        <f t="shared" si="13"/>
        <v/>
      </c>
    </row>
    <row r="286">
      <c r="A286" s="42" t="s">
        <v>488</v>
      </c>
      <c r="B286" s="48"/>
      <c r="C286" s="42"/>
      <c r="D286" s="62"/>
      <c r="E286" s="63"/>
      <c r="F286" s="63"/>
      <c r="G286" s="63"/>
      <c r="H286" s="63"/>
      <c r="I286" s="63"/>
      <c r="J286" s="63"/>
      <c r="K286" s="47" t="str">
        <f t="shared" si="13"/>
        <v/>
      </c>
    </row>
    <row r="287">
      <c r="A287" s="42" t="s">
        <v>489</v>
      </c>
      <c r="B287" s="48"/>
      <c r="C287" s="42"/>
      <c r="D287" s="62"/>
      <c r="E287" s="63"/>
      <c r="F287" s="63"/>
      <c r="G287" s="63"/>
      <c r="H287" s="63"/>
      <c r="I287" s="63"/>
      <c r="J287" s="63"/>
      <c r="K287" s="47" t="str">
        <f t="shared" si="13"/>
        <v/>
      </c>
    </row>
    <row r="288">
      <c r="A288" s="42" t="s">
        <v>490</v>
      </c>
      <c r="B288" s="48"/>
      <c r="C288" s="42"/>
      <c r="D288" s="62"/>
      <c r="E288" s="63"/>
      <c r="F288" s="63"/>
      <c r="G288" s="63"/>
      <c r="H288" s="63"/>
      <c r="I288" s="63"/>
      <c r="J288" s="63"/>
      <c r="K288" s="47" t="str">
        <f t="shared" si="13"/>
        <v/>
      </c>
    </row>
    <row r="289">
      <c r="A289" s="42" t="s">
        <v>491</v>
      </c>
      <c r="B289" s="48"/>
      <c r="C289" s="42"/>
      <c r="D289" s="62"/>
      <c r="E289" s="63"/>
      <c r="F289" s="63"/>
      <c r="G289" s="63"/>
      <c r="H289" s="63"/>
      <c r="I289" s="63"/>
      <c r="J289" s="63"/>
      <c r="K289" s="47" t="str">
        <f t="shared" si="13"/>
        <v/>
      </c>
    </row>
    <row r="290">
      <c r="A290" s="42" t="s">
        <v>492</v>
      </c>
      <c r="B290" s="48"/>
      <c r="C290" s="42"/>
      <c r="D290" s="62"/>
      <c r="E290" s="63"/>
      <c r="F290" s="63"/>
      <c r="G290" s="63"/>
      <c r="H290" s="63"/>
      <c r="I290" s="63"/>
      <c r="J290" s="63"/>
      <c r="K290" s="47" t="str">
        <f t="shared" si="13"/>
        <v/>
      </c>
    </row>
    <row r="291">
      <c r="A291" s="42" t="s">
        <v>493</v>
      </c>
      <c r="B291" s="48"/>
      <c r="C291" s="42"/>
      <c r="D291" s="62"/>
      <c r="E291" s="63"/>
      <c r="F291" s="63"/>
      <c r="G291" s="63"/>
      <c r="H291" s="63"/>
      <c r="I291" s="63"/>
      <c r="J291" s="63"/>
      <c r="K291" s="47" t="str">
        <f t="shared" si="13"/>
        <v/>
      </c>
    </row>
    <row r="292">
      <c r="A292" s="42" t="s">
        <v>494</v>
      </c>
      <c r="B292" s="48"/>
      <c r="C292" s="42"/>
      <c r="D292" s="62"/>
      <c r="E292" s="63"/>
      <c r="F292" s="63"/>
      <c r="G292" s="63"/>
      <c r="H292" s="63"/>
      <c r="I292" s="63"/>
      <c r="J292" s="63"/>
      <c r="K292" s="47" t="str">
        <f t="shared" si="13"/>
        <v/>
      </c>
    </row>
    <row r="293">
      <c r="A293" s="42" t="s">
        <v>495</v>
      </c>
      <c r="B293" s="48"/>
      <c r="C293" s="42"/>
      <c r="D293" s="62"/>
      <c r="E293" s="63"/>
      <c r="F293" s="63"/>
      <c r="G293" s="63"/>
      <c r="H293" s="63"/>
      <c r="I293" s="63"/>
      <c r="J293" s="63"/>
      <c r="K293" s="47" t="str">
        <f t="shared" si="13"/>
        <v/>
      </c>
    </row>
    <row r="294">
      <c r="A294" s="42" t="s">
        <v>496</v>
      </c>
      <c r="B294" s="48"/>
      <c r="C294" s="42"/>
      <c r="D294" s="62"/>
      <c r="E294" s="63"/>
      <c r="F294" s="63"/>
      <c r="G294" s="63"/>
      <c r="H294" s="63"/>
      <c r="I294" s="63"/>
      <c r="J294" s="63"/>
      <c r="K294" s="47" t="str">
        <f t="shared" si="13"/>
        <v/>
      </c>
    </row>
    <row r="295">
      <c r="A295" s="42" t="s">
        <v>497</v>
      </c>
      <c r="B295" s="48"/>
      <c r="C295" s="42"/>
      <c r="D295" s="62"/>
      <c r="E295" s="63"/>
      <c r="F295" s="63"/>
      <c r="G295" s="63"/>
      <c r="H295" s="63"/>
      <c r="I295" s="63"/>
      <c r="J295" s="63"/>
      <c r="K295" s="47" t="str">
        <f t="shared" si="13"/>
        <v/>
      </c>
    </row>
    <row r="296">
      <c r="A296" s="42" t="s">
        <v>498</v>
      </c>
      <c r="B296" s="48"/>
      <c r="C296" s="42"/>
      <c r="D296" s="62"/>
      <c r="E296" s="63"/>
      <c r="F296" s="63"/>
      <c r="G296" s="63"/>
      <c r="H296" s="63"/>
      <c r="I296" s="63"/>
      <c r="J296" s="63"/>
      <c r="K296" s="47" t="str">
        <f t="shared" si="13"/>
        <v/>
      </c>
    </row>
    <row r="297">
      <c r="A297" s="42" t="s">
        <v>499</v>
      </c>
      <c r="B297" s="48"/>
      <c r="C297" s="42"/>
      <c r="D297" s="62"/>
      <c r="E297" s="63"/>
      <c r="F297" s="63"/>
      <c r="G297" s="63"/>
      <c r="H297" s="63"/>
      <c r="I297" s="63"/>
      <c r="J297" s="63"/>
      <c r="K297" s="47" t="str">
        <f t="shared" si="13"/>
        <v/>
      </c>
    </row>
    <row r="298">
      <c r="A298" s="42" t="s">
        <v>500</v>
      </c>
      <c r="B298" s="48"/>
      <c r="C298" s="42"/>
      <c r="D298" s="62"/>
      <c r="E298" s="63"/>
      <c r="F298" s="63"/>
      <c r="G298" s="63"/>
      <c r="H298" s="63"/>
      <c r="I298" s="63"/>
      <c r="J298" s="63"/>
      <c r="K298" s="47" t="str">
        <f t="shared" si="13"/>
        <v/>
      </c>
    </row>
    <row r="299">
      <c r="A299" s="42" t="s">
        <v>501</v>
      </c>
      <c r="B299" s="48"/>
      <c r="C299" s="42"/>
      <c r="D299" s="62"/>
      <c r="E299" s="63"/>
      <c r="F299" s="63"/>
      <c r="G299" s="63"/>
      <c r="H299" s="63"/>
      <c r="I299" s="63"/>
      <c r="J299" s="63"/>
      <c r="K299" s="47" t="str">
        <f t="shared" si="13"/>
        <v/>
      </c>
    </row>
    <row r="300">
      <c r="A300" s="42" t="s">
        <v>502</v>
      </c>
      <c r="B300" s="48"/>
      <c r="C300" s="42"/>
      <c r="D300" s="62"/>
      <c r="E300" s="63"/>
      <c r="F300" s="63"/>
      <c r="G300" s="63"/>
      <c r="H300" s="63"/>
      <c r="I300" s="63"/>
      <c r="J300" s="63"/>
      <c r="K300" s="47" t="str">
        <f t="shared" si="13"/>
        <v/>
      </c>
    </row>
    <row r="301">
      <c r="A301" s="42" t="s">
        <v>503</v>
      </c>
      <c r="B301" s="48"/>
      <c r="C301" s="42"/>
      <c r="D301" s="62"/>
      <c r="E301" s="63"/>
      <c r="F301" s="63"/>
      <c r="G301" s="63"/>
      <c r="H301" s="63"/>
      <c r="I301" s="63"/>
      <c r="J301" s="63"/>
      <c r="K301" s="47" t="str">
        <f t="shared" si="13"/>
        <v/>
      </c>
    </row>
    <row r="302">
      <c r="A302" s="42" t="s">
        <v>504</v>
      </c>
      <c r="B302" s="48"/>
      <c r="C302" s="42"/>
      <c r="D302" s="62"/>
      <c r="E302" s="63"/>
      <c r="F302" s="63"/>
      <c r="G302" s="63"/>
      <c r="H302" s="63"/>
      <c r="I302" s="63"/>
      <c r="J302" s="63"/>
      <c r="K302" s="47" t="str">
        <f t="shared" si="13"/>
        <v/>
      </c>
    </row>
    <row r="303">
      <c r="A303" s="42" t="s">
        <v>505</v>
      </c>
      <c r="B303" s="48"/>
      <c r="C303" s="42"/>
      <c r="D303" s="62"/>
      <c r="E303" s="63"/>
      <c r="F303" s="63"/>
      <c r="G303" s="63"/>
      <c r="H303" s="63"/>
      <c r="I303" s="63"/>
      <c r="J303" s="63"/>
      <c r="K303" s="47" t="str">
        <f t="shared" si="13"/>
        <v/>
      </c>
    </row>
    <row r="304">
      <c r="A304" s="42" t="s">
        <v>506</v>
      </c>
      <c r="B304" s="48"/>
      <c r="C304" s="42"/>
      <c r="D304" s="62"/>
      <c r="E304" s="63"/>
      <c r="F304" s="63"/>
      <c r="G304" s="63"/>
      <c r="H304" s="63"/>
      <c r="I304" s="63"/>
      <c r="J304" s="63"/>
      <c r="K304" s="47" t="str">
        <f t="shared" si="13"/>
        <v/>
      </c>
    </row>
    <row r="305">
      <c r="A305" s="42" t="s">
        <v>507</v>
      </c>
      <c r="B305" s="48"/>
      <c r="C305" s="42"/>
      <c r="D305" s="62"/>
      <c r="E305" s="63"/>
      <c r="F305" s="63"/>
      <c r="G305" s="63"/>
      <c r="H305" s="63"/>
      <c r="I305" s="63"/>
      <c r="J305" s="63"/>
      <c r="K305" s="47" t="str">
        <f t="shared" si="13"/>
        <v/>
      </c>
    </row>
    <row r="306">
      <c r="A306" s="42" t="s">
        <v>508</v>
      </c>
      <c r="B306" s="48"/>
      <c r="C306" s="42"/>
      <c r="D306" s="62"/>
      <c r="E306" s="63"/>
      <c r="F306" s="63"/>
      <c r="G306" s="63"/>
      <c r="H306" s="63"/>
      <c r="I306" s="63"/>
      <c r="J306" s="63"/>
      <c r="K306" s="47" t="str">
        <f t="shared" si="13"/>
        <v/>
      </c>
    </row>
    <row r="307">
      <c r="A307" s="42" t="s">
        <v>509</v>
      </c>
      <c r="B307" s="48"/>
      <c r="C307" s="42"/>
      <c r="D307" s="62"/>
      <c r="E307" s="63"/>
      <c r="F307" s="63"/>
      <c r="G307" s="63"/>
      <c r="H307" s="63"/>
      <c r="I307" s="63"/>
      <c r="J307" s="63"/>
      <c r="K307" s="47" t="str">
        <f t="shared" si="13"/>
        <v/>
      </c>
    </row>
    <row r="308">
      <c r="A308" s="42" t="s">
        <v>510</v>
      </c>
      <c r="B308" s="48"/>
      <c r="C308" s="42"/>
      <c r="D308" s="62"/>
      <c r="E308" s="63"/>
      <c r="F308" s="63"/>
      <c r="G308" s="63"/>
      <c r="H308" s="63"/>
      <c r="I308" s="63"/>
      <c r="J308" s="63"/>
      <c r="K308" s="47" t="str">
        <f t="shared" si="13"/>
        <v/>
      </c>
    </row>
    <row r="309">
      <c r="A309" s="42" t="s">
        <v>511</v>
      </c>
      <c r="B309" s="48"/>
      <c r="C309" s="42"/>
      <c r="D309" s="62"/>
      <c r="E309" s="63"/>
      <c r="F309" s="63"/>
      <c r="G309" s="63"/>
      <c r="H309" s="63"/>
      <c r="I309" s="63"/>
      <c r="J309" s="63"/>
      <c r="K309" s="47" t="str">
        <f t="shared" si="13"/>
        <v/>
      </c>
    </row>
    <row r="310">
      <c r="A310" s="42" t="s">
        <v>512</v>
      </c>
      <c r="B310" s="48"/>
      <c r="C310" s="42"/>
      <c r="D310" s="62"/>
      <c r="E310" s="63"/>
      <c r="F310" s="63"/>
      <c r="G310" s="63"/>
      <c r="H310" s="63"/>
      <c r="I310" s="63"/>
      <c r="J310" s="63"/>
      <c r="K310" s="47" t="str">
        <f t="shared" si="13"/>
        <v/>
      </c>
    </row>
    <row r="311">
      <c r="A311" s="42" t="s">
        <v>513</v>
      </c>
      <c r="B311" s="48"/>
      <c r="C311" s="42"/>
      <c r="D311" s="62"/>
      <c r="E311" s="63"/>
      <c r="F311" s="63"/>
      <c r="G311" s="63"/>
      <c r="H311" s="63"/>
      <c r="I311" s="63"/>
      <c r="J311" s="63"/>
      <c r="K311" s="47" t="str">
        <f t="shared" si="13"/>
        <v/>
      </c>
    </row>
    <row r="312">
      <c r="A312" s="42" t="s">
        <v>514</v>
      </c>
      <c r="B312" s="48"/>
      <c r="C312" s="42"/>
      <c r="D312" s="62"/>
      <c r="E312" s="63"/>
      <c r="F312" s="63"/>
      <c r="G312" s="63"/>
      <c r="H312" s="63"/>
      <c r="I312" s="63"/>
      <c r="J312" s="63"/>
      <c r="K312" s="47" t="str">
        <f t="shared" si="13"/>
        <v/>
      </c>
    </row>
    <row r="313">
      <c r="A313" s="42" t="s">
        <v>515</v>
      </c>
      <c r="B313" s="48"/>
      <c r="C313" s="42"/>
      <c r="D313" s="62"/>
      <c r="E313" s="63"/>
      <c r="F313" s="63"/>
      <c r="G313" s="63"/>
      <c r="H313" s="63"/>
      <c r="I313" s="63"/>
      <c r="J313" s="63"/>
      <c r="K313" s="47" t="str">
        <f t="shared" si="13"/>
        <v/>
      </c>
    </row>
    <row r="314">
      <c r="A314" s="42" t="s">
        <v>516</v>
      </c>
      <c r="B314" s="48"/>
      <c r="C314" s="42"/>
      <c r="D314" s="62"/>
      <c r="E314" s="63"/>
      <c r="F314" s="63"/>
      <c r="G314" s="63"/>
      <c r="H314" s="63"/>
      <c r="I314" s="63"/>
      <c r="J314" s="63"/>
      <c r="K314" s="47" t="str">
        <f t="shared" si="13"/>
        <v/>
      </c>
    </row>
    <row r="315">
      <c r="A315" s="42" t="s">
        <v>517</v>
      </c>
      <c r="B315" s="48"/>
      <c r="C315" s="42"/>
      <c r="D315" s="62"/>
      <c r="E315" s="63"/>
      <c r="F315" s="63"/>
      <c r="G315" s="63"/>
      <c r="H315" s="63"/>
      <c r="I315" s="63"/>
      <c r="J315" s="63"/>
      <c r="K315" s="47" t="str">
        <f t="shared" si="13"/>
        <v/>
      </c>
    </row>
    <row r="316">
      <c r="A316" s="42" t="s">
        <v>518</v>
      </c>
      <c r="B316" s="48"/>
      <c r="C316" s="42"/>
      <c r="D316" s="62"/>
      <c r="E316" s="63"/>
      <c r="F316" s="63"/>
      <c r="G316" s="63"/>
      <c r="H316" s="63"/>
      <c r="I316" s="63"/>
      <c r="J316" s="63"/>
      <c r="K316" s="47" t="str">
        <f t="shared" si="13"/>
        <v/>
      </c>
    </row>
    <row r="317">
      <c r="A317" s="42" t="s">
        <v>519</v>
      </c>
      <c r="B317" s="48"/>
      <c r="C317" s="42"/>
      <c r="D317" s="62"/>
      <c r="E317" s="63"/>
      <c r="F317" s="63"/>
      <c r="G317" s="63"/>
      <c r="H317" s="63"/>
      <c r="I317" s="63"/>
      <c r="J317" s="63"/>
      <c r="K317" s="47" t="str">
        <f t="shared" si="13"/>
        <v/>
      </c>
    </row>
    <row r="318">
      <c r="A318" s="42" t="s">
        <v>520</v>
      </c>
      <c r="B318" s="48"/>
      <c r="C318" s="42"/>
      <c r="D318" s="62"/>
      <c r="E318" s="63"/>
      <c r="F318" s="63"/>
      <c r="G318" s="63"/>
      <c r="H318" s="63"/>
      <c r="I318" s="63"/>
      <c r="J318" s="63"/>
      <c r="K318" s="47" t="str">
        <f t="shared" si="13"/>
        <v/>
      </c>
    </row>
    <row r="319">
      <c r="A319" s="42" t="s">
        <v>521</v>
      </c>
      <c r="B319" s="48"/>
      <c r="C319" s="42"/>
      <c r="D319" s="62"/>
      <c r="E319" s="63"/>
      <c r="F319" s="63"/>
      <c r="G319" s="63"/>
      <c r="H319" s="63"/>
      <c r="I319" s="63"/>
      <c r="J319" s="63"/>
      <c r="K319" s="47" t="str">
        <f t="shared" si="13"/>
        <v/>
      </c>
    </row>
    <row r="320">
      <c r="A320" s="42" t="s">
        <v>522</v>
      </c>
      <c r="B320" s="48"/>
      <c r="C320" s="42"/>
      <c r="D320" s="62"/>
      <c r="E320" s="63"/>
      <c r="F320" s="63"/>
      <c r="G320" s="63"/>
      <c r="H320" s="63"/>
      <c r="I320" s="63"/>
      <c r="J320" s="63"/>
      <c r="K320" s="47" t="str">
        <f t="shared" si="13"/>
        <v/>
      </c>
    </row>
    <row r="321">
      <c r="A321" s="42" t="s">
        <v>523</v>
      </c>
      <c r="B321" s="48"/>
      <c r="C321" s="42"/>
      <c r="D321" s="62"/>
      <c r="E321" s="63"/>
      <c r="F321" s="63"/>
      <c r="G321" s="63"/>
      <c r="H321" s="63"/>
      <c r="I321" s="63"/>
      <c r="J321" s="63"/>
      <c r="K321" s="47" t="str">
        <f t="shared" si="13"/>
        <v/>
      </c>
    </row>
    <row r="322">
      <c r="A322" s="42" t="s">
        <v>524</v>
      </c>
      <c r="B322" s="48"/>
      <c r="C322" s="42"/>
      <c r="D322" s="62"/>
      <c r="E322" s="63"/>
      <c r="F322" s="63"/>
      <c r="G322" s="63"/>
      <c r="H322" s="63"/>
      <c r="I322" s="63"/>
      <c r="J322" s="63"/>
      <c r="K322" s="47" t="str">
        <f t="shared" si="13"/>
        <v/>
      </c>
    </row>
    <row r="323">
      <c r="A323" s="42" t="s">
        <v>525</v>
      </c>
      <c r="B323" s="48"/>
      <c r="C323" s="42"/>
      <c r="D323" s="62"/>
      <c r="E323" s="63"/>
      <c r="F323" s="63"/>
      <c r="G323" s="63"/>
      <c r="H323" s="63"/>
      <c r="I323" s="63"/>
      <c r="J323" s="63"/>
      <c r="K323" s="47" t="str">
        <f t="shared" si="13"/>
        <v/>
      </c>
    </row>
    <row r="324">
      <c r="A324" s="42" t="s">
        <v>526</v>
      </c>
      <c r="B324" s="48"/>
      <c r="C324" s="42"/>
      <c r="D324" s="62"/>
      <c r="E324" s="63"/>
      <c r="F324" s="63"/>
      <c r="G324" s="63"/>
      <c r="H324" s="63"/>
      <c r="I324" s="63"/>
      <c r="J324" s="63"/>
      <c r="K324" s="47" t="str">
        <f t="shared" si="13"/>
        <v/>
      </c>
    </row>
    <row r="325">
      <c r="A325" s="42" t="s">
        <v>527</v>
      </c>
      <c r="B325" s="48"/>
      <c r="C325" s="42"/>
      <c r="D325" s="62"/>
      <c r="E325" s="63"/>
      <c r="F325" s="63"/>
      <c r="G325" s="63"/>
      <c r="H325" s="63"/>
      <c r="I325" s="63"/>
      <c r="J325" s="63"/>
      <c r="K325" s="47" t="str">
        <f t="shared" si="13"/>
        <v/>
      </c>
    </row>
    <row r="326">
      <c r="A326" s="42" t="s">
        <v>528</v>
      </c>
      <c r="B326" s="48"/>
      <c r="C326" s="42"/>
      <c r="D326" s="62"/>
      <c r="E326" s="63"/>
      <c r="F326" s="63"/>
      <c r="G326" s="63"/>
      <c r="H326" s="63"/>
      <c r="I326" s="63"/>
      <c r="J326" s="63"/>
      <c r="K326" s="47" t="str">
        <f t="shared" si="13"/>
        <v/>
      </c>
    </row>
    <row r="327">
      <c r="A327" s="42" t="s">
        <v>529</v>
      </c>
      <c r="B327" s="48"/>
      <c r="C327" s="42"/>
      <c r="D327" s="62"/>
      <c r="E327" s="63"/>
      <c r="F327" s="63"/>
      <c r="G327" s="63"/>
      <c r="H327" s="63"/>
      <c r="I327" s="63"/>
      <c r="J327" s="63"/>
      <c r="K327" s="47" t="str">
        <f t="shared" si="13"/>
        <v/>
      </c>
    </row>
    <row r="328">
      <c r="A328" s="42" t="s">
        <v>530</v>
      </c>
      <c r="B328" s="48"/>
      <c r="C328" s="42"/>
      <c r="D328" s="62"/>
      <c r="E328" s="63"/>
      <c r="F328" s="63"/>
      <c r="G328" s="63"/>
      <c r="H328" s="63"/>
      <c r="I328" s="63"/>
      <c r="J328" s="63"/>
      <c r="K328" s="47" t="str">
        <f t="shared" si="13"/>
        <v/>
      </c>
    </row>
    <row r="329">
      <c r="A329" s="42" t="s">
        <v>531</v>
      </c>
      <c r="B329" s="48"/>
      <c r="C329" s="42"/>
      <c r="D329" s="62"/>
      <c r="E329" s="63"/>
      <c r="F329" s="63"/>
      <c r="G329" s="63"/>
      <c r="H329" s="63"/>
      <c r="I329" s="63"/>
      <c r="J329" s="63"/>
      <c r="K329" s="47" t="str">
        <f t="shared" si="13"/>
        <v/>
      </c>
    </row>
    <row r="330">
      <c r="A330" s="42" t="s">
        <v>532</v>
      </c>
      <c r="B330" s="48"/>
      <c r="C330" s="42"/>
      <c r="D330" s="62"/>
      <c r="E330" s="63"/>
      <c r="F330" s="63"/>
      <c r="G330" s="63"/>
      <c r="H330" s="63"/>
      <c r="I330" s="63"/>
      <c r="J330" s="63"/>
      <c r="K330" s="47" t="str">
        <f t="shared" si="13"/>
        <v/>
      </c>
    </row>
    <row r="331">
      <c r="A331" s="42" t="s">
        <v>533</v>
      </c>
      <c r="B331" s="48"/>
      <c r="C331" s="42"/>
      <c r="D331" s="62"/>
      <c r="E331" s="63"/>
      <c r="F331" s="63"/>
      <c r="G331" s="63"/>
      <c r="H331" s="63"/>
      <c r="I331" s="63"/>
      <c r="J331" s="63"/>
      <c r="K331" s="47" t="str">
        <f t="shared" si="13"/>
        <v/>
      </c>
    </row>
    <row r="332">
      <c r="A332" s="42" t="s">
        <v>534</v>
      </c>
      <c r="B332" s="48"/>
      <c r="C332" s="42"/>
      <c r="D332" s="62"/>
      <c r="E332" s="63"/>
      <c r="F332" s="63"/>
      <c r="G332" s="63"/>
      <c r="H332" s="63"/>
      <c r="I332" s="63"/>
      <c r="J332" s="63"/>
      <c r="K332" s="47" t="str">
        <f t="shared" si="13"/>
        <v/>
      </c>
    </row>
    <row r="333">
      <c r="A333" s="42" t="s">
        <v>535</v>
      </c>
      <c r="B333" s="48"/>
      <c r="C333" s="42"/>
      <c r="D333" s="62"/>
      <c r="E333" s="63"/>
      <c r="F333" s="63"/>
      <c r="G333" s="63"/>
      <c r="H333" s="63"/>
      <c r="I333" s="63"/>
      <c r="J333" s="63"/>
      <c r="K333" s="47" t="str">
        <f t="shared" si="13"/>
        <v/>
      </c>
    </row>
    <row r="334">
      <c r="A334" s="42" t="s">
        <v>536</v>
      </c>
      <c r="B334" s="48"/>
      <c r="C334" s="42"/>
      <c r="D334" s="62"/>
      <c r="E334" s="63"/>
      <c r="F334" s="63"/>
      <c r="G334" s="63"/>
      <c r="H334" s="63"/>
      <c r="I334" s="63"/>
      <c r="J334" s="63"/>
      <c r="K334" s="47" t="str">
        <f t="shared" si="13"/>
        <v/>
      </c>
    </row>
    <row r="335">
      <c r="A335" s="42" t="s">
        <v>537</v>
      </c>
      <c r="B335" s="48"/>
      <c r="C335" s="42"/>
      <c r="D335" s="62"/>
      <c r="E335" s="63"/>
      <c r="F335" s="63"/>
      <c r="G335" s="63"/>
      <c r="H335" s="63"/>
      <c r="I335" s="63"/>
      <c r="J335" s="63"/>
      <c r="K335" s="47" t="str">
        <f t="shared" si="13"/>
        <v/>
      </c>
    </row>
    <row r="336">
      <c r="A336" s="42" t="s">
        <v>538</v>
      </c>
      <c r="B336" s="48"/>
      <c r="C336" s="42"/>
      <c r="D336" s="62"/>
      <c r="E336" s="63"/>
      <c r="F336" s="63"/>
      <c r="G336" s="63"/>
      <c r="H336" s="63"/>
      <c r="I336" s="63"/>
      <c r="J336" s="63"/>
      <c r="K336" s="47" t="str">
        <f t="shared" si="13"/>
        <v/>
      </c>
    </row>
    <row r="337">
      <c r="A337" s="42" t="s">
        <v>539</v>
      </c>
      <c r="B337" s="48"/>
      <c r="C337" s="42"/>
      <c r="D337" s="62"/>
      <c r="E337" s="63"/>
      <c r="F337" s="63"/>
      <c r="G337" s="63"/>
      <c r="H337" s="63"/>
      <c r="I337" s="63"/>
      <c r="J337" s="63"/>
      <c r="K337" s="47" t="str">
        <f t="shared" si="13"/>
        <v/>
      </c>
    </row>
    <row r="338">
      <c r="A338" s="42" t="s">
        <v>540</v>
      </c>
      <c r="B338" s="48"/>
      <c r="C338" s="42"/>
      <c r="D338" s="62"/>
      <c r="E338" s="63"/>
      <c r="F338" s="63"/>
      <c r="G338" s="63"/>
      <c r="H338" s="63"/>
      <c r="I338" s="63"/>
      <c r="J338" s="63"/>
      <c r="K338" s="47" t="str">
        <f t="shared" si="13"/>
        <v/>
      </c>
    </row>
    <row r="339">
      <c r="A339" s="42" t="s">
        <v>541</v>
      </c>
      <c r="B339" s="48"/>
      <c r="C339" s="42"/>
      <c r="D339" s="62"/>
      <c r="E339" s="63"/>
      <c r="F339" s="63"/>
      <c r="G339" s="63"/>
      <c r="H339" s="63"/>
      <c r="I339" s="63"/>
      <c r="J339" s="63"/>
      <c r="K339" s="47" t="str">
        <f t="shared" si="13"/>
        <v/>
      </c>
    </row>
    <row r="340">
      <c r="A340" s="42" t="s">
        <v>542</v>
      </c>
      <c r="B340" s="48"/>
      <c r="C340" s="42"/>
      <c r="D340" s="62"/>
      <c r="E340" s="63"/>
      <c r="F340" s="63"/>
      <c r="G340" s="63"/>
      <c r="H340" s="63"/>
      <c r="I340" s="63"/>
      <c r="J340" s="63"/>
      <c r="K340" s="47" t="str">
        <f t="shared" si="13"/>
        <v/>
      </c>
    </row>
    <row r="341">
      <c r="A341" s="42" t="s">
        <v>543</v>
      </c>
      <c r="B341" s="48"/>
      <c r="C341" s="42"/>
      <c r="D341" s="62"/>
      <c r="E341" s="63"/>
      <c r="F341" s="63"/>
      <c r="G341" s="63"/>
      <c r="H341" s="63"/>
      <c r="I341" s="63"/>
      <c r="J341" s="63"/>
      <c r="K341" s="47" t="str">
        <f t="shared" si="13"/>
        <v/>
      </c>
    </row>
    <row r="342">
      <c r="A342" s="42" t="s">
        <v>544</v>
      </c>
      <c r="B342" s="48"/>
      <c r="C342" s="42"/>
      <c r="D342" s="62"/>
      <c r="E342" s="63"/>
      <c r="F342" s="63"/>
      <c r="G342" s="63"/>
      <c r="H342" s="63"/>
      <c r="I342" s="63"/>
      <c r="J342" s="63"/>
      <c r="K342" s="47" t="str">
        <f t="shared" si="13"/>
        <v/>
      </c>
    </row>
    <row r="343">
      <c r="A343" s="42" t="s">
        <v>545</v>
      </c>
      <c r="B343" s="48"/>
      <c r="C343" s="42"/>
      <c r="D343" s="62"/>
      <c r="E343" s="63"/>
      <c r="F343" s="63"/>
      <c r="G343" s="63"/>
      <c r="H343" s="63"/>
      <c r="I343" s="63"/>
      <c r="J343" s="63"/>
      <c r="K343" s="47" t="str">
        <f t="shared" si="13"/>
        <v/>
      </c>
    </row>
    <row r="344">
      <c r="A344" s="42" t="s">
        <v>546</v>
      </c>
      <c r="B344" s="48"/>
      <c r="C344" s="42"/>
      <c r="D344" s="62"/>
      <c r="E344" s="63"/>
      <c r="F344" s="63"/>
      <c r="G344" s="63"/>
      <c r="H344" s="63"/>
      <c r="I344" s="63"/>
      <c r="J344" s="63"/>
      <c r="K344" s="47" t="str">
        <f t="shared" si="13"/>
        <v/>
      </c>
    </row>
    <row r="345">
      <c r="A345" s="42" t="s">
        <v>547</v>
      </c>
      <c r="B345" s="48"/>
      <c r="C345" s="42"/>
      <c r="D345" s="62"/>
      <c r="E345" s="63"/>
      <c r="F345" s="63"/>
      <c r="G345" s="63"/>
      <c r="H345" s="63"/>
      <c r="I345" s="63"/>
      <c r="J345" s="63"/>
      <c r="K345" s="47" t="str">
        <f t="shared" si="13"/>
        <v/>
      </c>
    </row>
    <row r="346">
      <c r="A346" s="42" t="s">
        <v>548</v>
      </c>
      <c r="B346" s="48"/>
      <c r="C346" s="42"/>
      <c r="D346" s="62"/>
      <c r="E346" s="63"/>
      <c r="F346" s="63"/>
      <c r="G346" s="63"/>
      <c r="H346" s="63"/>
      <c r="I346" s="63"/>
      <c r="J346" s="63"/>
      <c r="K346" s="47" t="str">
        <f t="shared" si="13"/>
        <v/>
      </c>
    </row>
    <row r="347">
      <c r="A347" s="42" t="s">
        <v>549</v>
      </c>
      <c r="B347" s="48"/>
      <c r="C347" s="42"/>
      <c r="D347" s="62"/>
      <c r="E347" s="63"/>
      <c r="F347" s="63"/>
      <c r="G347" s="63"/>
      <c r="H347" s="63"/>
      <c r="I347" s="63"/>
      <c r="J347" s="63"/>
      <c r="K347" s="47" t="str">
        <f t="shared" si="13"/>
        <v/>
      </c>
    </row>
    <row r="348">
      <c r="A348" s="42" t="s">
        <v>550</v>
      </c>
      <c r="B348" s="48"/>
      <c r="C348" s="42"/>
      <c r="D348" s="62"/>
      <c r="E348" s="63"/>
      <c r="F348" s="63"/>
      <c r="G348" s="63"/>
      <c r="H348" s="63"/>
      <c r="I348" s="63"/>
      <c r="J348" s="63"/>
      <c r="K348" s="47" t="str">
        <f t="shared" si="13"/>
        <v/>
      </c>
    </row>
    <row r="349">
      <c r="A349" s="42" t="s">
        <v>551</v>
      </c>
      <c r="B349" s="48"/>
      <c r="C349" s="42"/>
      <c r="D349" s="62"/>
      <c r="E349" s="63"/>
      <c r="F349" s="63"/>
      <c r="G349" s="63"/>
      <c r="H349" s="63"/>
      <c r="I349" s="63"/>
      <c r="J349" s="63"/>
      <c r="K349" s="47" t="str">
        <f t="shared" si="13"/>
        <v/>
      </c>
    </row>
    <row r="350">
      <c r="A350" s="42" t="s">
        <v>552</v>
      </c>
      <c r="B350" s="48"/>
      <c r="C350" s="42"/>
      <c r="D350" s="62"/>
      <c r="E350" s="63"/>
      <c r="F350" s="63"/>
      <c r="G350" s="63"/>
      <c r="H350" s="63"/>
      <c r="I350" s="63"/>
      <c r="J350" s="63"/>
      <c r="K350" s="47" t="str">
        <f t="shared" si="13"/>
        <v/>
      </c>
    </row>
    <row r="351">
      <c r="A351" s="42" t="s">
        <v>553</v>
      </c>
      <c r="B351" s="48"/>
      <c r="C351" s="42"/>
      <c r="D351" s="62"/>
      <c r="E351" s="63"/>
      <c r="F351" s="63"/>
      <c r="G351" s="63"/>
      <c r="H351" s="63"/>
      <c r="I351" s="63"/>
      <c r="J351" s="63"/>
      <c r="K351" s="47" t="str">
        <f t="shared" si="13"/>
        <v/>
      </c>
    </row>
    <row r="352">
      <c r="A352" s="42" t="s">
        <v>554</v>
      </c>
      <c r="B352" s="48"/>
      <c r="C352" s="42"/>
      <c r="D352" s="62"/>
      <c r="E352" s="63"/>
      <c r="F352" s="63"/>
      <c r="G352" s="63"/>
      <c r="H352" s="63"/>
      <c r="I352" s="63"/>
      <c r="J352" s="63"/>
      <c r="K352" s="47" t="str">
        <f t="shared" si="13"/>
        <v/>
      </c>
    </row>
    <row r="353">
      <c r="A353" s="42" t="s">
        <v>555</v>
      </c>
      <c r="B353" s="48"/>
      <c r="C353" s="42"/>
      <c r="D353" s="62"/>
      <c r="E353" s="63"/>
      <c r="F353" s="63"/>
      <c r="G353" s="63"/>
      <c r="H353" s="63"/>
      <c r="I353" s="63"/>
      <c r="J353" s="63"/>
      <c r="K353" s="47" t="str">
        <f t="shared" si="13"/>
        <v/>
      </c>
    </row>
    <row r="354">
      <c r="A354" s="42" t="s">
        <v>556</v>
      </c>
      <c r="B354" s="48"/>
      <c r="C354" s="42"/>
      <c r="D354" s="62"/>
      <c r="E354" s="63"/>
      <c r="F354" s="63"/>
      <c r="G354" s="63"/>
      <c r="H354" s="63"/>
      <c r="I354" s="63"/>
      <c r="J354" s="63"/>
      <c r="K354" s="47" t="str">
        <f t="shared" si="13"/>
        <v/>
      </c>
    </row>
    <row r="355">
      <c r="A355" s="42" t="s">
        <v>557</v>
      </c>
      <c r="B355" s="48"/>
      <c r="C355" s="42"/>
      <c r="D355" s="62"/>
      <c r="E355" s="63"/>
      <c r="F355" s="63"/>
      <c r="G355" s="63"/>
      <c r="H355" s="63"/>
      <c r="I355" s="63"/>
      <c r="J355" s="63"/>
      <c r="K355" s="47" t="str">
        <f t="shared" si="13"/>
        <v/>
      </c>
    </row>
    <row r="356">
      <c r="A356" s="42" t="s">
        <v>558</v>
      </c>
      <c r="B356" s="48"/>
      <c r="C356" s="42"/>
      <c r="D356" s="62"/>
      <c r="E356" s="63"/>
      <c r="F356" s="63"/>
      <c r="G356" s="63"/>
      <c r="H356" s="63"/>
      <c r="I356" s="63"/>
      <c r="J356" s="63"/>
      <c r="K356" s="47" t="str">
        <f t="shared" si="13"/>
        <v/>
      </c>
    </row>
    <row r="357">
      <c r="A357" s="42" t="s">
        <v>559</v>
      </c>
      <c r="B357" s="48"/>
      <c r="C357" s="42"/>
      <c r="D357" s="62"/>
      <c r="E357" s="63"/>
      <c r="F357" s="63"/>
      <c r="G357" s="63"/>
      <c r="H357" s="63"/>
      <c r="I357" s="63"/>
      <c r="J357" s="63"/>
      <c r="K357" s="47" t="str">
        <f t="shared" si="13"/>
        <v/>
      </c>
    </row>
    <row r="358">
      <c r="A358" s="42" t="s">
        <v>560</v>
      </c>
      <c r="B358" s="48"/>
      <c r="C358" s="42"/>
      <c r="D358" s="62"/>
      <c r="E358" s="63"/>
      <c r="F358" s="63"/>
      <c r="G358" s="63"/>
      <c r="H358" s="63"/>
      <c r="I358" s="63"/>
      <c r="J358" s="63"/>
      <c r="K358" s="47" t="str">
        <f t="shared" si="13"/>
        <v/>
      </c>
    </row>
    <row r="359">
      <c r="A359" s="42" t="s">
        <v>561</v>
      </c>
      <c r="B359" s="48"/>
      <c r="C359" s="42"/>
      <c r="D359" s="62"/>
      <c r="E359" s="63"/>
      <c r="F359" s="63"/>
      <c r="G359" s="63"/>
      <c r="H359" s="63"/>
      <c r="I359" s="63"/>
      <c r="J359" s="63"/>
      <c r="K359" s="47" t="str">
        <f t="shared" si="13"/>
        <v/>
      </c>
    </row>
    <row r="360">
      <c r="A360" s="42" t="s">
        <v>562</v>
      </c>
      <c r="B360" s="48"/>
      <c r="C360" s="42"/>
      <c r="D360" s="62"/>
      <c r="E360" s="63"/>
      <c r="F360" s="63"/>
      <c r="G360" s="63"/>
      <c r="H360" s="63"/>
      <c r="I360" s="63"/>
      <c r="J360" s="63"/>
      <c r="K360" s="47" t="str">
        <f t="shared" si="13"/>
        <v/>
      </c>
    </row>
    <row r="361">
      <c r="A361" s="42" t="s">
        <v>563</v>
      </c>
      <c r="B361" s="48"/>
      <c r="C361" s="42"/>
      <c r="D361" s="62"/>
      <c r="E361" s="63"/>
      <c r="F361" s="63"/>
      <c r="G361" s="63"/>
      <c r="H361" s="63"/>
      <c r="I361" s="63"/>
      <c r="J361" s="63"/>
      <c r="K361" s="47" t="str">
        <f t="shared" si="13"/>
        <v/>
      </c>
    </row>
    <row r="362">
      <c r="A362" s="42" t="s">
        <v>564</v>
      </c>
      <c r="B362" s="48"/>
      <c r="C362" s="42"/>
      <c r="D362" s="62"/>
      <c r="E362" s="63"/>
      <c r="F362" s="63"/>
      <c r="G362" s="63"/>
      <c r="H362" s="63"/>
      <c r="I362" s="63"/>
      <c r="J362" s="63"/>
      <c r="K362" s="47" t="str">
        <f t="shared" si="13"/>
        <v/>
      </c>
    </row>
    <row r="363">
      <c r="A363" s="42" t="s">
        <v>565</v>
      </c>
      <c r="B363" s="48"/>
      <c r="C363" s="42"/>
      <c r="D363" s="62"/>
      <c r="E363" s="63"/>
      <c r="F363" s="63"/>
      <c r="G363" s="63"/>
      <c r="H363" s="63"/>
      <c r="I363" s="63"/>
      <c r="J363" s="63"/>
      <c r="K363" s="47" t="str">
        <f t="shared" si="13"/>
        <v/>
      </c>
    </row>
    <row r="364">
      <c r="A364" s="42" t="s">
        <v>566</v>
      </c>
      <c r="B364" s="48"/>
      <c r="C364" s="42"/>
      <c r="D364" s="62"/>
      <c r="E364" s="63"/>
      <c r="F364" s="63"/>
      <c r="G364" s="63"/>
      <c r="H364" s="63"/>
      <c r="I364" s="63"/>
      <c r="J364" s="63"/>
      <c r="K364" s="47" t="str">
        <f t="shared" si="13"/>
        <v/>
      </c>
    </row>
    <row r="365">
      <c r="A365" s="42" t="s">
        <v>567</v>
      </c>
      <c r="B365" s="48"/>
      <c r="C365" s="42"/>
      <c r="D365" s="62"/>
      <c r="E365" s="63"/>
      <c r="F365" s="63"/>
      <c r="G365" s="63"/>
      <c r="H365" s="63"/>
      <c r="I365" s="63"/>
      <c r="J365" s="63"/>
      <c r="K365" s="47" t="str">
        <f t="shared" si="13"/>
        <v/>
      </c>
    </row>
    <row r="366">
      <c r="A366" s="42" t="s">
        <v>568</v>
      </c>
      <c r="B366" s="48"/>
      <c r="C366" s="42"/>
      <c r="D366" s="62"/>
      <c r="E366" s="63"/>
      <c r="F366" s="63"/>
      <c r="G366" s="63"/>
      <c r="H366" s="63"/>
      <c r="I366" s="63"/>
      <c r="J366" s="63"/>
      <c r="K366" s="47" t="str">
        <f t="shared" si="13"/>
        <v/>
      </c>
    </row>
    <row r="367">
      <c r="A367" s="42" t="s">
        <v>569</v>
      </c>
      <c r="B367" s="48"/>
      <c r="C367" s="42"/>
      <c r="D367" s="62"/>
      <c r="E367" s="63"/>
      <c r="F367" s="63"/>
      <c r="G367" s="63"/>
      <c r="H367" s="63"/>
      <c r="I367" s="63"/>
      <c r="J367" s="63"/>
      <c r="K367" s="47" t="str">
        <f t="shared" si="13"/>
        <v/>
      </c>
    </row>
    <row r="368">
      <c r="A368" s="42" t="s">
        <v>570</v>
      </c>
      <c r="B368" s="48"/>
      <c r="C368" s="42"/>
      <c r="D368" s="62"/>
      <c r="E368" s="63"/>
      <c r="F368" s="63"/>
      <c r="G368" s="63"/>
      <c r="H368" s="63"/>
      <c r="I368" s="63"/>
      <c r="J368" s="63"/>
      <c r="K368" s="47" t="str">
        <f t="shared" si="13"/>
        <v/>
      </c>
    </row>
    <row r="369">
      <c r="A369" s="42" t="s">
        <v>571</v>
      </c>
      <c r="B369" s="48"/>
      <c r="C369" s="42"/>
      <c r="D369" s="62"/>
      <c r="E369" s="63"/>
      <c r="F369" s="63"/>
      <c r="G369" s="63"/>
      <c r="H369" s="63"/>
      <c r="I369" s="63"/>
      <c r="J369" s="63"/>
      <c r="K369" s="47" t="str">
        <f t="shared" si="13"/>
        <v/>
      </c>
    </row>
    <row r="370">
      <c r="A370" s="42" t="s">
        <v>572</v>
      </c>
      <c r="B370" s="48"/>
      <c r="C370" s="42"/>
      <c r="D370" s="62"/>
      <c r="E370" s="63"/>
      <c r="F370" s="63"/>
      <c r="G370" s="63"/>
      <c r="H370" s="63"/>
      <c r="I370" s="63"/>
      <c r="J370" s="63"/>
      <c r="K370" s="47" t="str">
        <f t="shared" si="13"/>
        <v/>
      </c>
    </row>
    <row r="371">
      <c r="A371" s="42" t="s">
        <v>573</v>
      </c>
      <c r="B371" s="48"/>
      <c r="C371" s="42"/>
      <c r="D371" s="62"/>
      <c r="E371" s="63"/>
      <c r="F371" s="63"/>
      <c r="G371" s="63"/>
      <c r="H371" s="63"/>
      <c r="I371" s="63"/>
      <c r="J371" s="63"/>
      <c r="K371" s="47" t="str">
        <f t="shared" si="13"/>
        <v/>
      </c>
    </row>
    <row r="372">
      <c r="A372" s="42" t="s">
        <v>574</v>
      </c>
      <c r="B372" s="48"/>
      <c r="C372" s="42"/>
      <c r="D372" s="62"/>
      <c r="E372" s="63"/>
      <c r="F372" s="63"/>
      <c r="G372" s="63"/>
      <c r="H372" s="63"/>
      <c r="I372" s="63"/>
      <c r="J372" s="63"/>
      <c r="K372" s="47" t="str">
        <f t="shared" si="13"/>
        <v/>
      </c>
    </row>
    <row r="373">
      <c r="A373" s="42" t="s">
        <v>575</v>
      </c>
      <c r="B373" s="48"/>
      <c r="C373" s="42"/>
      <c r="D373" s="62"/>
      <c r="E373" s="63"/>
      <c r="F373" s="63"/>
      <c r="G373" s="63"/>
      <c r="H373" s="63"/>
      <c r="I373" s="63"/>
      <c r="J373" s="63"/>
      <c r="K373" s="47" t="str">
        <f t="shared" si="13"/>
        <v/>
      </c>
    </row>
    <row r="374">
      <c r="A374" s="42" t="s">
        <v>576</v>
      </c>
      <c r="B374" s="48"/>
      <c r="C374" s="42"/>
      <c r="D374" s="62"/>
      <c r="E374" s="63"/>
      <c r="F374" s="63"/>
      <c r="G374" s="63"/>
      <c r="H374" s="63"/>
      <c r="I374" s="63"/>
      <c r="J374" s="63"/>
      <c r="K374" s="47" t="str">
        <f t="shared" si="13"/>
        <v/>
      </c>
    </row>
    <row r="375">
      <c r="A375" s="42" t="s">
        <v>577</v>
      </c>
      <c r="B375" s="48"/>
      <c r="C375" s="42"/>
      <c r="D375" s="62"/>
      <c r="E375" s="63"/>
      <c r="F375" s="63"/>
      <c r="G375" s="63"/>
      <c r="H375" s="63"/>
      <c r="I375" s="63"/>
      <c r="J375" s="63"/>
      <c r="K375" s="47" t="str">
        <f t="shared" si="13"/>
        <v/>
      </c>
    </row>
    <row r="376">
      <c r="A376" s="42" t="s">
        <v>578</v>
      </c>
      <c r="B376" s="48"/>
      <c r="C376" s="42"/>
      <c r="D376" s="62"/>
      <c r="E376" s="63"/>
      <c r="F376" s="63"/>
      <c r="G376" s="63"/>
      <c r="H376" s="63"/>
      <c r="I376" s="63"/>
      <c r="J376" s="63"/>
      <c r="K376" s="47" t="str">
        <f t="shared" si="13"/>
        <v/>
      </c>
    </row>
    <row r="377">
      <c r="A377" s="42" t="s">
        <v>579</v>
      </c>
      <c r="B377" s="48"/>
      <c r="C377" s="42"/>
      <c r="D377" s="62"/>
      <c r="E377" s="63"/>
      <c r="F377" s="63"/>
      <c r="G377" s="63"/>
      <c r="H377" s="63"/>
      <c r="I377" s="63"/>
      <c r="J377" s="63"/>
      <c r="K377" s="47" t="str">
        <f t="shared" si="13"/>
        <v/>
      </c>
    </row>
    <row r="378">
      <c r="A378" s="42" t="s">
        <v>580</v>
      </c>
      <c r="B378" s="48"/>
      <c r="C378" s="42"/>
      <c r="D378" s="62"/>
      <c r="E378" s="63"/>
      <c r="F378" s="63"/>
      <c r="G378" s="63"/>
      <c r="H378" s="63"/>
      <c r="I378" s="63"/>
      <c r="J378" s="63"/>
      <c r="K378" s="47" t="str">
        <f t="shared" si="13"/>
        <v/>
      </c>
    </row>
    <row r="379">
      <c r="A379" s="42" t="s">
        <v>581</v>
      </c>
      <c r="B379" s="48"/>
      <c r="C379" s="42"/>
      <c r="D379" s="62"/>
      <c r="E379" s="63"/>
      <c r="F379" s="63"/>
      <c r="G379" s="63"/>
      <c r="H379" s="63"/>
      <c r="I379" s="63"/>
      <c r="J379" s="63"/>
      <c r="K379" s="47" t="str">
        <f t="shared" si="13"/>
        <v/>
      </c>
    </row>
    <row r="380">
      <c r="A380" s="42" t="s">
        <v>582</v>
      </c>
      <c r="B380" s="48"/>
      <c r="C380" s="42"/>
      <c r="D380" s="62"/>
      <c r="E380" s="63"/>
      <c r="F380" s="63"/>
      <c r="G380" s="63"/>
      <c r="H380" s="63"/>
      <c r="I380" s="63"/>
      <c r="J380" s="63"/>
      <c r="K380" s="47" t="str">
        <f t="shared" si="13"/>
        <v/>
      </c>
    </row>
    <row r="381">
      <c r="A381" s="42" t="s">
        <v>583</v>
      </c>
      <c r="B381" s="48"/>
      <c r="C381" s="42"/>
      <c r="D381" s="62"/>
      <c r="E381" s="63"/>
      <c r="F381" s="63"/>
      <c r="G381" s="63"/>
      <c r="H381" s="63"/>
      <c r="I381" s="63"/>
      <c r="J381" s="63"/>
      <c r="K381" s="47" t="str">
        <f t="shared" si="13"/>
        <v/>
      </c>
    </row>
    <row r="382">
      <c r="A382" s="42" t="s">
        <v>584</v>
      </c>
      <c r="B382" s="48"/>
      <c r="C382" s="42"/>
      <c r="D382" s="62"/>
      <c r="E382" s="63"/>
      <c r="F382" s="63"/>
      <c r="G382" s="63"/>
      <c r="H382" s="63"/>
      <c r="I382" s="63"/>
      <c r="J382" s="63"/>
      <c r="K382" s="47" t="str">
        <f t="shared" si="13"/>
        <v/>
      </c>
    </row>
    <row r="383">
      <c r="A383" s="42" t="s">
        <v>585</v>
      </c>
      <c r="B383" s="48"/>
      <c r="C383" s="42"/>
      <c r="D383" s="62"/>
      <c r="E383" s="63"/>
      <c r="F383" s="63"/>
      <c r="G383" s="63"/>
      <c r="H383" s="63"/>
      <c r="I383" s="63"/>
      <c r="J383" s="63"/>
      <c r="K383" s="47" t="str">
        <f t="shared" si="13"/>
        <v/>
      </c>
    </row>
    <row r="384">
      <c r="A384" s="42" t="s">
        <v>586</v>
      </c>
      <c r="B384" s="48"/>
      <c r="C384" s="42"/>
      <c r="D384" s="62"/>
      <c r="E384" s="63"/>
      <c r="F384" s="63"/>
      <c r="G384" s="63"/>
      <c r="H384" s="63"/>
      <c r="I384" s="63"/>
      <c r="J384" s="63"/>
      <c r="K384" s="47" t="str">
        <f t="shared" si="13"/>
        <v/>
      </c>
    </row>
    <row r="385">
      <c r="A385" s="42" t="s">
        <v>587</v>
      </c>
      <c r="B385" s="48"/>
      <c r="C385" s="42"/>
      <c r="D385" s="62"/>
      <c r="E385" s="63"/>
      <c r="F385" s="63"/>
      <c r="G385" s="63"/>
      <c r="H385" s="63"/>
      <c r="I385" s="63"/>
      <c r="J385" s="63"/>
      <c r="K385" s="47" t="str">
        <f t="shared" si="13"/>
        <v/>
      </c>
    </row>
    <row r="386">
      <c r="A386" s="42" t="s">
        <v>588</v>
      </c>
      <c r="B386" s="48"/>
      <c r="C386" s="42"/>
      <c r="D386" s="62"/>
      <c r="E386" s="63"/>
      <c r="F386" s="63"/>
      <c r="G386" s="63"/>
      <c r="H386" s="63"/>
      <c r="I386" s="63"/>
      <c r="J386" s="63"/>
      <c r="K386" s="47" t="str">
        <f t="shared" si="13"/>
        <v/>
      </c>
    </row>
    <row r="387">
      <c r="A387" s="42" t="s">
        <v>589</v>
      </c>
      <c r="B387" s="48"/>
      <c r="C387" s="42"/>
      <c r="D387" s="62"/>
      <c r="E387" s="63"/>
      <c r="F387" s="63"/>
      <c r="G387" s="63"/>
      <c r="H387" s="63"/>
      <c r="I387" s="63"/>
      <c r="J387" s="63"/>
      <c r="K387" s="47" t="str">
        <f t="shared" si="13"/>
        <v/>
      </c>
    </row>
    <row r="388">
      <c r="A388" s="42" t="s">
        <v>590</v>
      </c>
      <c r="B388" s="48"/>
      <c r="C388" s="42"/>
      <c r="D388" s="62"/>
      <c r="E388" s="63"/>
      <c r="F388" s="63"/>
      <c r="G388" s="63"/>
      <c r="H388" s="63"/>
      <c r="I388" s="63"/>
      <c r="J388" s="63"/>
      <c r="K388" s="47" t="str">
        <f t="shared" si="13"/>
        <v/>
      </c>
    </row>
    <row r="389">
      <c r="A389" s="42" t="s">
        <v>591</v>
      </c>
      <c r="B389" s="48"/>
      <c r="C389" s="42"/>
      <c r="D389" s="62"/>
      <c r="E389" s="63"/>
      <c r="F389" s="63"/>
      <c r="G389" s="63"/>
      <c r="H389" s="63"/>
      <c r="I389" s="63"/>
      <c r="J389" s="63"/>
      <c r="K389" s="47" t="str">
        <f t="shared" si="13"/>
        <v/>
      </c>
    </row>
    <row r="390">
      <c r="A390" s="42" t="s">
        <v>592</v>
      </c>
      <c r="B390" s="48"/>
      <c r="C390" s="42"/>
      <c r="D390" s="62"/>
      <c r="E390" s="63"/>
      <c r="F390" s="63"/>
      <c r="G390" s="63"/>
      <c r="H390" s="63"/>
      <c r="I390" s="63"/>
      <c r="J390" s="63"/>
      <c r="K390" s="47" t="str">
        <f t="shared" si="13"/>
        <v/>
      </c>
    </row>
    <row r="391">
      <c r="A391" s="42" t="s">
        <v>593</v>
      </c>
      <c r="B391" s="48"/>
      <c r="C391" s="42"/>
      <c r="D391" s="62"/>
      <c r="E391" s="63"/>
      <c r="F391" s="63"/>
      <c r="G391" s="63"/>
      <c r="H391" s="63"/>
      <c r="I391" s="63"/>
      <c r="J391" s="63"/>
      <c r="K391" s="47" t="str">
        <f t="shared" si="13"/>
        <v/>
      </c>
    </row>
    <row r="392">
      <c r="A392" s="42" t="s">
        <v>594</v>
      </c>
      <c r="B392" s="48"/>
      <c r="C392" s="42"/>
      <c r="D392" s="62"/>
      <c r="E392" s="63"/>
      <c r="F392" s="63"/>
      <c r="G392" s="63"/>
      <c r="H392" s="63"/>
      <c r="I392" s="63"/>
      <c r="J392" s="63"/>
      <c r="K392" s="47" t="str">
        <f t="shared" si="13"/>
        <v/>
      </c>
    </row>
    <row r="393">
      <c r="A393" s="42" t="s">
        <v>595</v>
      </c>
      <c r="B393" s="48"/>
      <c r="C393" s="42"/>
      <c r="D393" s="62"/>
      <c r="E393" s="63"/>
      <c r="F393" s="63"/>
      <c r="G393" s="63"/>
      <c r="H393" s="63"/>
      <c r="I393" s="63"/>
      <c r="J393" s="63"/>
      <c r="K393" s="47" t="str">
        <f t="shared" si="13"/>
        <v/>
      </c>
    </row>
    <row r="394">
      <c r="A394" s="42" t="s">
        <v>596</v>
      </c>
      <c r="B394" s="48"/>
      <c r="C394" s="42"/>
      <c r="D394" s="62"/>
      <c r="E394" s="63"/>
      <c r="F394" s="63"/>
      <c r="G394" s="63"/>
      <c r="H394" s="63"/>
      <c r="I394" s="63"/>
      <c r="J394" s="63"/>
      <c r="K394" s="47" t="str">
        <f t="shared" si="13"/>
        <v/>
      </c>
    </row>
    <row r="395">
      <c r="A395" s="42" t="s">
        <v>597</v>
      </c>
      <c r="B395" s="48"/>
      <c r="C395" s="42"/>
      <c r="D395" s="62"/>
      <c r="E395" s="63"/>
      <c r="F395" s="63"/>
      <c r="G395" s="63"/>
      <c r="H395" s="63"/>
      <c r="I395" s="63"/>
      <c r="J395" s="63"/>
      <c r="K395" s="47" t="str">
        <f t="shared" si="13"/>
        <v/>
      </c>
    </row>
    <row r="396">
      <c r="A396" s="42" t="s">
        <v>598</v>
      </c>
      <c r="B396" s="48"/>
      <c r="C396" s="42"/>
      <c r="D396" s="62"/>
      <c r="E396" s="63"/>
      <c r="F396" s="63"/>
      <c r="G396" s="63"/>
      <c r="H396" s="63"/>
      <c r="I396" s="63"/>
      <c r="J396" s="63"/>
      <c r="K396" s="47" t="str">
        <f t="shared" si="13"/>
        <v/>
      </c>
    </row>
    <row r="397">
      <c r="A397" s="42" t="s">
        <v>599</v>
      </c>
      <c r="B397" s="48"/>
      <c r="C397" s="42"/>
      <c r="D397" s="62"/>
      <c r="E397" s="63"/>
      <c r="F397" s="63"/>
      <c r="G397" s="63"/>
      <c r="H397" s="63"/>
      <c r="I397" s="63"/>
      <c r="J397" s="63"/>
      <c r="K397" s="47" t="str">
        <f t="shared" si="13"/>
        <v/>
      </c>
    </row>
    <row r="398">
      <c r="A398" s="42" t="s">
        <v>600</v>
      </c>
      <c r="B398" s="48"/>
      <c r="C398" s="42"/>
      <c r="D398" s="62"/>
      <c r="E398" s="63"/>
      <c r="F398" s="63"/>
      <c r="G398" s="63"/>
      <c r="H398" s="63"/>
      <c r="I398" s="63"/>
      <c r="J398" s="63"/>
      <c r="K398" s="47" t="str">
        <f t="shared" si="13"/>
        <v/>
      </c>
    </row>
    <row r="399">
      <c r="A399" s="42" t="s">
        <v>601</v>
      </c>
      <c r="B399" s="48"/>
      <c r="C399" s="42"/>
      <c r="D399" s="62"/>
      <c r="E399" s="63"/>
      <c r="F399" s="63"/>
      <c r="G399" s="63"/>
      <c r="H399" s="63"/>
      <c r="I399" s="63"/>
      <c r="J399" s="63"/>
      <c r="K399" s="47" t="str">
        <f t="shared" si="13"/>
        <v/>
      </c>
    </row>
    <row r="400">
      <c r="A400" s="42" t="s">
        <v>602</v>
      </c>
      <c r="B400" s="48"/>
      <c r="C400" s="42"/>
      <c r="D400" s="62"/>
      <c r="E400" s="63"/>
      <c r="F400" s="63"/>
      <c r="G400" s="63"/>
      <c r="H400" s="63"/>
      <c r="I400" s="63"/>
      <c r="J400" s="63"/>
      <c r="K400" s="47" t="str">
        <f t="shared" si="13"/>
        <v/>
      </c>
    </row>
    <row r="401">
      <c r="A401" s="42" t="s">
        <v>603</v>
      </c>
      <c r="B401" s="48"/>
      <c r="C401" s="42"/>
      <c r="D401" s="62"/>
      <c r="E401" s="63"/>
      <c r="F401" s="63"/>
      <c r="G401" s="63"/>
      <c r="H401" s="63"/>
      <c r="I401" s="63"/>
      <c r="J401" s="63"/>
      <c r="K401" s="47" t="str">
        <f t="shared" si="13"/>
        <v/>
      </c>
    </row>
    <row r="402">
      <c r="A402" s="42" t="s">
        <v>604</v>
      </c>
      <c r="B402" s="48"/>
      <c r="C402" s="42"/>
      <c r="D402" s="62"/>
      <c r="E402" s="63"/>
      <c r="F402" s="63"/>
      <c r="G402" s="63"/>
      <c r="H402" s="63"/>
      <c r="I402" s="63"/>
      <c r="J402" s="63"/>
      <c r="K402" s="47" t="str">
        <f t="shared" si="13"/>
        <v/>
      </c>
    </row>
    <row r="403">
      <c r="A403" s="42" t="s">
        <v>605</v>
      </c>
      <c r="B403" s="48"/>
      <c r="C403" s="42"/>
      <c r="D403" s="62"/>
      <c r="E403" s="63"/>
      <c r="F403" s="63"/>
      <c r="G403" s="63"/>
      <c r="H403" s="63"/>
      <c r="I403" s="63"/>
      <c r="J403" s="63"/>
      <c r="K403" s="47" t="str">
        <f t="shared" si="13"/>
        <v/>
      </c>
    </row>
    <row r="404">
      <c r="A404" s="42" t="s">
        <v>606</v>
      </c>
      <c r="B404" s="48"/>
      <c r="C404" s="42"/>
      <c r="D404" s="62"/>
      <c r="E404" s="63"/>
      <c r="F404" s="63"/>
      <c r="G404" s="63"/>
      <c r="H404" s="63"/>
      <c r="I404" s="63"/>
      <c r="J404" s="63"/>
      <c r="K404" s="47" t="str">
        <f t="shared" si="13"/>
        <v/>
      </c>
    </row>
    <row r="405">
      <c r="A405" s="42" t="s">
        <v>607</v>
      </c>
      <c r="B405" s="48"/>
      <c r="C405" s="42"/>
      <c r="D405" s="62"/>
      <c r="E405" s="63"/>
      <c r="F405" s="63"/>
      <c r="G405" s="63"/>
      <c r="H405" s="63"/>
      <c r="I405" s="63"/>
      <c r="J405" s="63"/>
      <c r="K405" s="47" t="str">
        <f t="shared" si="13"/>
        <v/>
      </c>
    </row>
    <row r="406">
      <c r="A406" s="42" t="s">
        <v>608</v>
      </c>
      <c r="B406" s="48"/>
      <c r="C406" s="42"/>
      <c r="D406" s="62"/>
      <c r="E406" s="63"/>
      <c r="F406" s="63"/>
      <c r="G406" s="63"/>
      <c r="H406" s="63"/>
      <c r="I406" s="63"/>
      <c r="J406" s="63"/>
      <c r="K406" s="47" t="str">
        <f t="shared" si="13"/>
        <v/>
      </c>
    </row>
    <row r="407">
      <c r="A407" s="42" t="s">
        <v>609</v>
      </c>
      <c r="B407" s="48"/>
      <c r="C407" s="42"/>
      <c r="D407" s="62"/>
      <c r="E407" s="63"/>
      <c r="F407" s="63"/>
      <c r="G407" s="63"/>
      <c r="H407" s="63"/>
      <c r="I407" s="63"/>
      <c r="J407" s="63"/>
      <c r="K407" s="47" t="str">
        <f t="shared" si="13"/>
        <v/>
      </c>
    </row>
    <row r="408">
      <c r="A408" s="42" t="s">
        <v>610</v>
      </c>
      <c r="B408" s="48"/>
      <c r="C408" s="42"/>
      <c r="D408" s="62"/>
      <c r="E408" s="63"/>
      <c r="F408" s="63"/>
      <c r="G408" s="63"/>
      <c r="H408" s="63"/>
      <c r="I408" s="63"/>
      <c r="J408" s="63"/>
      <c r="K408" s="47" t="str">
        <f t="shared" si="13"/>
        <v/>
      </c>
    </row>
    <row r="409">
      <c r="A409" s="42" t="s">
        <v>611</v>
      </c>
      <c r="B409" s="48"/>
      <c r="C409" s="42"/>
      <c r="D409" s="62"/>
      <c r="E409" s="63"/>
      <c r="F409" s="63"/>
      <c r="G409" s="63"/>
      <c r="H409" s="63"/>
      <c r="I409" s="63"/>
      <c r="J409" s="63"/>
      <c r="K409" s="47" t="str">
        <f t="shared" si="13"/>
        <v/>
      </c>
    </row>
    <row r="410">
      <c r="A410" s="42" t="s">
        <v>612</v>
      </c>
      <c r="B410" s="48"/>
      <c r="C410" s="42"/>
      <c r="D410" s="62"/>
      <c r="E410" s="63"/>
      <c r="F410" s="63"/>
      <c r="G410" s="63"/>
      <c r="H410" s="63"/>
      <c r="I410" s="63"/>
      <c r="J410" s="63"/>
      <c r="K410" s="47" t="str">
        <f t="shared" si="13"/>
        <v/>
      </c>
    </row>
    <row r="411">
      <c r="A411" s="42" t="s">
        <v>613</v>
      </c>
      <c r="B411" s="48"/>
      <c r="C411" s="42"/>
      <c r="D411" s="62"/>
      <c r="E411" s="63"/>
      <c r="F411" s="63"/>
      <c r="G411" s="63"/>
      <c r="H411" s="63"/>
      <c r="I411" s="63"/>
      <c r="J411" s="63"/>
      <c r="K411" s="47" t="str">
        <f t="shared" si="13"/>
        <v/>
      </c>
    </row>
    <row r="412">
      <c r="A412" s="42" t="s">
        <v>614</v>
      </c>
      <c r="B412" s="48"/>
      <c r="C412" s="42"/>
      <c r="D412" s="62"/>
      <c r="E412" s="63"/>
      <c r="F412" s="63"/>
      <c r="G412" s="63"/>
      <c r="H412" s="63"/>
      <c r="I412" s="63"/>
      <c r="J412" s="63"/>
      <c r="K412" s="47" t="str">
        <f t="shared" si="13"/>
        <v/>
      </c>
    </row>
    <row r="413">
      <c r="A413" s="42" t="s">
        <v>615</v>
      </c>
      <c r="B413" s="48"/>
      <c r="C413" s="42"/>
      <c r="D413" s="62"/>
      <c r="E413" s="63"/>
      <c r="F413" s="63"/>
      <c r="G413" s="63"/>
      <c r="H413" s="63"/>
      <c r="I413" s="63"/>
      <c r="J413" s="63"/>
      <c r="K413" s="47" t="str">
        <f t="shared" si="13"/>
        <v/>
      </c>
    </row>
    <row r="414">
      <c r="A414" s="42" t="s">
        <v>616</v>
      </c>
      <c r="B414" s="48"/>
      <c r="C414" s="42"/>
      <c r="D414" s="62"/>
      <c r="E414" s="63"/>
      <c r="F414" s="63"/>
      <c r="G414" s="63"/>
      <c r="H414" s="63"/>
      <c r="I414" s="63"/>
      <c r="J414" s="63"/>
      <c r="K414" s="47" t="str">
        <f t="shared" si="13"/>
        <v/>
      </c>
    </row>
    <row r="415">
      <c r="A415" s="42" t="s">
        <v>617</v>
      </c>
      <c r="B415" s="48"/>
      <c r="C415" s="42"/>
      <c r="D415" s="62"/>
      <c r="E415" s="63"/>
      <c r="F415" s="63"/>
      <c r="G415" s="63"/>
      <c r="H415" s="63"/>
      <c r="I415" s="63"/>
      <c r="J415" s="63"/>
      <c r="K415" s="47" t="str">
        <f t="shared" si="13"/>
        <v/>
      </c>
    </row>
    <row r="416">
      <c r="A416" s="42" t="s">
        <v>618</v>
      </c>
      <c r="B416" s="48"/>
      <c r="C416" s="42"/>
      <c r="D416" s="62"/>
      <c r="E416" s="63"/>
      <c r="F416" s="63"/>
      <c r="G416" s="63"/>
      <c r="H416" s="63"/>
      <c r="I416" s="63"/>
      <c r="J416" s="63"/>
      <c r="K416" s="47" t="str">
        <f t="shared" si="13"/>
        <v/>
      </c>
    </row>
    <row r="417">
      <c r="A417" s="42" t="s">
        <v>619</v>
      </c>
      <c r="B417" s="48"/>
      <c r="C417" s="42"/>
      <c r="D417" s="62"/>
      <c r="E417" s="63"/>
      <c r="F417" s="63"/>
      <c r="G417" s="63"/>
      <c r="H417" s="63"/>
      <c r="I417" s="63"/>
      <c r="J417" s="63"/>
      <c r="K417" s="47" t="str">
        <f t="shared" si="13"/>
        <v/>
      </c>
    </row>
    <row r="418">
      <c r="A418" s="42" t="s">
        <v>620</v>
      </c>
      <c r="B418" s="48"/>
      <c r="C418" s="42"/>
      <c r="D418" s="62"/>
      <c r="E418" s="63"/>
      <c r="F418" s="63"/>
      <c r="G418" s="63"/>
      <c r="H418" s="63"/>
      <c r="I418" s="63"/>
      <c r="J418" s="63"/>
      <c r="K418" s="47" t="str">
        <f t="shared" si="13"/>
        <v/>
      </c>
    </row>
    <row r="419">
      <c r="A419" s="42" t="s">
        <v>621</v>
      </c>
      <c r="B419" s="48"/>
      <c r="C419" s="42"/>
      <c r="D419" s="62"/>
      <c r="E419" s="63"/>
      <c r="F419" s="63"/>
      <c r="G419" s="63"/>
      <c r="H419" s="63"/>
      <c r="I419" s="63"/>
      <c r="J419" s="63"/>
      <c r="K419" s="47" t="str">
        <f t="shared" si="13"/>
        <v/>
      </c>
    </row>
    <row r="420">
      <c r="A420" s="42" t="s">
        <v>622</v>
      </c>
      <c r="B420" s="48"/>
      <c r="C420" s="42"/>
      <c r="D420" s="62"/>
      <c r="E420" s="63"/>
      <c r="F420" s="63"/>
      <c r="G420" s="63"/>
      <c r="H420" s="63"/>
      <c r="I420" s="63"/>
      <c r="J420" s="63"/>
      <c r="K420" s="47" t="str">
        <f t="shared" si="13"/>
        <v/>
      </c>
    </row>
    <row r="421">
      <c r="A421" s="42" t="s">
        <v>623</v>
      </c>
      <c r="B421" s="48"/>
      <c r="C421" s="42"/>
      <c r="D421" s="62"/>
      <c r="E421" s="63"/>
      <c r="F421" s="63"/>
      <c r="G421" s="63"/>
      <c r="H421" s="63"/>
      <c r="I421" s="63"/>
      <c r="J421" s="63"/>
      <c r="K421" s="47" t="str">
        <f t="shared" si="13"/>
        <v/>
      </c>
    </row>
    <row r="422">
      <c r="A422" s="42" t="s">
        <v>624</v>
      </c>
      <c r="B422" s="48"/>
      <c r="C422" s="42"/>
      <c r="D422" s="62"/>
      <c r="E422" s="63"/>
      <c r="F422" s="63"/>
      <c r="G422" s="63"/>
      <c r="H422" s="63"/>
      <c r="I422" s="63"/>
      <c r="J422" s="63"/>
      <c r="K422" s="47" t="str">
        <f t="shared" si="13"/>
        <v/>
      </c>
    </row>
    <row r="423">
      <c r="A423" s="42" t="s">
        <v>625</v>
      </c>
      <c r="B423" s="48"/>
      <c r="C423" s="42"/>
      <c r="D423" s="62"/>
      <c r="E423" s="63"/>
      <c r="F423" s="63"/>
      <c r="G423" s="63"/>
      <c r="H423" s="63"/>
      <c r="I423" s="63"/>
      <c r="J423" s="63"/>
      <c r="K423" s="47" t="str">
        <f t="shared" si="13"/>
        <v/>
      </c>
    </row>
    <row r="424">
      <c r="A424" s="42" t="s">
        <v>626</v>
      </c>
      <c r="B424" s="48"/>
      <c r="C424" s="42"/>
      <c r="D424" s="62"/>
      <c r="E424" s="63"/>
      <c r="F424" s="63"/>
      <c r="G424" s="63"/>
      <c r="H424" s="63"/>
      <c r="I424" s="63"/>
      <c r="J424" s="63"/>
      <c r="K424" s="47" t="str">
        <f t="shared" si="13"/>
        <v/>
      </c>
    </row>
    <row r="425">
      <c r="A425" s="42" t="s">
        <v>627</v>
      </c>
      <c r="B425" s="48"/>
      <c r="C425" s="42"/>
      <c r="D425" s="62"/>
      <c r="E425" s="63"/>
      <c r="F425" s="63"/>
      <c r="G425" s="63"/>
      <c r="H425" s="63"/>
      <c r="I425" s="63"/>
      <c r="J425" s="63"/>
      <c r="K425" s="47" t="str">
        <f t="shared" si="13"/>
        <v/>
      </c>
    </row>
    <row r="426">
      <c r="A426" s="42" t="s">
        <v>628</v>
      </c>
      <c r="B426" s="48"/>
      <c r="C426" s="42"/>
      <c r="D426" s="62"/>
      <c r="E426" s="63"/>
      <c r="F426" s="63"/>
      <c r="G426" s="63"/>
      <c r="H426" s="63"/>
      <c r="I426" s="63"/>
      <c r="J426" s="63"/>
      <c r="K426" s="47" t="str">
        <f t="shared" si="13"/>
        <v/>
      </c>
    </row>
    <row r="427">
      <c r="A427" s="42" t="s">
        <v>629</v>
      </c>
      <c r="B427" s="48"/>
      <c r="C427" s="42"/>
      <c r="D427" s="62"/>
      <c r="E427" s="63"/>
      <c r="F427" s="63"/>
      <c r="G427" s="63"/>
      <c r="H427" s="63"/>
      <c r="I427" s="63"/>
      <c r="J427" s="63"/>
      <c r="K427" s="47" t="str">
        <f t="shared" si="13"/>
        <v/>
      </c>
    </row>
    <row r="428">
      <c r="A428" s="42" t="s">
        <v>630</v>
      </c>
      <c r="B428" s="48"/>
      <c r="C428" s="42"/>
      <c r="D428" s="62"/>
      <c r="E428" s="63"/>
      <c r="F428" s="63"/>
      <c r="G428" s="63"/>
      <c r="H428" s="63"/>
      <c r="I428" s="63"/>
      <c r="J428" s="63"/>
      <c r="K428" s="47" t="str">
        <f t="shared" si="13"/>
        <v/>
      </c>
    </row>
    <row r="429">
      <c r="A429" s="42" t="s">
        <v>631</v>
      </c>
      <c r="B429" s="48"/>
      <c r="C429" s="42"/>
      <c r="D429" s="62"/>
      <c r="E429" s="63"/>
      <c r="F429" s="63"/>
      <c r="G429" s="63"/>
      <c r="H429" s="63"/>
      <c r="I429" s="63"/>
      <c r="J429" s="63"/>
      <c r="K429" s="47" t="str">
        <f t="shared" si="13"/>
        <v/>
      </c>
    </row>
    <row r="430">
      <c r="A430" s="42" t="s">
        <v>632</v>
      </c>
      <c r="B430" s="48"/>
      <c r="C430" s="42"/>
      <c r="D430" s="62"/>
      <c r="E430" s="63"/>
      <c r="F430" s="63"/>
      <c r="G430" s="63"/>
      <c r="H430" s="63"/>
      <c r="I430" s="63"/>
      <c r="J430" s="63"/>
      <c r="K430" s="47" t="str">
        <f t="shared" si="13"/>
        <v/>
      </c>
    </row>
    <row r="431">
      <c r="A431" s="42" t="s">
        <v>633</v>
      </c>
      <c r="B431" s="48"/>
      <c r="C431" s="42"/>
      <c r="D431" s="62"/>
      <c r="E431" s="63"/>
      <c r="F431" s="63"/>
      <c r="G431" s="63"/>
      <c r="H431" s="63"/>
      <c r="I431" s="63"/>
      <c r="J431" s="63"/>
      <c r="K431" s="47" t="str">
        <f t="shared" si="13"/>
        <v/>
      </c>
    </row>
    <row r="432">
      <c r="A432" s="42" t="s">
        <v>634</v>
      </c>
      <c r="B432" s="48"/>
      <c r="C432" s="42"/>
      <c r="D432" s="62"/>
      <c r="E432" s="63"/>
      <c r="F432" s="63"/>
      <c r="G432" s="63"/>
      <c r="H432" s="63"/>
      <c r="I432" s="63"/>
      <c r="J432" s="63"/>
      <c r="K432" s="47" t="str">
        <f t="shared" si="13"/>
        <v/>
      </c>
    </row>
    <row r="433">
      <c r="A433" s="42" t="s">
        <v>635</v>
      </c>
      <c r="B433" s="48"/>
      <c r="C433" s="42"/>
      <c r="D433" s="62"/>
      <c r="E433" s="63"/>
      <c r="F433" s="63"/>
      <c r="G433" s="63"/>
      <c r="H433" s="63"/>
      <c r="I433" s="63"/>
      <c r="J433" s="63"/>
      <c r="K433" s="47" t="str">
        <f t="shared" si="13"/>
        <v/>
      </c>
    </row>
    <row r="434">
      <c r="A434" s="42" t="s">
        <v>636</v>
      </c>
      <c r="B434" s="48"/>
      <c r="C434" s="42"/>
      <c r="D434" s="62"/>
      <c r="E434" s="63"/>
      <c r="F434" s="63"/>
      <c r="G434" s="63"/>
      <c r="H434" s="63"/>
      <c r="I434" s="63"/>
      <c r="J434" s="63"/>
      <c r="K434" s="47" t="str">
        <f t="shared" si="13"/>
        <v/>
      </c>
    </row>
    <row r="435">
      <c r="A435" s="42" t="s">
        <v>637</v>
      </c>
      <c r="B435" s="48"/>
      <c r="C435" s="42"/>
      <c r="D435" s="62"/>
      <c r="E435" s="63"/>
      <c r="F435" s="63"/>
      <c r="G435" s="63"/>
      <c r="H435" s="63"/>
      <c r="I435" s="63"/>
      <c r="J435" s="63"/>
      <c r="K435" s="47" t="str">
        <f t="shared" si="13"/>
        <v/>
      </c>
    </row>
    <row r="436">
      <c r="A436" s="42" t="s">
        <v>638</v>
      </c>
      <c r="B436" s="48"/>
      <c r="C436" s="42"/>
      <c r="D436" s="62"/>
      <c r="E436" s="63"/>
      <c r="F436" s="63"/>
      <c r="G436" s="63"/>
      <c r="H436" s="63"/>
      <c r="I436" s="63"/>
      <c r="J436" s="63"/>
      <c r="K436" s="47" t="str">
        <f t="shared" si="13"/>
        <v/>
      </c>
    </row>
    <row r="437">
      <c r="A437" s="42" t="s">
        <v>639</v>
      </c>
      <c r="B437" s="48"/>
      <c r="C437" s="42"/>
      <c r="D437" s="62"/>
      <c r="E437" s="63"/>
      <c r="F437" s="63"/>
      <c r="G437" s="63"/>
      <c r="H437" s="63"/>
      <c r="I437" s="63"/>
      <c r="J437" s="63"/>
      <c r="K437" s="47" t="str">
        <f t="shared" si="13"/>
        <v/>
      </c>
    </row>
    <row r="438">
      <c r="A438" s="42" t="s">
        <v>640</v>
      </c>
      <c r="B438" s="48"/>
      <c r="C438" s="42"/>
      <c r="D438" s="62"/>
      <c r="E438" s="63"/>
      <c r="F438" s="63"/>
      <c r="G438" s="63"/>
      <c r="H438" s="63"/>
      <c r="I438" s="63"/>
      <c r="J438" s="63"/>
      <c r="K438" s="47" t="str">
        <f t="shared" si="13"/>
        <v/>
      </c>
    </row>
    <row r="439">
      <c r="A439" s="42" t="s">
        <v>641</v>
      </c>
      <c r="B439" s="48"/>
      <c r="C439" s="42"/>
      <c r="D439" s="62"/>
      <c r="E439" s="63"/>
      <c r="F439" s="63"/>
      <c r="G439" s="63"/>
      <c r="H439" s="63"/>
      <c r="I439" s="63"/>
      <c r="J439" s="63"/>
      <c r="K439" s="47" t="str">
        <f t="shared" si="13"/>
        <v/>
      </c>
    </row>
    <row r="440">
      <c r="A440" s="42" t="s">
        <v>642</v>
      </c>
      <c r="B440" s="48"/>
      <c r="C440" s="42"/>
      <c r="D440" s="62"/>
      <c r="E440" s="63"/>
      <c r="F440" s="63"/>
      <c r="G440" s="63"/>
      <c r="H440" s="63"/>
      <c r="I440" s="63"/>
      <c r="J440" s="63"/>
      <c r="K440" s="47" t="str">
        <f t="shared" si="13"/>
        <v/>
      </c>
    </row>
    <row r="441">
      <c r="A441" s="42" t="s">
        <v>643</v>
      </c>
      <c r="B441" s="48"/>
      <c r="C441" s="42"/>
      <c r="D441" s="62"/>
      <c r="E441" s="63"/>
      <c r="F441" s="63"/>
      <c r="G441" s="63"/>
      <c r="H441" s="63"/>
      <c r="I441" s="63"/>
      <c r="J441" s="63"/>
      <c r="K441" s="47" t="str">
        <f t="shared" si="13"/>
        <v/>
      </c>
    </row>
    <row r="442">
      <c r="A442" s="42" t="s">
        <v>644</v>
      </c>
      <c r="B442" s="48"/>
      <c r="C442" s="42"/>
      <c r="D442" s="62"/>
      <c r="E442" s="63"/>
      <c r="F442" s="63"/>
      <c r="G442" s="63"/>
      <c r="H442" s="63"/>
      <c r="I442" s="63"/>
      <c r="J442" s="63"/>
      <c r="K442" s="47" t="str">
        <f t="shared" si="13"/>
        <v/>
      </c>
    </row>
    <row r="443">
      <c r="A443" s="42" t="s">
        <v>645</v>
      </c>
      <c r="B443" s="48"/>
      <c r="C443" s="42"/>
      <c r="D443" s="62"/>
      <c r="E443" s="63"/>
      <c r="F443" s="63"/>
      <c r="G443" s="63"/>
      <c r="H443" s="63"/>
      <c r="I443" s="63"/>
      <c r="J443" s="63"/>
      <c r="K443" s="47" t="str">
        <f t="shared" si="13"/>
        <v/>
      </c>
    </row>
    <row r="444">
      <c r="A444" s="42" t="s">
        <v>646</v>
      </c>
      <c r="B444" s="48"/>
      <c r="C444" s="42"/>
      <c r="D444" s="62"/>
      <c r="E444" s="63"/>
      <c r="F444" s="63"/>
      <c r="G444" s="63"/>
      <c r="H444" s="63"/>
      <c r="I444" s="63"/>
      <c r="J444" s="63"/>
      <c r="K444" s="47" t="str">
        <f t="shared" si="13"/>
        <v/>
      </c>
    </row>
    <row r="445">
      <c r="A445" s="42" t="s">
        <v>647</v>
      </c>
      <c r="B445" s="48"/>
      <c r="C445" s="42"/>
      <c r="D445" s="62"/>
      <c r="E445" s="63"/>
      <c r="F445" s="63"/>
      <c r="G445" s="63"/>
      <c r="H445" s="63"/>
      <c r="I445" s="63"/>
      <c r="J445" s="63"/>
      <c r="K445" s="47" t="str">
        <f t="shared" si="13"/>
        <v/>
      </c>
    </row>
    <row r="446">
      <c r="A446" s="42" t="s">
        <v>648</v>
      </c>
      <c r="B446" s="48"/>
      <c r="C446" s="42"/>
      <c r="D446" s="62"/>
      <c r="E446" s="63"/>
      <c r="F446" s="63"/>
      <c r="G446" s="63"/>
      <c r="H446" s="63"/>
      <c r="I446" s="63"/>
      <c r="J446" s="63"/>
      <c r="K446" s="47" t="str">
        <f t="shared" si="13"/>
        <v/>
      </c>
    </row>
    <row r="447">
      <c r="A447" s="42" t="s">
        <v>649</v>
      </c>
      <c r="B447" s="48"/>
      <c r="C447" s="42"/>
      <c r="D447" s="62"/>
      <c r="E447" s="63"/>
      <c r="F447" s="63"/>
      <c r="G447" s="63"/>
      <c r="H447" s="63"/>
      <c r="I447" s="63"/>
      <c r="J447" s="63"/>
      <c r="K447" s="47" t="str">
        <f t="shared" si="13"/>
        <v/>
      </c>
    </row>
    <row r="448">
      <c r="A448" s="42" t="s">
        <v>650</v>
      </c>
      <c r="B448" s="48"/>
      <c r="C448" s="42"/>
      <c r="D448" s="62"/>
      <c r="E448" s="63"/>
      <c r="F448" s="63"/>
      <c r="G448" s="63"/>
      <c r="H448" s="63"/>
      <c r="I448" s="63"/>
      <c r="J448" s="63"/>
      <c r="K448" s="47" t="str">
        <f t="shared" si="13"/>
        <v/>
      </c>
    </row>
    <row r="449">
      <c r="A449" s="42" t="s">
        <v>651</v>
      </c>
      <c r="B449" s="48"/>
      <c r="C449" s="42"/>
      <c r="D449" s="62"/>
      <c r="E449" s="63"/>
      <c r="F449" s="63"/>
      <c r="G449" s="63"/>
      <c r="H449" s="63"/>
      <c r="I449" s="63"/>
      <c r="J449" s="63"/>
      <c r="K449" s="47" t="str">
        <f t="shared" si="13"/>
        <v/>
      </c>
    </row>
    <row r="450">
      <c r="A450" s="42" t="s">
        <v>652</v>
      </c>
      <c r="B450" s="48"/>
      <c r="C450" s="42"/>
      <c r="D450" s="62"/>
      <c r="E450" s="63"/>
      <c r="F450" s="63"/>
      <c r="G450" s="63"/>
      <c r="H450" s="63"/>
      <c r="I450" s="63"/>
      <c r="J450" s="63"/>
      <c r="K450" s="47" t="str">
        <f t="shared" si="13"/>
        <v/>
      </c>
    </row>
    <row r="451">
      <c r="A451" s="42" t="s">
        <v>653</v>
      </c>
      <c r="B451" s="48"/>
      <c r="C451" s="42"/>
      <c r="D451" s="62"/>
      <c r="E451" s="63"/>
      <c r="F451" s="63"/>
      <c r="G451" s="63"/>
      <c r="H451" s="63"/>
      <c r="I451" s="63"/>
      <c r="J451" s="63"/>
      <c r="K451" s="47" t="str">
        <f t="shared" si="13"/>
        <v/>
      </c>
    </row>
    <row r="452">
      <c r="A452" s="42" t="s">
        <v>654</v>
      </c>
      <c r="B452" s="48"/>
      <c r="C452" s="42"/>
      <c r="D452" s="62"/>
      <c r="E452" s="63"/>
      <c r="F452" s="63"/>
      <c r="G452" s="63"/>
      <c r="H452" s="63"/>
      <c r="I452" s="63"/>
      <c r="J452" s="63"/>
      <c r="K452" s="47" t="str">
        <f t="shared" si="13"/>
        <v/>
      </c>
    </row>
    <row r="453">
      <c r="A453" s="42" t="s">
        <v>655</v>
      </c>
      <c r="B453" s="48"/>
      <c r="C453" s="42"/>
      <c r="D453" s="62"/>
      <c r="E453" s="63"/>
      <c r="F453" s="63"/>
      <c r="G453" s="63"/>
      <c r="H453" s="63"/>
      <c r="I453" s="63"/>
      <c r="J453" s="63"/>
      <c r="K453" s="47" t="str">
        <f t="shared" si="13"/>
        <v/>
      </c>
    </row>
    <row r="454">
      <c r="A454" s="42" t="s">
        <v>656</v>
      </c>
      <c r="B454" s="48"/>
      <c r="C454" s="42"/>
      <c r="D454" s="62"/>
      <c r="E454" s="63"/>
      <c r="F454" s="63"/>
      <c r="G454" s="63"/>
      <c r="H454" s="63"/>
      <c r="I454" s="63"/>
      <c r="J454" s="63"/>
      <c r="K454" s="47" t="str">
        <f t="shared" si="13"/>
        <v/>
      </c>
    </row>
    <row r="455">
      <c r="A455" s="42" t="s">
        <v>657</v>
      </c>
      <c r="B455" s="48"/>
      <c r="C455" s="42"/>
      <c r="D455" s="62"/>
      <c r="E455" s="63"/>
      <c r="F455" s="63"/>
      <c r="G455" s="63"/>
      <c r="H455" s="63"/>
      <c r="I455" s="63"/>
      <c r="J455" s="63"/>
      <c r="K455" s="47" t="str">
        <f t="shared" si="13"/>
        <v/>
      </c>
    </row>
    <row r="456">
      <c r="A456" s="42" t="s">
        <v>658</v>
      </c>
      <c r="B456" s="48"/>
      <c r="C456" s="42"/>
      <c r="D456" s="62"/>
      <c r="E456" s="63"/>
      <c r="F456" s="63"/>
      <c r="G456" s="63"/>
      <c r="H456" s="63"/>
      <c r="I456" s="63"/>
      <c r="J456" s="63"/>
      <c r="K456" s="47" t="str">
        <f t="shared" si="13"/>
        <v/>
      </c>
    </row>
    <row r="457">
      <c r="A457" s="42" t="s">
        <v>659</v>
      </c>
      <c r="B457" s="48"/>
      <c r="C457" s="42"/>
      <c r="D457" s="62"/>
      <c r="E457" s="63"/>
      <c r="F457" s="63"/>
      <c r="G457" s="63"/>
      <c r="H457" s="63"/>
      <c r="I457" s="63"/>
      <c r="J457" s="63"/>
      <c r="K457" s="47" t="str">
        <f t="shared" si="13"/>
        <v/>
      </c>
    </row>
    <row r="458">
      <c r="A458" s="42" t="s">
        <v>660</v>
      </c>
      <c r="B458" s="48"/>
      <c r="C458" s="42"/>
      <c r="D458" s="62"/>
      <c r="E458" s="63"/>
      <c r="F458" s="63"/>
      <c r="G458" s="63"/>
      <c r="H458" s="63"/>
      <c r="I458" s="63"/>
      <c r="J458" s="63"/>
      <c r="K458" s="47" t="str">
        <f t="shared" si="13"/>
        <v/>
      </c>
    </row>
    <row r="459">
      <c r="A459" s="42" t="s">
        <v>661</v>
      </c>
      <c r="B459" s="48"/>
      <c r="C459" s="42"/>
      <c r="D459" s="62"/>
      <c r="E459" s="63"/>
      <c r="F459" s="63"/>
      <c r="G459" s="63"/>
      <c r="H459" s="63"/>
      <c r="I459" s="63"/>
      <c r="J459" s="63"/>
      <c r="K459" s="47" t="str">
        <f t="shared" si="13"/>
        <v/>
      </c>
    </row>
    <row r="460">
      <c r="A460" s="42" t="s">
        <v>662</v>
      </c>
      <c r="B460" s="48"/>
      <c r="C460" s="42"/>
      <c r="D460" s="62"/>
      <c r="E460" s="63"/>
      <c r="F460" s="63"/>
      <c r="G460" s="63"/>
      <c r="H460" s="63"/>
      <c r="I460" s="63"/>
      <c r="J460" s="63"/>
      <c r="K460" s="47" t="str">
        <f t="shared" si="13"/>
        <v/>
      </c>
    </row>
    <row r="461">
      <c r="A461" s="42" t="s">
        <v>663</v>
      </c>
      <c r="B461" s="48"/>
      <c r="C461" s="42"/>
      <c r="D461" s="62"/>
      <c r="E461" s="63"/>
      <c r="F461" s="63"/>
      <c r="G461" s="63"/>
      <c r="H461" s="63"/>
      <c r="I461" s="63"/>
      <c r="J461" s="63"/>
      <c r="K461" s="47" t="str">
        <f t="shared" si="13"/>
        <v/>
      </c>
    </row>
    <row r="462">
      <c r="A462" s="42" t="s">
        <v>664</v>
      </c>
      <c r="B462" s="48"/>
      <c r="C462" s="42"/>
      <c r="D462" s="62"/>
      <c r="E462" s="63"/>
      <c r="F462" s="63"/>
      <c r="G462" s="63"/>
      <c r="H462" s="63"/>
      <c r="I462" s="63"/>
      <c r="J462" s="63"/>
      <c r="K462" s="47" t="str">
        <f t="shared" si="13"/>
        <v/>
      </c>
    </row>
    <row r="463">
      <c r="A463" s="42" t="s">
        <v>665</v>
      </c>
      <c r="B463" s="48"/>
      <c r="C463" s="42"/>
      <c r="D463" s="62"/>
      <c r="E463" s="63"/>
      <c r="F463" s="63"/>
      <c r="G463" s="63"/>
      <c r="H463" s="63"/>
      <c r="I463" s="63"/>
      <c r="J463" s="63"/>
      <c r="K463" s="47" t="str">
        <f t="shared" si="13"/>
        <v/>
      </c>
    </row>
    <row r="464">
      <c r="A464" s="42" t="s">
        <v>666</v>
      </c>
      <c r="B464" s="48"/>
      <c r="C464" s="42"/>
      <c r="D464" s="62"/>
      <c r="E464" s="63"/>
      <c r="F464" s="63"/>
      <c r="G464" s="63"/>
      <c r="H464" s="63"/>
      <c r="I464" s="63"/>
      <c r="J464" s="63"/>
      <c r="K464" s="47" t="str">
        <f t="shared" si="13"/>
        <v/>
      </c>
    </row>
    <row r="465">
      <c r="A465" s="42" t="s">
        <v>667</v>
      </c>
      <c r="B465" s="48"/>
      <c r="C465" s="42"/>
      <c r="D465" s="62"/>
      <c r="E465" s="63"/>
      <c r="F465" s="63"/>
      <c r="G465" s="63"/>
      <c r="H465" s="63"/>
      <c r="I465" s="63"/>
      <c r="J465" s="63"/>
      <c r="K465" s="47" t="str">
        <f t="shared" si="13"/>
        <v/>
      </c>
    </row>
    <row r="466">
      <c r="A466" s="42" t="s">
        <v>668</v>
      </c>
      <c r="B466" s="48"/>
      <c r="C466" s="42"/>
      <c r="D466" s="62"/>
      <c r="E466" s="63"/>
      <c r="F466" s="63"/>
      <c r="G466" s="63"/>
      <c r="H466" s="63"/>
      <c r="I466" s="63"/>
      <c r="J466" s="63"/>
      <c r="K466" s="47" t="str">
        <f t="shared" si="13"/>
        <v/>
      </c>
    </row>
    <row r="467">
      <c r="A467" s="42" t="s">
        <v>669</v>
      </c>
      <c r="B467" s="48"/>
      <c r="C467" s="42"/>
      <c r="D467" s="62"/>
      <c r="E467" s="63"/>
      <c r="F467" s="63"/>
      <c r="G467" s="63"/>
      <c r="H467" s="63"/>
      <c r="I467" s="63"/>
      <c r="J467" s="63"/>
      <c r="K467" s="47" t="str">
        <f t="shared" si="13"/>
        <v/>
      </c>
    </row>
    <row r="468">
      <c r="A468" s="42" t="s">
        <v>670</v>
      </c>
      <c r="B468" s="48"/>
      <c r="C468" s="42"/>
      <c r="D468" s="62"/>
      <c r="E468" s="63"/>
      <c r="F468" s="63"/>
      <c r="G468" s="63"/>
      <c r="H468" s="63"/>
      <c r="I468" s="63"/>
      <c r="J468" s="63"/>
      <c r="K468" s="47" t="str">
        <f t="shared" si="13"/>
        <v/>
      </c>
    </row>
    <row r="469">
      <c r="A469" s="42" t="s">
        <v>671</v>
      </c>
      <c r="B469" s="48"/>
      <c r="C469" s="42"/>
      <c r="D469" s="62"/>
      <c r="E469" s="63"/>
      <c r="F469" s="63"/>
      <c r="G469" s="63"/>
      <c r="H469" s="63"/>
      <c r="I469" s="63"/>
      <c r="J469" s="63"/>
      <c r="K469" s="47" t="str">
        <f t="shared" si="13"/>
        <v/>
      </c>
    </row>
    <row r="470">
      <c r="A470" s="42" t="s">
        <v>672</v>
      </c>
      <c r="B470" s="48"/>
      <c r="C470" s="42"/>
      <c r="D470" s="62"/>
      <c r="E470" s="63"/>
      <c r="F470" s="63"/>
      <c r="G470" s="63"/>
      <c r="H470" s="63"/>
      <c r="I470" s="63"/>
      <c r="J470" s="63"/>
      <c r="K470" s="47" t="str">
        <f t="shared" si="13"/>
        <v/>
      </c>
    </row>
    <row r="471">
      <c r="A471" s="42" t="s">
        <v>673</v>
      </c>
      <c r="B471" s="48"/>
      <c r="C471" s="42"/>
      <c r="D471" s="62"/>
      <c r="E471" s="63"/>
      <c r="F471" s="63"/>
      <c r="G471" s="63"/>
      <c r="H471" s="63"/>
      <c r="I471" s="63"/>
      <c r="J471" s="63"/>
      <c r="K471" s="47" t="str">
        <f t="shared" si="13"/>
        <v/>
      </c>
    </row>
    <row r="472">
      <c r="A472" s="42" t="s">
        <v>674</v>
      </c>
      <c r="B472" s="48"/>
      <c r="C472" s="42"/>
      <c r="D472" s="62"/>
      <c r="E472" s="63"/>
      <c r="F472" s="63"/>
      <c r="G472" s="63"/>
      <c r="H472" s="63"/>
      <c r="I472" s="63"/>
      <c r="J472" s="63"/>
      <c r="K472" s="47" t="str">
        <f t="shared" si="13"/>
        <v/>
      </c>
    </row>
    <row r="473">
      <c r="A473" s="42" t="s">
        <v>675</v>
      </c>
      <c r="B473" s="48"/>
      <c r="C473" s="42"/>
      <c r="D473" s="62"/>
      <c r="E473" s="63"/>
      <c r="F473" s="63"/>
      <c r="G473" s="63"/>
      <c r="H473" s="63"/>
      <c r="I473" s="63"/>
      <c r="J473" s="63"/>
      <c r="K473" s="47" t="str">
        <f t="shared" si="13"/>
        <v/>
      </c>
    </row>
    <row r="474">
      <c r="A474" s="42" t="s">
        <v>676</v>
      </c>
      <c r="B474" s="48"/>
      <c r="C474" s="42"/>
      <c r="D474" s="62"/>
      <c r="E474" s="63"/>
      <c r="F474" s="63"/>
      <c r="G474" s="63"/>
      <c r="H474" s="63"/>
      <c r="I474" s="63"/>
      <c r="J474" s="63"/>
      <c r="K474" s="47" t="str">
        <f t="shared" si="13"/>
        <v/>
      </c>
    </row>
    <row r="475">
      <c r="A475" s="42" t="s">
        <v>677</v>
      </c>
      <c r="B475" s="48"/>
      <c r="C475" s="42"/>
      <c r="D475" s="62"/>
      <c r="E475" s="63"/>
      <c r="F475" s="63"/>
      <c r="G475" s="63"/>
      <c r="H475" s="63"/>
      <c r="I475" s="63"/>
      <c r="J475" s="63"/>
      <c r="K475" s="47" t="str">
        <f t="shared" si="13"/>
        <v/>
      </c>
    </row>
    <row r="476">
      <c r="A476" s="42" t="s">
        <v>678</v>
      </c>
      <c r="B476" s="48"/>
      <c r="C476" s="42"/>
      <c r="D476" s="62"/>
      <c r="E476" s="63"/>
      <c r="F476" s="63"/>
      <c r="G476" s="63"/>
      <c r="H476" s="63"/>
      <c r="I476" s="63"/>
      <c r="J476" s="63"/>
      <c r="K476" s="47" t="str">
        <f t="shared" si="13"/>
        <v/>
      </c>
    </row>
    <row r="477">
      <c r="A477" s="42" t="s">
        <v>679</v>
      </c>
      <c r="B477" s="48"/>
      <c r="C477" s="42"/>
      <c r="D477" s="62"/>
      <c r="E477" s="63"/>
      <c r="F477" s="63"/>
      <c r="G477" s="63"/>
      <c r="H477" s="63"/>
      <c r="I477" s="63"/>
      <c r="J477" s="63"/>
      <c r="K477" s="47" t="str">
        <f t="shared" si="13"/>
        <v/>
      </c>
    </row>
    <row r="478">
      <c r="A478" s="42" t="s">
        <v>680</v>
      </c>
      <c r="B478" s="48"/>
      <c r="C478" s="42"/>
      <c r="D478" s="62"/>
      <c r="E478" s="63"/>
      <c r="F478" s="63"/>
      <c r="G478" s="63"/>
      <c r="H478" s="63"/>
      <c r="I478" s="63"/>
      <c r="J478" s="63"/>
      <c r="K478" s="47" t="str">
        <f t="shared" si="13"/>
        <v/>
      </c>
    </row>
    <row r="479">
      <c r="A479" s="42" t="s">
        <v>681</v>
      </c>
      <c r="B479" s="48"/>
      <c r="C479" s="42"/>
      <c r="D479" s="62"/>
      <c r="E479" s="63"/>
      <c r="F479" s="63"/>
      <c r="G479" s="63"/>
      <c r="H479" s="63"/>
      <c r="I479" s="63"/>
      <c r="J479" s="63"/>
      <c r="K479" s="47" t="str">
        <f t="shared" si="13"/>
        <v/>
      </c>
    </row>
    <row r="480">
      <c r="A480" s="42" t="s">
        <v>682</v>
      </c>
      <c r="B480" s="48"/>
      <c r="C480" s="42"/>
      <c r="D480" s="62"/>
      <c r="E480" s="63"/>
      <c r="F480" s="63"/>
      <c r="G480" s="63"/>
      <c r="H480" s="63"/>
      <c r="I480" s="63"/>
      <c r="J480" s="63"/>
      <c r="K480" s="47" t="str">
        <f t="shared" si="13"/>
        <v/>
      </c>
    </row>
    <row r="481">
      <c r="A481" s="42" t="s">
        <v>683</v>
      </c>
      <c r="B481" s="48"/>
      <c r="C481" s="42"/>
      <c r="D481" s="62"/>
      <c r="E481" s="63"/>
      <c r="F481" s="63"/>
      <c r="G481" s="63"/>
      <c r="H481" s="63"/>
      <c r="I481" s="63"/>
      <c r="J481" s="63"/>
      <c r="K481" s="47" t="str">
        <f t="shared" si="13"/>
        <v/>
      </c>
    </row>
    <row r="482">
      <c r="A482" s="42" t="s">
        <v>684</v>
      </c>
      <c r="B482" s="48"/>
      <c r="C482" s="42"/>
      <c r="D482" s="62"/>
      <c r="E482" s="63"/>
      <c r="F482" s="63"/>
      <c r="G482" s="63"/>
      <c r="H482" s="63"/>
      <c r="I482" s="63"/>
      <c r="J482" s="63"/>
      <c r="K482" s="47" t="str">
        <f t="shared" si="13"/>
        <v/>
      </c>
    </row>
    <row r="483">
      <c r="A483" s="42" t="s">
        <v>685</v>
      </c>
      <c r="B483" s="48"/>
      <c r="C483" s="42"/>
      <c r="D483" s="62"/>
      <c r="E483" s="63"/>
      <c r="F483" s="63"/>
      <c r="G483" s="63"/>
      <c r="H483" s="63"/>
      <c r="I483" s="63"/>
      <c r="J483" s="63"/>
      <c r="K483" s="47" t="str">
        <f t="shared" si="13"/>
        <v/>
      </c>
    </row>
    <row r="484">
      <c r="A484" s="42" t="s">
        <v>686</v>
      </c>
      <c r="B484" s="48"/>
      <c r="C484" s="42"/>
      <c r="D484" s="62"/>
      <c r="E484" s="63"/>
      <c r="F484" s="63"/>
      <c r="G484" s="63"/>
      <c r="H484" s="63"/>
      <c r="I484" s="63"/>
      <c r="J484" s="63"/>
      <c r="K484" s="47" t="str">
        <f t="shared" si="13"/>
        <v/>
      </c>
    </row>
    <row r="485">
      <c r="A485" s="42" t="s">
        <v>687</v>
      </c>
      <c r="B485" s="48"/>
      <c r="C485" s="42"/>
      <c r="D485" s="62"/>
      <c r="E485" s="63"/>
      <c r="F485" s="63"/>
      <c r="G485" s="63"/>
      <c r="H485" s="63"/>
      <c r="I485" s="63"/>
      <c r="J485" s="63"/>
      <c r="K485" s="47" t="str">
        <f t="shared" si="13"/>
        <v/>
      </c>
    </row>
    <row r="486">
      <c r="A486" s="42" t="s">
        <v>688</v>
      </c>
      <c r="B486" s="48"/>
      <c r="C486" s="42"/>
      <c r="D486" s="62"/>
      <c r="E486" s="63"/>
      <c r="F486" s="63"/>
      <c r="G486" s="63"/>
      <c r="H486" s="63"/>
      <c r="I486" s="63"/>
      <c r="J486" s="63"/>
      <c r="K486" s="47" t="str">
        <f t="shared" si="13"/>
        <v/>
      </c>
    </row>
    <row r="487">
      <c r="A487" s="42" t="s">
        <v>689</v>
      </c>
      <c r="B487" s="48"/>
      <c r="C487" s="42"/>
      <c r="D487" s="62"/>
      <c r="E487" s="63"/>
      <c r="F487" s="63"/>
      <c r="G487" s="63"/>
      <c r="H487" s="63"/>
      <c r="I487" s="63"/>
      <c r="J487" s="63"/>
      <c r="K487" s="47" t="str">
        <f t="shared" si="13"/>
        <v/>
      </c>
    </row>
    <row r="488">
      <c r="A488" s="42" t="s">
        <v>690</v>
      </c>
      <c r="B488" s="48"/>
      <c r="C488" s="42"/>
      <c r="D488" s="62"/>
      <c r="E488" s="63"/>
      <c r="F488" s="63"/>
      <c r="G488" s="63"/>
      <c r="H488" s="63"/>
      <c r="I488" s="63"/>
      <c r="J488" s="63"/>
      <c r="K488" s="47" t="str">
        <f t="shared" si="13"/>
        <v/>
      </c>
    </row>
    <row r="489">
      <c r="A489" s="42" t="s">
        <v>691</v>
      </c>
      <c r="B489" s="48"/>
      <c r="C489" s="42"/>
      <c r="D489" s="62"/>
      <c r="E489" s="63"/>
      <c r="F489" s="63"/>
      <c r="G489" s="63"/>
      <c r="H489" s="63"/>
      <c r="I489" s="63"/>
      <c r="J489" s="63"/>
      <c r="K489" s="47" t="str">
        <f t="shared" si="13"/>
        <v/>
      </c>
    </row>
    <row r="490">
      <c r="A490" s="42" t="s">
        <v>692</v>
      </c>
      <c r="B490" s="48"/>
      <c r="C490" s="42"/>
      <c r="D490" s="62"/>
      <c r="E490" s="63"/>
      <c r="F490" s="63"/>
      <c r="G490" s="63"/>
      <c r="H490" s="63"/>
      <c r="I490" s="63"/>
      <c r="J490" s="63"/>
      <c r="K490" s="47" t="str">
        <f t="shared" si="13"/>
        <v/>
      </c>
    </row>
    <row r="491">
      <c r="A491" s="42" t="s">
        <v>693</v>
      </c>
      <c r="B491" s="48"/>
      <c r="C491" s="42"/>
      <c r="D491" s="62"/>
      <c r="E491" s="63"/>
      <c r="F491" s="63"/>
      <c r="G491" s="63"/>
      <c r="H491" s="63"/>
      <c r="I491" s="63"/>
      <c r="J491" s="63"/>
      <c r="K491" s="47" t="str">
        <f t="shared" si="13"/>
        <v/>
      </c>
    </row>
    <row r="492">
      <c r="A492" s="42" t="s">
        <v>694</v>
      </c>
      <c r="B492" s="48"/>
      <c r="C492" s="42"/>
      <c r="D492" s="62"/>
      <c r="E492" s="63"/>
      <c r="F492" s="63"/>
      <c r="G492" s="63"/>
      <c r="H492" s="63"/>
      <c r="I492" s="63"/>
      <c r="J492" s="63"/>
      <c r="K492" s="47" t="str">
        <f t="shared" si="13"/>
        <v/>
      </c>
    </row>
    <row r="493">
      <c r="A493" s="42" t="s">
        <v>695</v>
      </c>
      <c r="B493" s="48"/>
      <c r="C493" s="42"/>
      <c r="D493" s="62"/>
      <c r="E493" s="63"/>
      <c r="F493" s="63"/>
      <c r="G493" s="63"/>
      <c r="H493" s="63"/>
      <c r="I493" s="63"/>
      <c r="J493" s="63"/>
      <c r="K493" s="47" t="str">
        <f t="shared" si="13"/>
        <v/>
      </c>
    </row>
    <row r="494">
      <c r="A494" s="42" t="s">
        <v>696</v>
      </c>
      <c r="B494" s="48"/>
      <c r="C494" s="42"/>
      <c r="D494" s="62"/>
      <c r="E494" s="63"/>
      <c r="F494" s="63"/>
      <c r="G494" s="63"/>
      <c r="H494" s="63"/>
      <c r="I494" s="63"/>
      <c r="J494" s="63"/>
      <c r="K494" s="47" t="str">
        <f t="shared" si="13"/>
        <v/>
      </c>
    </row>
    <row r="495">
      <c r="A495" s="42" t="s">
        <v>697</v>
      </c>
      <c r="B495" s="48"/>
      <c r="C495" s="42"/>
      <c r="D495" s="62"/>
      <c r="E495" s="63"/>
      <c r="F495" s="63"/>
      <c r="G495" s="63"/>
      <c r="H495" s="63"/>
      <c r="I495" s="63"/>
      <c r="J495" s="63"/>
      <c r="K495" s="47" t="str">
        <f t="shared" si="13"/>
        <v/>
      </c>
    </row>
    <row r="496">
      <c r="A496" s="42" t="s">
        <v>698</v>
      </c>
      <c r="B496" s="48"/>
      <c r="C496" s="42"/>
      <c r="D496" s="62"/>
      <c r="E496" s="63"/>
      <c r="F496" s="63"/>
      <c r="G496" s="63"/>
      <c r="H496" s="63"/>
      <c r="I496" s="63"/>
      <c r="J496" s="63"/>
      <c r="K496" s="47" t="str">
        <f t="shared" si="13"/>
        <v/>
      </c>
    </row>
    <row r="497">
      <c r="A497" s="42" t="s">
        <v>699</v>
      </c>
      <c r="B497" s="48"/>
      <c r="C497" s="42"/>
      <c r="D497" s="62"/>
      <c r="E497" s="63"/>
      <c r="F497" s="63"/>
      <c r="G497" s="63"/>
      <c r="H497" s="63"/>
      <c r="I497" s="63"/>
      <c r="J497" s="63"/>
      <c r="K497" s="47" t="str">
        <f t="shared" si="13"/>
        <v/>
      </c>
    </row>
    <row r="498">
      <c r="A498" s="42" t="s">
        <v>700</v>
      </c>
      <c r="B498" s="48"/>
      <c r="C498" s="42"/>
      <c r="D498" s="62"/>
      <c r="E498" s="63"/>
      <c r="F498" s="63"/>
      <c r="G498" s="63"/>
      <c r="H498" s="63"/>
      <c r="I498" s="63"/>
      <c r="J498" s="63"/>
      <c r="K498" s="47" t="str">
        <f t="shared" si="13"/>
        <v/>
      </c>
    </row>
    <row r="499">
      <c r="A499" s="42" t="s">
        <v>701</v>
      </c>
      <c r="B499" s="48"/>
      <c r="C499" s="42"/>
      <c r="D499" s="62"/>
      <c r="E499" s="63"/>
      <c r="F499" s="63"/>
      <c r="G499" s="63"/>
      <c r="H499" s="63"/>
      <c r="I499" s="63"/>
      <c r="J499" s="63"/>
      <c r="K499" s="47" t="str">
        <f t="shared" si="13"/>
        <v/>
      </c>
    </row>
    <row r="500">
      <c r="A500" s="42" t="s">
        <v>702</v>
      </c>
      <c r="B500" s="48"/>
      <c r="C500" s="42"/>
      <c r="D500" s="62"/>
      <c r="E500" s="63"/>
      <c r="F500" s="63"/>
      <c r="G500" s="63"/>
      <c r="H500" s="63"/>
      <c r="I500" s="63"/>
      <c r="J500" s="63"/>
      <c r="K500" s="47" t="str">
        <f t="shared" si="13"/>
        <v/>
      </c>
    </row>
    <row r="501">
      <c r="A501" s="42" t="s">
        <v>703</v>
      </c>
      <c r="B501" s="48"/>
      <c r="C501" s="42"/>
      <c r="D501" s="62"/>
      <c r="E501" s="63"/>
      <c r="F501" s="63"/>
      <c r="G501" s="63"/>
      <c r="H501" s="63"/>
      <c r="I501" s="63"/>
      <c r="J501" s="63"/>
      <c r="K501" s="47" t="str">
        <f t="shared" si="13"/>
        <v/>
      </c>
    </row>
    <row r="502">
      <c r="A502" s="42" t="s">
        <v>704</v>
      </c>
      <c r="B502" s="48"/>
      <c r="C502" s="42"/>
      <c r="D502" s="62"/>
      <c r="E502" s="63"/>
      <c r="F502" s="63"/>
      <c r="G502" s="63"/>
      <c r="H502" s="63"/>
      <c r="I502" s="63"/>
      <c r="J502" s="63"/>
      <c r="K502" s="47" t="str">
        <f t="shared" si="13"/>
        <v/>
      </c>
    </row>
    <row r="503">
      <c r="A503" s="42" t="s">
        <v>705</v>
      </c>
      <c r="B503" s="48"/>
      <c r="C503" s="42"/>
      <c r="D503" s="62"/>
      <c r="E503" s="63"/>
      <c r="F503" s="63"/>
      <c r="G503" s="63"/>
      <c r="H503" s="63"/>
      <c r="I503" s="63"/>
      <c r="J503" s="63"/>
      <c r="K503" s="47" t="str">
        <f t="shared" si="13"/>
        <v/>
      </c>
    </row>
    <row r="504">
      <c r="A504" s="42" t="s">
        <v>706</v>
      </c>
      <c r="B504" s="48"/>
      <c r="C504" s="42"/>
      <c r="D504" s="62"/>
      <c r="E504" s="63"/>
      <c r="F504" s="63"/>
      <c r="G504" s="63"/>
      <c r="H504" s="63"/>
      <c r="I504" s="63"/>
      <c r="J504" s="63"/>
      <c r="K504" s="47" t="str">
        <f t="shared" si="13"/>
        <v/>
      </c>
    </row>
    <row r="505">
      <c r="A505" s="42" t="s">
        <v>707</v>
      </c>
      <c r="B505" s="48"/>
      <c r="C505" s="42"/>
      <c r="D505" s="62"/>
      <c r="E505" s="63"/>
      <c r="F505" s="63"/>
      <c r="G505" s="63"/>
      <c r="H505" s="63"/>
      <c r="I505" s="63"/>
      <c r="J505" s="63"/>
      <c r="K505" s="47" t="str">
        <f t="shared" si="13"/>
        <v/>
      </c>
    </row>
    <row r="506">
      <c r="A506" s="42" t="s">
        <v>708</v>
      </c>
      <c r="B506" s="48"/>
      <c r="C506" s="42"/>
      <c r="D506" s="62"/>
      <c r="E506" s="63"/>
      <c r="F506" s="63"/>
      <c r="G506" s="63"/>
      <c r="H506" s="63"/>
      <c r="I506" s="63"/>
      <c r="J506" s="63"/>
      <c r="K506" s="47" t="str">
        <f t="shared" si="13"/>
        <v/>
      </c>
    </row>
    <row r="507">
      <c r="A507" s="42" t="s">
        <v>709</v>
      </c>
      <c r="B507" s="48"/>
      <c r="C507" s="42"/>
      <c r="D507" s="62"/>
      <c r="E507" s="63"/>
      <c r="F507" s="63"/>
      <c r="G507" s="63"/>
      <c r="H507" s="63"/>
      <c r="I507" s="63"/>
      <c r="J507" s="63"/>
      <c r="K507" s="47" t="str">
        <f t="shared" si="13"/>
        <v/>
      </c>
    </row>
    <row r="508">
      <c r="A508" s="42" t="s">
        <v>710</v>
      </c>
      <c r="B508" s="48"/>
      <c r="C508" s="42"/>
      <c r="D508" s="62"/>
      <c r="E508" s="63"/>
      <c r="F508" s="63"/>
      <c r="G508" s="63"/>
      <c r="H508" s="63"/>
      <c r="I508" s="63"/>
      <c r="J508" s="63"/>
      <c r="K508" s="47" t="str">
        <f t="shared" si="13"/>
        <v/>
      </c>
    </row>
    <row r="509">
      <c r="A509" s="42" t="s">
        <v>711</v>
      </c>
      <c r="B509" s="48"/>
      <c r="C509" s="42"/>
      <c r="D509" s="62"/>
      <c r="E509" s="63"/>
      <c r="F509" s="63"/>
      <c r="G509" s="63"/>
      <c r="H509" s="63"/>
      <c r="I509" s="63"/>
      <c r="J509" s="63"/>
      <c r="K509" s="47" t="str">
        <f t="shared" si="13"/>
        <v/>
      </c>
    </row>
    <row r="510">
      <c r="A510" s="42" t="s">
        <v>712</v>
      </c>
      <c r="B510" s="48"/>
      <c r="C510" s="42"/>
      <c r="D510" s="62"/>
      <c r="E510" s="63"/>
      <c r="F510" s="63"/>
      <c r="G510" s="63"/>
      <c r="H510" s="63"/>
      <c r="I510" s="63"/>
      <c r="J510" s="63"/>
      <c r="K510" s="47" t="str">
        <f t="shared" si="13"/>
        <v/>
      </c>
    </row>
    <row r="511">
      <c r="A511" s="42" t="s">
        <v>713</v>
      </c>
      <c r="B511" s="48"/>
      <c r="C511" s="42"/>
      <c r="D511" s="62"/>
      <c r="E511" s="63"/>
      <c r="F511" s="63"/>
      <c r="G511" s="63"/>
      <c r="H511" s="63"/>
      <c r="I511" s="63"/>
      <c r="J511" s="63"/>
      <c r="K511" s="47" t="str">
        <f t="shared" si="13"/>
        <v/>
      </c>
    </row>
    <row r="512">
      <c r="A512" s="42" t="s">
        <v>714</v>
      </c>
      <c r="B512" s="48"/>
      <c r="C512" s="42"/>
      <c r="D512" s="62"/>
      <c r="E512" s="63"/>
      <c r="F512" s="63"/>
      <c r="G512" s="63"/>
      <c r="H512" s="63"/>
      <c r="I512" s="63"/>
      <c r="J512" s="63"/>
      <c r="K512" s="47" t="str">
        <f t="shared" si="13"/>
        <v/>
      </c>
    </row>
    <row r="513">
      <c r="A513" s="42" t="s">
        <v>715</v>
      </c>
      <c r="B513" s="48"/>
      <c r="C513" s="42"/>
      <c r="D513" s="62"/>
      <c r="E513" s="63"/>
      <c r="F513" s="63"/>
      <c r="G513" s="63"/>
      <c r="H513" s="63"/>
      <c r="I513" s="63"/>
      <c r="J513" s="63"/>
      <c r="K513" s="47" t="str">
        <f t="shared" si="13"/>
        <v/>
      </c>
    </row>
    <row r="514">
      <c r="A514" s="42" t="s">
        <v>716</v>
      </c>
      <c r="B514" s="48"/>
      <c r="C514" s="42"/>
      <c r="D514" s="62"/>
      <c r="E514" s="63"/>
      <c r="F514" s="63"/>
      <c r="G514" s="63"/>
      <c r="H514" s="63"/>
      <c r="I514" s="63"/>
      <c r="J514" s="63"/>
      <c r="K514" s="47" t="str">
        <f t="shared" si="13"/>
        <v/>
      </c>
    </row>
    <row r="515">
      <c r="A515" s="42" t="s">
        <v>717</v>
      </c>
      <c r="B515" s="48"/>
      <c r="C515" s="42"/>
      <c r="D515" s="62"/>
      <c r="E515" s="63"/>
      <c r="F515" s="63"/>
      <c r="G515" s="63"/>
      <c r="H515" s="63"/>
      <c r="I515" s="63"/>
      <c r="J515" s="63"/>
      <c r="K515" s="47" t="str">
        <f t="shared" si="13"/>
        <v/>
      </c>
    </row>
    <row r="516">
      <c r="A516" s="42" t="s">
        <v>718</v>
      </c>
      <c r="B516" s="48"/>
      <c r="C516" s="42"/>
      <c r="D516" s="62"/>
      <c r="E516" s="63"/>
      <c r="F516" s="63"/>
      <c r="G516" s="63"/>
      <c r="H516" s="63"/>
      <c r="I516" s="63"/>
      <c r="J516" s="63"/>
      <c r="K516" s="47" t="str">
        <f t="shared" si="13"/>
        <v/>
      </c>
    </row>
    <row r="517">
      <c r="A517" s="42" t="s">
        <v>719</v>
      </c>
      <c r="B517" s="48"/>
      <c r="C517" s="42"/>
      <c r="D517" s="62"/>
      <c r="E517" s="63"/>
      <c r="F517" s="63"/>
      <c r="G517" s="63"/>
      <c r="H517" s="63"/>
      <c r="I517" s="63"/>
      <c r="J517" s="63"/>
      <c r="K517" s="47" t="str">
        <f t="shared" si="13"/>
        <v/>
      </c>
    </row>
    <row r="518">
      <c r="A518" s="42" t="s">
        <v>720</v>
      </c>
      <c r="B518" s="48"/>
      <c r="C518" s="42"/>
      <c r="D518" s="62"/>
      <c r="E518" s="63"/>
      <c r="F518" s="63"/>
      <c r="G518" s="63"/>
      <c r="H518" s="63"/>
      <c r="I518" s="63"/>
      <c r="J518" s="63"/>
      <c r="K518" s="47" t="str">
        <f t="shared" si="13"/>
        <v/>
      </c>
    </row>
    <row r="519">
      <c r="A519" s="42" t="s">
        <v>721</v>
      </c>
      <c r="B519" s="48"/>
      <c r="C519" s="42"/>
      <c r="D519" s="62"/>
      <c r="E519" s="63"/>
      <c r="F519" s="63"/>
      <c r="G519" s="63"/>
      <c r="H519" s="63"/>
      <c r="I519" s="63"/>
      <c r="J519" s="63"/>
      <c r="K519" s="47" t="str">
        <f t="shared" si="13"/>
        <v/>
      </c>
    </row>
    <row r="520">
      <c r="A520" s="42" t="s">
        <v>722</v>
      </c>
      <c r="B520" s="48"/>
      <c r="C520" s="42"/>
      <c r="D520" s="62"/>
      <c r="E520" s="63"/>
      <c r="F520" s="63"/>
      <c r="G520" s="63"/>
      <c r="H520" s="63"/>
      <c r="I520" s="63"/>
      <c r="J520" s="63"/>
      <c r="K520" s="47" t="str">
        <f t="shared" si="13"/>
        <v/>
      </c>
    </row>
    <row r="521">
      <c r="A521" s="42" t="s">
        <v>723</v>
      </c>
      <c r="B521" s="48"/>
      <c r="C521" s="42"/>
      <c r="D521" s="62"/>
      <c r="E521" s="63"/>
      <c r="F521" s="63"/>
      <c r="G521" s="63"/>
      <c r="H521" s="63"/>
      <c r="I521" s="63"/>
      <c r="J521" s="63"/>
      <c r="K521" s="47" t="str">
        <f t="shared" si="13"/>
        <v/>
      </c>
    </row>
    <row r="522">
      <c r="A522" s="42" t="s">
        <v>724</v>
      </c>
      <c r="B522" s="48"/>
      <c r="C522" s="42"/>
      <c r="D522" s="62"/>
      <c r="E522" s="63"/>
      <c r="F522" s="63"/>
      <c r="G522" s="63"/>
      <c r="H522" s="63"/>
      <c r="I522" s="63"/>
      <c r="J522" s="63"/>
      <c r="K522" s="47" t="str">
        <f t="shared" si="13"/>
        <v/>
      </c>
    </row>
    <row r="523">
      <c r="A523" s="42" t="s">
        <v>725</v>
      </c>
      <c r="B523" s="48"/>
      <c r="C523" s="42"/>
      <c r="D523" s="62"/>
      <c r="E523" s="63"/>
      <c r="F523" s="63"/>
      <c r="G523" s="63"/>
      <c r="H523" s="63"/>
      <c r="I523" s="63"/>
      <c r="J523" s="63"/>
      <c r="K523" s="47" t="str">
        <f t="shared" si="13"/>
        <v/>
      </c>
    </row>
    <row r="524">
      <c r="A524" s="42" t="s">
        <v>726</v>
      </c>
      <c r="B524" s="48"/>
      <c r="C524" s="42"/>
      <c r="D524" s="62"/>
      <c r="E524" s="63"/>
      <c r="F524" s="63"/>
      <c r="G524" s="63"/>
      <c r="H524" s="63"/>
      <c r="I524" s="63"/>
      <c r="J524" s="63"/>
      <c r="K524" s="47" t="str">
        <f t="shared" si="13"/>
        <v/>
      </c>
    </row>
    <row r="525">
      <c r="A525" s="42" t="s">
        <v>727</v>
      </c>
      <c r="B525" s="48"/>
      <c r="C525" s="42"/>
      <c r="D525" s="62"/>
      <c r="E525" s="63"/>
      <c r="F525" s="63"/>
      <c r="G525" s="63"/>
      <c r="H525" s="63"/>
      <c r="I525" s="63"/>
      <c r="J525" s="63"/>
      <c r="K525" s="47" t="str">
        <f t="shared" si="13"/>
        <v/>
      </c>
    </row>
    <row r="526">
      <c r="A526" s="42" t="s">
        <v>728</v>
      </c>
      <c r="B526" s="48"/>
      <c r="C526" s="42"/>
      <c r="D526" s="62"/>
      <c r="E526" s="63"/>
      <c r="F526" s="63"/>
      <c r="G526" s="63"/>
      <c r="H526" s="63"/>
      <c r="I526" s="63"/>
      <c r="J526" s="63"/>
      <c r="K526" s="47" t="str">
        <f t="shared" si="13"/>
        <v/>
      </c>
    </row>
    <row r="527">
      <c r="A527" s="42" t="s">
        <v>729</v>
      </c>
      <c r="B527" s="48"/>
      <c r="C527" s="42"/>
      <c r="D527" s="62"/>
      <c r="E527" s="63"/>
      <c r="F527" s="63"/>
      <c r="G527" s="63"/>
      <c r="H527" s="63"/>
      <c r="I527" s="63"/>
      <c r="J527" s="63"/>
      <c r="K527" s="47" t="str">
        <f t="shared" si="13"/>
        <v/>
      </c>
    </row>
    <row r="528">
      <c r="A528" s="42" t="s">
        <v>730</v>
      </c>
      <c r="B528" s="48"/>
      <c r="C528" s="42"/>
      <c r="D528" s="62"/>
      <c r="E528" s="63"/>
      <c r="F528" s="63"/>
      <c r="G528" s="63"/>
      <c r="H528" s="63"/>
      <c r="I528" s="63"/>
      <c r="J528" s="63"/>
      <c r="K528" s="47" t="str">
        <f t="shared" si="13"/>
        <v/>
      </c>
    </row>
    <row r="529">
      <c r="A529" s="42" t="s">
        <v>731</v>
      </c>
      <c r="B529" s="48"/>
      <c r="C529" s="42"/>
      <c r="D529" s="62"/>
      <c r="E529" s="63"/>
      <c r="F529" s="63"/>
      <c r="G529" s="63"/>
      <c r="H529" s="63"/>
      <c r="I529" s="63"/>
      <c r="J529" s="63"/>
      <c r="K529" s="47" t="str">
        <f t="shared" si="13"/>
        <v/>
      </c>
    </row>
    <row r="530">
      <c r="A530" s="42" t="s">
        <v>732</v>
      </c>
      <c r="B530" s="48"/>
      <c r="C530" s="42"/>
      <c r="D530" s="62"/>
      <c r="E530" s="63"/>
      <c r="F530" s="63"/>
      <c r="G530" s="63"/>
      <c r="H530" s="63"/>
      <c r="I530" s="63"/>
      <c r="J530" s="63"/>
      <c r="K530" s="47" t="str">
        <f t="shared" si="13"/>
        <v/>
      </c>
    </row>
    <row r="531">
      <c r="A531" s="42" t="s">
        <v>733</v>
      </c>
      <c r="B531" s="48"/>
      <c r="C531" s="42"/>
      <c r="D531" s="62"/>
      <c r="E531" s="63"/>
      <c r="F531" s="63"/>
      <c r="G531" s="63"/>
      <c r="H531" s="63"/>
      <c r="I531" s="63"/>
      <c r="J531" s="63"/>
      <c r="K531" s="47" t="str">
        <f t="shared" si="13"/>
        <v/>
      </c>
    </row>
    <row r="532">
      <c r="A532" s="42" t="s">
        <v>734</v>
      </c>
      <c r="B532" s="48"/>
      <c r="C532" s="42"/>
      <c r="D532" s="62"/>
      <c r="E532" s="63"/>
      <c r="F532" s="63"/>
      <c r="G532" s="63"/>
      <c r="H532" s="63"/>
      <c r="I532" s="63"/>
      <c r="J532" s="63"/>
      <c r="K532" s="47" t="str">
        <f t="shared" si="13"/>
        <v/>
      </c>
    </row>
    <row r="533">
      <c r="A533" s="42" t="s">
        <v>735</v>
      </c>
      <c r="B533" s="48"/>
      <c r="C533" s="42"/>
      <c r="D533" s="62"/>
      <c r="E533" s="63"/>
      <c r="F533" s="63"/>
      <c r="G533" s="63"/>
      <c r="H533" s="63"/>
      <c r="I533" s="63"/>
      <c r="J533" s="63"/>
      <c r="K533" s="47" t="str">
        <f t="shared" si="13"/>
        <v/>
      </c>
    </row>
    <row r="534">
      <c r="A534" s="42" t="s">
        <v>736</v>
      </c>
      <c r="B534" s="48"/>
      <c r="C534" s="42"/>
      <c r="D534" s="62"/>
      <c r="E534" s="63"/>
      <c r="F534" s="63"/>
      <c r="G534" s="63"/>
      <c r="H534" s="63"/>
      <c r="I534" s="63"/>
      <c r="J534" s="63"/>
      <c r="K534" s="47" t="str">
        <f t="shared" si="13"/>
        <v/>
      </c>
    </row>
    <row r="535">
      <c r="A535" s="42" t="s">
        <v>737</v>
      </c>
      <c r="B535" s="48"/>
      <c r="C535" s="42"/>
      <c r="D535" s="62"/>
      <c r="E535" s="63"/>
      <c r="F535" s="63"/>
      <c r="G535" s="63"/>
      <c r="H535" s="63"/>
      <c r="I535" s="63"/>
      <c r="J535" s="63"/>
      <c r="K535" s="47" t="str">
        <f t="shared" si="13"/>
        <v/>
      </c>
    </row>
    <row r="536">
      <c r="A536" s="42" t="s">
        <v>738</v>
      </c>
      <c r="B536" s="48"/>
      <c r="C536" s="42"/>
      <c r="D536" s="62"/>
      <c r="E536" s="63"/>
      <c r="F536" s="63"/>
      <c r="G536" s="63"/>
      <c r="H536" s="63"/>
      <c r="I536" s="63"/>
      <c r="J536" s="63"/>
      <c r="K536" s="47" t="str">
        <f t="shared" si="13"/>
        <v/>
      </c>
    </row>
    <row r="537">
      <c r="A537" s="42" t="s">
        <v>739</v>
      </c>
      <c r="B537" s="48"/>
      <c r="C537" s="42"/>
      <c r="D537" s="62"/>
      <c r="E537" s="63"/>
      <c r="F537" s="63"/>
      <c r="G537" s="63"/>
      <c r="H537" s="63"/>
      <c r="I537" s="63"/>
      <c r="J537" s="63"/>
      <c r="K537" s="47" t="str">
        <f t="shared" si="13"/>
        <v/>
      </c>
    </row>
    <row r="538">
      <c r="A538" s="42" t="s">
        <v>740</v>
      </c>
      <c r="B538" s="48"/>
      <c r="C538" s="42"/>
      <c r="D538" s="62"/>
      <c r="E538" s="63"/>
      <c r="F538" s="63"/>
      <c r="G538" s="63"/>
      <c r="H538" s="63"/>
      <c r="I538" s="63"/>
      <c r="J538" s="63"/>
      <c r="K538" s="47" t="str">
        <f t="shared" si="13"/>
        <v/>
      </c>
    </row>
    <row r="539">
      <c r="A539" s="42" t="s">
        <v>741</v>
      </c>
      <c r="B539" s="48"/>
      <c r="C539" s="42"/>
      <c r="D539" s="62"/>
      <c r="E539" s="63"/>
      <c r="F539" s="63"/>
      <c r="G539" s="63"/>
      <c r="H539" s="63"/>
      <c r="I539" s="63"/>
      <c r="J539" s="63"/>
      <c r="K539" s="47" t="str">
        <f t="shared" si="13"/>
        <v/>
      </c>
    </row>
    <row r="540">
      <c r="A540" s="42" t="s">
        <v>742</v>
      </c>
      <c r="B540" s="48"/>
      <c r="C540" s="42"/>
      <c r="D540" s="62"/>
      <c r="E540" s="63"/>
      <c r="F540" s="63"/>
      <c r="G540" s="63"/>
      <c r="H540" s="63"/>
      <c r="I540" s="63"/>
      <c r="J540" s="63"/>
      <c r="K540" s="47" t="str">
        <f t="shared" si="13"/>
        <v/>
      </c>
    </row>
    <row r="541">
      <c r="A541" s="42" t="s">
        <v>743</v>
      </c>
      <c r="B541" s="48"/>
      <c r="C541" s="42"/>
      <c r="D541" s="62"/>
      <c r="E541" s="63"/>
      <c r="F541" s="63"/>
      <c r="G541" s="63"/>
      <c r="H541" s="63"/>
      <c r="I541" s="63"/>
      <c r="J541" s="63"/>
      <c r="K541" s="47" t="str">
        <f t="shared" si="13"/>
        <v/>
      </c>
    </row>
    <row r="542">
      <c r="A542" s="42" t="s">
        <v>744</v>
      </c>
      <c r="B542" s="48"/>
      <c r="C542" s="42"/>
      <c r="D542" s="62"/>
      <c r="E542" s="63"/>
      <c r="F542" s="63"/>
      <c r="G542" s="63"/>
      <c r="H542" s="63"/>
      <c r="I542" s="63"/>
      <c r="J542" s="63"/>
      <c r="K542" s="47" t="str">
        <f t="shared" si="13"/>
        <v/>
      </c>
    </row>
    <row r="543">
      <c r="A543" s="42" t="s">
        <v>745</v>
      </c>
      <c r="B543" s="48"/>
      <c r="C543" s="42"/>
      <c r="D543" s="62"/>
      <c r="E543" s="63"/>
      <c r="F543" s="63"/>
      <c r="G543" s="63"/>
      <c r="H543" s="63"/>
      <c r="I543" s="63"/>
      <c r="J543" s="63"/>
      <c r="K543" s="47" t="str">
        <f t="shared" si="13"/>
        <v/>
      </c>
    </row>
    <row r="544">
      <c r="A544" s="42" t="s">
        <v>746</v>
      </c>
      <c r="B544" s="48"/>
      <c r="C544" s="42"/>
      <c r="D544" s="62"/>
      <c r="E544" s="63"/>
      <c r="F544" s="63"/>
      <c r="G544" s="63"/>
      <c r="H544" s="63"/>
      <c r="I544" s="63"/>
      <c r="J544" s="63"/>
      <c r="K544" s="47" t="str">
        <f t="shared" si="13"/>
        <v/>
      </c>
    </row>
    <row r="545">
      <c r="A545" s="42" t="s">
        <v>747</v>
      </c>
      <c r="B545" s="48"/>
      <c r="C545" s="42"/>
      <c r="D545" s="62"/>
      <c r="E545" s="63"/>
      <c r="F545" s="63"/>
      <c r="G545" s="63"/>
      <c r="H545" s="63"/>
      <c r="I545" s="63"/>
      <c r="J545" s="63"/>
      <c r="K545" s="47" t="str">
        <f t="shared" si="13"/>
        <v/>
      </c>
    </row>
    <row r="546">
      <c r="A546" s="42" t="s">
        <v>748</v>
      </c>
      <c r="B546" s="48"/>
      <c r="C546" s="42"/>
      <c r="D546" s="62"/>
      <c r="E546" s="63"/>
      <c r="F546" s="63"/>
      <c r="G546" s="63"/>
      <c r="H546" s="63"/>
      <c r="I546" s="63"/>
      <c r="J546" s="63"/>
      <c r="K546" s="47" t="str">
        <f t="shared" si="13"/>
        <v/>
      </c>
    </row>
    <row r="547">
      <c r="A547" s="42" t="s">
        <v>749</v>
      </c>
      <c r="B547" s="48"/>
      <c r="C547" s="42"/>
      <c r="D547" s="62"/>
      <c r="E547" s="63"/>
      <c r="F547" s="63"/>
      <c r="G547" s="63"/>
      <c r="H547" s="63"/>
      <c r="I547" s="63"/>
      <c r="J547" s="63"/>
      <c r="K547" s="47" t="str">
        <f t="shared" si="13"/>
        <v/>
      </c>
    </row>
    <row r="548">
      <c r="A548" s="42" t="s">
        <v>750</v>
      </c>
      <c r="B548" s="48"/>
      <c r="C548" s="42"/>
      <c r="D548" s="62"/>
      <c r="E548" s="63"/>
      <c r="F548" s="63"/>
      <c r="G548" s="63"/>
      <c r="H548" s="63"/>
      <c r="I548" s="63"/>
      <c r="J548" s="63"/>
      <c r="K548" s="47" t="str">
        <f t="shared" si="13"/>
        <v/>
      </c>
    </row>
    <row r="549">
      <c r="A549" s="42" t="s">
        <v>751</v>
      </c>
      <c r="B549" s="48"/>
      <c r="C549" s="42"/>
      <c r="D549" s="62"/>
      <c r="E549" s="63"/>
      <c r="F549" s="63"/>
      <c r="G549" s="63"/>
      <c r="H549" s="63"/>
      <c r="I549" s="63"/>
      <c r="J549" s="63"/>
      <c r="K549" s="47" t="str">
        <f t="shared" si="13"/>
        <v/>
      </c>
    </row>
    <row r="550">
      <c r="A550" s="42" t="s">
        <v>752</v>
      </c>
      <c r="B550" s="48"/>
      <c r="C550" s="42"/>
      <c r="D550" s="62"/>
      <c r="E550" s="63"/>
      <c r="F550" s="63"/>
      <c r="G550" s="63"/>
      <c r="H550" s="63"/>
      <c r="I550" s="63"/>
      <c r="J550" s="63"/>
      <c r="K550" s="47" t="str">
        <f t="shared" si="13"/>
        <v/>
      </c>
    </row>
    <row r="551">
      <c r="A551" s="42" t="s">
        <v>753</v>
      </c>
      <c r="B551" s="48"/>
      <c r="C551" s="42"/>
      <c r="D551" s="62"/>
      <c r="E551" s="63"/>
      <c r="F551" s="63"/>
      <c r="G551" s="63"/>
      <c r="H551" s="63"/>
      <c r="I551" s="63"/>
      <c r="J551" s="63"/>
      <c r="K551" s="47" t="str">
        <f t="shared" si="13"/>
        <v/>
      </c>
    </row>
    <row r="552">
      <c r="A552" s="42" t="s">
        <v>754</v>
      </c>
      <c r="B552" s="48"/>
      <c r="C552" s="42"/>
      <c r="D552" s="62"/>
      <c r="E552" s="63"/>
      <c r="F552" s="63"/>
      <c r="G552" s="63"/>
      <c r="H552" s="63"/>
      <c r="I552" s="63"/>
      <c r="J552" s="63"/>
      <c r="K552" s="47" t="str">
        <f t="shared" si="13"/>
        <v/>
      </c>
    </row>
    <row r="553">
      <c r="A553" s="42" t="s">
        <v>755</v>
      </c>
      <c r="B553" s="48"/>
      <c r="C553" s="42"/>
      <c r="D553" s="62"/>
      <c r="E553" s="63"/>
      <c r="F553" s="63"/>
      <c r="G553" s="63"/>
      <c r="H553" s="63"/>
      <c r="I553" s="63"/>
      <c r="J553" s="63"/>
      <c r="K553" s="47" t="str">
        <f t="shared" si="13"/>
        <v/>
      </c>
    </row>
    <row r="554">
      <c r="A554" s="42" t="s">
        <v>756</v>
      </c>
      <c r="B554" s="48"/>
      <c r="C554" s="42"/>
      <c r="D554" s="62"/>
      <c r="E554" s="63"/>
      <c r="F554" s="63"/>
      <c r="G554" s="63"/>
      <c r="H554" s="63"/>
      <c r="I554" s="63"/>
      <c r="J554" s="63"/>
      <c r="K554" s="47" t="str">
        <f t="shared" si="13"/>
        <v/>
      </c>
    </row>
    <row r="555">
      <c r="A555" s="42" t="s">
        <v>757</v>
      </c>
      <c r="B555" s="48"/>
      <c r="C555" s="42"/>
      <c r="D555" s="62"/>
      <c r="E555" s="63"/>
      <c r="F555" s="63"/>
      <c r="G555" s="63"/>
      <c r="H555" s="63"/>
      <c r="I555" s="63"/>
      <c r="J555" s="63"/>
      <c r="K555" s="47" t="str">
        <f t="shared" si="13"/>
        <v/>
      </c>
    </row>
    <row r="556">
      <c r="A556" s="42" t="s">
        <v>758</v>
      </c>
      <c r="B556" s="48"/>
      <c r="C556" s="42"/>
      <c r="D556" s="62"/>
      <c r="E556" s="63"/>
      <c r="F556" s="63"/>
      <c r="G556" s="63"/>
      <c r="H556" s="63"/>
      <c r="I556" s="63"/>
      <c r="J556" s="63"/>
      <c r="K556" s="47" t="str">
        <f t="shared" si="13"/>
        <v/>
      </c>
    </row>
    <row r="557">
      <c r="A557" s="42" t="s">
        <v>759</v>
      </c>
      <c r="B557" s="48"/>
      <c r="C557" s="42"/>
      <c r="D557" s="62"/>
      <c r="E557" s="63"/>
      <c r="F557" s="63"/>
      <c r="G557" s="63"/>
      <c r="H557" s="63"/>
      <c r="I557" s="63"/>
      <c r="J557" s="63"/>
      <c r="K557" s="47" t="str">
        <f t="shared" si="13"/>
        <v/>
      </c>
    </row>
    <row r="558">
      <c r="A558" s="42" t="s">
        <v>760</v>
      </c>
      <c r="B558" s="48"/>
      <c r="C558" s="42"/>
      <c r="D558" s="62"/>
      <c r="E558" s="63"/>
      <c r="F558" s="63"/>
      <c r="G558" s="63"/>
      <c r="H558" s="63"/>
      <c r="I558" s="63"/>
      <c r="J558" s="63"/>
      <c r="K558" s="47" t="str">
        <f t="shared" si="13"/>
        <v/>
      </c>
    </row>
    <row r="559">
      <c r="A559" s="42" t="s">
        <v>761</v>
      </c>
      <c r="B559" s="48"/>
      <c r="C559" s="42"/>
      <c r="D559" s="62"/>
      <c r="E559" s="63"/>
      <c r="F559" s="63"/>
      <c r="G559" s="63"/>
      <c r="H559" s="63"/>
      <c r="I559" s="63"/>
      <c r="J559" s="63"/>
      <c r="K559" s="47" t="str">
        <f t="shared" si="13"/>
        <v/>
      </c>
    </row>
    <row r="560">
      <c r="A560" s="42" t="s">
        <v>762</v>
      </c>
      <c r="B560" s="48"/>
      <c r="C560" s="42"/>
      <c r="D560" s="62"/>
      <c r="E560" s="63"/>
      <c r="F560" s="63"/>
      <c r="G560" s="63"/>
      <c r="H560" s="63"/>
      <c r="I560" s="63"/>
      <c r="J560" s="63"/>
      <c r="K560" s="47" t="str">
        <f t="shared" si="13"/>
        <v/>
      </c>
    </row>
    <row r="561">
      <c r="A561" s="42" t="s">
        <v>763</v>
      </c>
      <c r="B561" s="48"/>
      <c r="C561" s="42"/>
      <c r="D561" s="62"/>
      <c r="E561" s="63"/>
      <c r="F561" s="63"/>
      <c r="G561" s="63"/>
      <c r="H561" s="63"/>
      <c r="I561" s="63"/>
      <c r="J561" s="63"/>
      <c r="K561" s="47" t="str">
        <f t="shared" si="13"/>
        <v/>
      </c>
    </row>
    <row r="562">
      <c r="A562" s="42" t="s">
        <v>764</v>
      </c>
      <c r="B562" s="48"/>
      <c r="C562" s="42"/>
      <c r="D562" s="62"/>
      <c r="E562" s="63"/>
      <c r="F562" s="63"/>
      <c r="G562" s="63"/>
      <c r="H562" s="63"/>
      <c r="I562" s="63"/>
      <c r="J562" s="63"/>
      <c r="K562" s="47" t="str">
        <f t="shared" si="13"/>
        <v/>
      </c>
    </row>
    <row r="563">
      <c r="A563" s="42" t="s">
        <v>765</v>
      </c>
      <c r="B563" s="48"/>
      <c r="C563" s="42"/>
      <c r="D563" s="62"/>
      <c r="E563" s="63"/>
      <c r="F563" s="63"/>
      <c r="G563" s="63"/>
      <c r="H563" s="63"/>
      <c r="I563" s="63"/>
      <c r="J563" s="63"/>
      <c r="K563" s="47" t="str">
        <f t="shared" si="13"/>
        <v/>
      </c>
    </row>
    <row r="564">
      <c r="A564" s="42" t="s">
        <v>766</v>
      </c>
      <c r="B564" s="48"/>
      <c r="C564" s="42"/>
      <c r="D564" s="62"/>
      <c r="E564" s="63"/>
      <c r="F564" s="63"/>
      <c r="G564" s="63"/>
      <c r="H564" s="63"/>
      <c r="I564" s="63"/>
      <c r="J564" s="63"/>
      <c r="K564" s="47" t="str">
        <f t="shared" si="13"/>
        <v/>
      </c>
    </row>
    <row r="565">
      <c r="A565" s="42" t="s">
        <v>767</v>
      </c>
      <c r="B565" s="48"/>
      <c r="C565" s="42"/>
      <c r="D565" s="62"/>
      <c r="E565" s="63"/>
      <c r="F565" s="63"/>
      <c r="G565" s="63"/>
      <c r="H565" s="63"/>
      <c r="I565" s="63"/>
      <c r="J565" s="63"/>
      <c r="K565" s="47" t="str">
        <f t="shared" si="13"/>
        <v/>
      </c>
    </row>
    <row r="566">
      <c r="A566" s="42" t="s">
        <v>768</v>
      </c>
      <c r="B566" s="48"/>
      <c r="C566" s="42"/>
      <c r="D566" s="62"/>
      <c r="E566" s="63"/>
      <c r="F566" s="63"/>
      <c r="G566" s="63"/>
      <c r="H566" s="63"/>
      <c r="I566" s="63"/>
      <c r="J566" s="63"/>
      <c r="K566" s="47" t="str">
        <f t="shared" si="13"/>
        <v/>
      </c>
    </row>
    <row r="567">
      <c r="A567" s="42" t="s">
        <v>769</v>
      </c>
      <c r="B567" s="48"/>
      <c r="C567" s="42"/>
      <c r="D567" s="62"/>
      <c r="E567" s="63"/>
      <c r="F567" s="63"/>
      <c r="G567" s="63"/>
      <c r="H567" s="63"/>
      <c r="I567" s="63"/>
      <c r="J567" s="63"/>
      <c r="K567" s="47" t="str">
        <f t="shared" si="13"/>
        <v/>
      </c>
    </row>
    <row r="568">
      <c r="A568" s="42" t="s">
        <v>770</v>
      </c>
      <c r="B568" s="48"/>
      <c r="C568" s="42"/>
      <c r="D568" s="62"/>
      <c r="E568" s="63"/>
      <c r="F568" s="63"/>
      <c r="G568" s="63"/>
      <c r="H568" s="63"/>
      <c r="I568" s="63"/>
      <c r="J568" s="63"/>
      <c r="K568" s="47" t="str">
        <f t="shared" si="13"/>
        <v/>
      </c>
    </row>
    <row r="569">
      <c r="A569" s="42" t="s">
        <v>771</v>
      </c>
      <c r="B569" s="48"/>
      <c r="C569" s="42"/>
      <c r="D569" s="62"/>
      <c r="E569" s="63"/>
      <c r="F569" s="63"/>
      <c r="G569" s="63"/>
      <c r="H569" s="63"/>
      <c r="I569" s="63"/>
      <c r="J569" s="63"/>
      <c r="K569" s="47" t="str">
        <f t="shared" si="13"/>
        <v/>
      </c>
    </row>
    <row r="570">
      <c r="A570" s="42" t="s">
        <v>772</v>
      </c>
      <c r="B570" s="48"/>
      <c r="C570" s="42"/>
      <c r="D570" s="62"/>
      <c r="E570" s="63"/>
      <c r="F570" s="63"/>
      <c r="G570" s="63"/>
      <c r="H570" s="63"/>
      <c r="I570" s="63"/>
      <c r="J570" s="63"/>
      <c r="K570" s="47" t="str">
        <f t="shared" si="13"/>
        <v/>
      </c>
    </row>
    <row r="571">
      <c r="A571" s="42" t="s">
        <v>773</v>
      </c>
      <c r="B571" s="48"/>
      <c r="C571" s="42"/>
      <c r="D571" s="62"/>
      <c r="E571" s="63"/>
      <c r="F571" s="63"/>
      <c r="G571" s="63"/>
      <c r="H571" s="63"/>
      <c r="I571" s="63"/>
      <c r="J571" s="63"/>
      <c r="K571" s="47" t="str">
        <f t="shared" si="13"/>
        <v/>
      </c>
    </row>
    <row r="572">
      <c r="A572" s="42" t="s">
        <v>774</v>
      </c>
      <c r="B572" s="48"/>
      <c r="C572" s="42"/>
      <c r="D572" s="62"/>
      <c r="E572" s="63"/>
      <c r="F572" s="63"/>
      <c r="G572" s="63"/>
      <c r="H572" s="63"/>
      <c r="I572" s="63"/>
      <c r="J572" s="63"/>
      <c r="K572" s="47" t="str">
        <f t="shared" si="13"/>
        <v/>
      </c>
    </row>
    <row r="573">
      <c r="A573" s="42" t="s">
        <v>775</v>
      </c>
      <c r="B573" s="48"/>
      <c r="C573" s="42"/>
      <c r="D573" s="62"/>
      <c r="E573" s="63"/>
      <c r="F573" s="63"/>
      <c r="G573" s="63"/>
      <c r="H573" s="63"/>
      <c r="I573" s="63"/>
      <c r="J573" s="63"/>
      <c r="K573" s="47" t="str">
        <f t="shared" si="13"/>
        <v/>
      </c>
    </row>
    <row r="574">
      <c r="A574" s="42" t="s">
        <v>776</v>
      </c>
      <c r="B574" s="48"/>
      <c r="C574" s="42"/>
      <c r="D574" s="62"/>
      <c r="E574" s="63"/>
      <c r="F574" s="63"/>
      <c r="G574" s="63"/>
      <c r="H574" s="63"/>
      <c r="I574" s="63"/>
      <c r="J574" s="63"/>
      <c r="K574" s="47" t="str">
        <f t="shared" si="13"/>
        <v/>
      </c>
    </row>
    <row r="575">
      <c r="A575" s="42" t="s">
        <v>777</v>
      </c>
      <c r="B575" s="48"/>
      <c r="C575" s="42"/>
      <c r="D575" s="62"/>
      <c r="E575" s="63"/>
      <c r="F575" s="63"/>
      <c r="G575" s="63"/>
      <c r="H575" s="63"/>
      <c r="I575" s="63"/>
      <c r="J575" s="63"/>
      <c r="K575" s="47" t="str">
        <f t="shared" si="13"/>
        <v/>
      </c>
    </row>
    <row r="576">
      <c r="A576" s="42" t="s">
        <v>778</v>
      </c>
      <c r="B576" s="48"/>
      <c r="C576" s="42"/>
      <c r="D576" s="62"/>
      <c r="E576" s="63"/>
      <c r="F576" s="63"/>
      <c r="G576" s="63"/>
      <c r="H576" s="63"/>
      <c r="I576" s="63"/>
      <c r="J576" s="63"/>
      <c r="K576" s="47" t="str">
        <f t="shared" si="13"/>
        <v/>
      </c>
    </row>
    <row r="577">
      <c r="A577" s="42" t="s">
        <v>779</v>
      </c>
      <c r="B577" s="48"/>
      <c r="C577" s="42"/>
      <c r="D577" s="62"/>
      <c r="E577" s="63"/>
      <c r="F577" s="63"/>
      <c r="G577" s="63"/>
      <c r="H577" s="63"/>
      <c r="I577" s="63"/>
      <c r="J577" s="63"/>
      <c r="K577" s="47" t="str">
        <f t="shared" si="13"/>
        <v/>
      </c>
    </row>
    <row r="578">
      <c r="A578" s="42" t="s">
        <v>780</v>
      </c>
      <c r="B578" s="48"/>
      <c r="C578" s="42"/>
      <c r="D578" s="62"/>
      <c r="E578" s="63"/>
      <c r="F578" s="63"/>
      <c r="G578" s="63"/>
      <c r="H578" s="63"/>
      <c r="I578" s="63"/>
      <c r="J578" s="63"/>
      <c r="K578" s="47" t="str">
        <f t="shared" si="13"/>
        <v/>
      </c>
    </row>
    <row r="579">
      <c r="A579" s="42" t="s">
        <v>781</v>
      </c>
      <c r="B579" s="48"/>
      <c r="C579" s="42"/>
      <c r="D579" s="62"/>
      <c r="E579" s="63"/>
      <c r="F579" s="63"/>
      <c r="G579" s="63"/>
      <c r="H579" s="63"/>
      <c r="I579" s="63"/>
      <c r="J579" s="63"/>
      <c r="K579" s="47" t="str">
        <f t="shared" si="13"/>
        <v/>
      </c>
    </row>
    <row r="580">
      <c r="A580" s="42" t="s">
        <v>782</v>
      </c>
      <c r="B580" s="48"/>
      <c r="C580" s="42"/>
      <c r="D580" s="62"/>
      <c r="E580" s="63"/>
      <c r="F580" s="63"/>
      <c r="G580" s="63"/>
      <c r="H580" s="63"/>
      <c r="I580" s="63"/>
      <c r="J580" s="63"/>
      <c r="K580" s="47" t="str">
        <f t="shared" si="13"/>
        <v/>
      </c>
    </row>
    <row r="581">
      <c r="A581" s="42" t="s">
        <v>783</v>
      </c>
      <c r="B581" s="48"/>
      <c r="C581" s="42"/>
      <c r="D581" s="62"/>
      <c r="E581" s="63"/>
      <c r="F581" s="63"/>
      <c r="G581" s="63"/>
      <c r="H581" s="63"/>
      <c r="I581" s="63"/>
      <c r="J581" s="63"/>
      <c r="K581" s="47" t="str">
        <f t="shared" si="13"/>
        <v/>
      </c>
    </row>
    <row r="582">
      <c r="A582" s="42" t="s">
        <v>784</v>
      </c>
      <c r="B582" s="48"/>
      <c r="C582" s="42"/>
      <c r="D582" s="62"/>
      <c r="E582" s="63"/>
      <c r="F582" s="63"/>
      <c r="G582" s="63"/>
      <c r="H582" s="63"/>
      <c r="I582" s="63"/>
      <c r="J582" s="63"/>
      <c r="K582" s="47" t="str">
        <f t="shared" si="13"/>
        <v/>
      </c>
    </row>
    <row r="583">
      <c r="A583" s="42" t="s">
        <v>785</v>
      </c>
      <c r="B583" s="48"/>
      <c r="C583" s="42"/>
      <c r="D583" s="62"/>
      <c r="E583" s="63"/>
      <c r="F583" s="63"/>
      <c r="G583" s="63"/>
      <c r="H583" s="63"/>
      <c r="I583" s="63"/>
      <c r="J583" s="63"/>
      <c r="K583" s="47" t="str">
        <f t="shared" si="13"/>
        <v/>
      </c>
    </row>
    <row r="584">
      <c r="A584" s="42" t="s">
        <v>786</v>
      </c>
      <c r="B584" s="48"/>
      <c r="C584" s="42"/>
      <c r="D584" s="62"/>
      <c r="E584" s="63"/>
      <c r="F584" s="63"/>
      <c r="G584" s="63"/>
      <c r="H584" s="63"/>
      <c r="I584" s="63"/>
      <c r="J584" s="63"/>
      <c r="K584" s="47" t="str">
        <f t="shared" si="13"/>
        <v/>
      </c>
    </row>
    <row r="585">
      <c r="A585" s="42" t="s">
        <v>787</v>
      </c>
      <c r="B585" s="48"/>
      <c r="C585" s="42"/>
      <c r="D585" s="62"/>
      <c r="E585" s="63"/>
      <c r="F585" s="63"/>
      <c r="G585" s="63"/>
      <c r="H585" s="63"/>
      <c r="I585" s="63"/>
      <c r="J585" s="63"/>
      <c r="K585" s="47" t="str">
        <f t="shared" si="13"/>
        <v/>
      </c>
    </row>
    <row r="586">
      <c r="A586" s="42" t="s">
        <v>788</v>
      </c>
      <c r="B586" s="48"/>
      <c r="C586" s="42"/>
      <c r="D586" s="62"/>
      <c r="E586" s="63"/>
      <c r="F586" s="63"/>
      <c r="G586" s="63"/>
      <c r="H586" s="63"/>
      <c r="I586" s="63"/>
      <c r="J586" s="63"/>
      <c r="K586" s="47" t="str">
        <f t="shared" si="13"/>
        <v/>
      </c>
    </row>
    <row r="587">
      <c r="A587" s="42" t="s">
        <v>789</v>
      </c>
      <c r="B587" s="48"/>
      <c r="C587" s="42"/>
      <c r="D587" s="62"/>
      <c r="E587" s="63"/>
      <c r="F587" s="63"/>
      <c r="G587" s="63"/>
      <c r="H587" s="63"/>
      <c r="I587" s="63"/>
      <c r="J587" s="63"/>
      <c r="K587" s="47" t="str">
        <f t="shared" si="13"/>
        <v/>
      </c>
    </row>
    <row r="588">
      <c r="A588" s="42" t="s">
        <v>790</v>
      </c>
      <c r="B588" s="48"/>
      <c r="C588" s="42"/>
      <c r="D588" s="62"/>
      <c r="E588" s="63"/>
      <c r="F588" s="63"/>
      <c r="G588" s="63"/>
      <c r="H588" s="63"/>
      <c r="I588" s="63"/>
      <c r="J588" s="63"/>
      <c r="K588" s="47" t="str">
        <f t="shared" si="13"/>
        <v/>
      </c>
    </row>
    <row r="589">
      <c r="A589" s="42" t="s">
        <v>791</v>
      </c>
      <c r="B589" s="48"/>
      <c r="C589" s="42"/>
      <c r="D589" s="62"/>
      <c r="E589" s="63"/>
      <c r="F589" s="63"/>
      <c r="G589" s="63"/>
      <c r="H589" s="63"/>
      <c r="I589" s="63"/>
      <c r="J589" s="63"/>
      <c r="K589" s="47" t="str">
        <f t="shared" si="13"/>
        <v/>
      </c>
    </row>
    <row r="590">
      <c r="A590" s="42" t="s">
        <v>792</v>
      </c>
      <c r="B590" s="48"/>
      <c r="C590" s="42"/>
      <c r="D590" s="62"/>
      <c r="E590" s="63"/>
      <c r="F590" s="63"/>
      <c r="G590" s="63"/>
      <c r="H590" s="63"/>
      <c r="I590" s="63"/>
      <c r="J590" s="63"/>
      <c r="K590" s="47" t="str">
        <f t="shared" si="13"/>
        <v/>
      </c>
    </row>
    <row r="591">
      <c r="A591" s="42" t="s">
        <v>793</v>
      </c>
      <c r="B591" s="48"/>
      <c r="C591" s="42"/>
      <c r="D591" s="62"/>
      <c r="E591" s="63"/>
      <c r="F591" s="63"/>
      <c r="G591" s="63"/>
      <c r="H591" s="63"/>
      <c r="I591" s="63"/>
      <c r="J591" s="63"/>
      <c r="K591" s="47" t="str">
        <f t="shared" si="13"/>
        <v/>
      </c>
    </row>
    <row r="592">
      <c r="A592" s="42" t="s">
        <v>794</v>
      </c>
      <c r="B592" s="48"/>
      <c r="C592" s="42"/>
      <c r="D592" s="62"/>
      <c r="E592" s="63"/>
      <c r="F592" s="63"/>
      <c r="G592" s="63"/>
      <c r="H592" s="63"/>
      <c r="I592" s="63"/>
      <c r="J592" s="63"/>
      <c r="K592" s="47" t="str">
        <f t="shared" si="13"/>
        <v/>
      </c>
    </row>
    <row r="593">
      <c r="A593" s="42" t="s">
        <v>795</v>
      </c>
      <c r="B593" s="48"/>
      <c r="C593" s="42"/>
      <c r="D593" s="62"/>
      <c r="E593" s="63"/>
      <c r="F593" s="63"/>
      <c r="G593" s="63"/>
      <c r="H593" s="63"/>
      <c r="I593" s="63"/>
      <c r="J593" s="63"/>
      <c r="K593" s="47" t="str">
        <f t="shared" si="13"/>
        <v/>
      </c>
    </row>
    <row r="594">
      <c r="A594" s="42" t="s">
        <v>796</v>
      </c>
      <c r="B594" s="48"/>
      <c r="C594" s="42"/>
      <c r="D594" s="62"/>
      <c r="E594" s="63"/>
      <c r="F594" s="63"/>
      <c r="G594" s="63"/>
      <c r="H594" s="63"/>
      <c r="I594" s="63"/>
      <c r="J594" s="63"/>
      <c r="K594" s="47" t="str">
        <f t="shared" si="13"/>
        <v/>
      </c>
    </row>
    <row r="595">
      <c r="A595" s="42" t="s">
        <v>797</v>
      </c>
      <c r="B595" s="48"/>
      <c r="C595" s="42"/>
      <c r="D595" s="62"/>
      <c r="E595" s="63"/>
      <c r="F595" s="63"/>
      <c r="G595" s="63"/>
      <c r="H595" s="63"/>
      <c r="I595" s="63"/>
      <c r="J595" s="63"/>
      <c r="K595" s="47" t="str">
        <f t="shared" si="13"/>
        <v/>
      </c>
    </row>
    <row r="596">
      <c r="A596" s="42" t="s">
        <v>798</v>
      </c>
      <c r="B596" s="48"/>
      <c r="C596" s="42"/>
      <c r="D596" s="62"/>
      <c r="E596" s="63"/>
      <c r="F596" s="63"/>
      <c r="G596" s="63"/>
      <c r="H596" s="63"/>
      <c r="I596" s="63"/>
      <c r="J596" s="63"/>
      <c r="K596" s="47" t="str">
        <f t="shared" si="13"/>
        <v/>
      </c>
    </row>
    <row r="597">
      <c r="A597" s="42" t="s">
        <v>799</v>
      </c>
      <c r="B597" s="48"/>
      <c r="C597" s="42"/>
      <c r="D597" s="62"/>
      <c r="E597" s="63"/>
      <c r="F597" s="63"/>
      <c r="G597" s="63"/>
      <c r="H597" s="63"/>
      <c r="I597" s="63"/>
      <c r="J597" s="63"/>
      <c r="K597" s="47" t="str">
        <f t="shared" si="13"/>
        <v/>
      </c>
    </row>
    <row r="598">
      <c r="A598" s="42" t="s">
        <v>800</v>
      </c>
      <c r="B598" s="48"/>
      <c r="C598" s="42"/>
      <c r="D598" s="62"/>
      <c r="E598" s="63"/>
      <c r="F598" s="63"/>
      <c r="G598" s="63"/>
      <c r="H598" s="63"/>
      <c r="I598" s="63"/>
      <c r="J598" s="63"/>
      <c r="K598" s="47" t="str">
        <f t="shared" si="13"/>
        <v/>
      </c>
    </row>
    <row r="599">
      <c r="A599" s="42" t="s">
        <v>801</v>
      </c>
      <c r="B599" s="48"/>
      <c r="C599" s="42"/>
      <c r="D599" s="62"/>
      <c r="E599" s="63"/>
      <c r="F599" s="63"/>
      <c r="G599" s="63"/>
      <c r="H599" s="63"/>
      <c r="I599" s="63"/>
      <c r="J599" s="63"/>
      <c r="K599" s="47" t="str">
        <f t="shared" si="13"/>
        <v/>
      </c>
    </row>
    <row r="600">
      <c r="A600" s="42" t="s">
        <v>802</v>
      </c>
      <c r="B600" s="48"/>
      <c r="C600" s="42"/>
      <c r="D600" s="62"/>
      <c r="E600" s="63"/>
      <c r="F600" s="63"/>
      <c r="G600" s="63"/>
      <c r="H600" s="63"/>
      <c r="I600" s="63"/>
      <c r="J600" s="63"/>
      <c r="K600" s="47" t="str">
        <f t="shared" si="13"/>
        <v/>
      </c>
    </row>
    <row r="601">
      <c r="A601" s="42" t="s">
        <v>803</v>
      </c>
      <c r="B601" s="48"/>
      <c r="C601" s="42"/>
      <c r="D601" s="62"/>
      <c r="E601" s="63"/>
      <c r="F601" s="63"/>
      <c r="G601" s="63"/>
      <c r="H601" s="63"/>
      <c r="I601" s="63"/>
      <c r="J601" s="63"/>
      <c r="K601" s="47" t="str">
        <f t="shared" si="13"/>
        <v/>
      </c>
    </row>
    <row r="602">
      <c r="A602" s="42" t="s">
        <v>804</v>
      </c>
      <c r="B602" s="48"/>
      <c r="C602" s="42"/>
      <c r="D602" s="62"/>
      <c r="E602" s="63"/>
      <c r="F602" s="63"/>
      <c r="G602" s="63"/>
      <c r="H602" s="63"/>
      <c r="I602" s="63"/>
      <c r="J602" s="63"/>
      <c r="K602" s="47" t="str">
        <f t="shared" si="13"/>
        <v/>
      </c>
    </row>
    <row r="603">
      <c r="A603" s="42" t="s">
        <v>805</v>
      </c>
      <c r="B603" s="48"/>
      <c r="C603" s="42"/>
      <c r="D603" s="62"/>
      <c r="E603" s="63"/>
      <c r="F603" s="63"/>
      <c r="G603" s="63"/>
      <c r="H603" s="63"/>
      <c r="I603" s="63"/>
      <c r="J603" s="63"/>
      <c r="K603" s="47" t="str">
        <f t="shared" si="13"/>
        <v/>
      </c>
    </row>
    <row r="604">
      <c r="A604" s="42" t="s">
        <v>806</v>
      </c>
      <c r="B604" s="48"/>
      <c r="C604" s="42"/>
      <c r="D604" s="62"/>
      <c r="E604" s="63"/>
      <c r="F604" s="63"/>
      <c r="G604" s="63"/>
      <c r="H604" s="63"/>
      <c r="I604" s="63"/>
      <c r="J604" s="63"/>
      <c r="K604" s="47" t="str">
        <f t="shared" si="13"/>
        <v/>
      </c>
    </row>
    <row r="605">
      <c r="A605" s="42" t="s">
        <v>807</v>
      </c>
      <c r="B605" s="48"/>
      <c r="C605" s="42"/>
      <c r="D605" s="62"/>
      <c r="E605" s="63"/>
      <c r="F605" s="63"/>
      <c r="G605" s="63"/>
      <c r="H605" s="63"/>
      <c r="I605" s="63"/>
      <c r="J605" s="63"/>
      <c r="K605" s="47" t="str">
        <f t="shared" si="13"/>
        <v/>
      </c>
    </row>
    <row r="606">
      <c r="A606" s="42" t="s">
        <v>808</v>
      </c>
      <c r="B606" s="48"/>
      <c r="C606" s="42"/>
      <c r="D606" s="62"/>
      <c r="E606" s="63"/>
      <c r="F606" s="63"/>
      <c r="G606" s="63"/>
      <c r="H606" s="63"/>
      <c r="I606" s="63"/>
      <c r="J606" s="63"/>
      <c r="K606" s="47" t="str">
        <f t="shared" si="13"/>
        <v/>
      </c>
    </row>
    <row r="607">
      <c r="A607" s="42" t="s">
        <v>809</v>
      </c>
      <c r="B607" s="48"/>
      <c r="C607" s="42"/>
      <c r="D607" s="62"/>
      <c r="E607" s="63"/>
      <c r="F607" s="63"/>
      <c r="G607" s="63"/>
      <c r="H607" s="63"/>
      <c r="I607" s="63"/>
      <c r="J607" s="63"/>
      <c r="K607" s="47" t="str">
        <f t="shared" si="13"/>
        <v/>
      </c>
    </row>
    <row r="608">
      <c r="A608" s="42" t="s">
        <v>810</v>
      </c>
      <c r="B608" s="48"/>
      <c r="C608" s="42"/>
      <c r="D608" s="62"/>
      <c r="E608" s="63"/>
      <c r="F608" s="63"/>
      <c r="G608" s="63"/>
      <c r="H608" s="63"/>
      <c r="I608" s="63"/>
      <c r="J608" s="63"/>
      <c r="K608" s="47" t="str">
        <f t="shared" si="13"/>
        <v/>
      </c>
    </row>
    <row r="609">
      <c r="A609" s="42" t="s">
        <v>811</v>
      </c>
      <c r="B609" s="48"/>
      <c r="C609" s="42"/>
      <c r="D609" s="62"/>
      <c r="E609" s="63"/>
      <c r="F609" s="63"/>
      <c r="G609" s="63"/>
      <c r="H609" s="63"/>
      <c r="I609" s="63"/>
      <c r="J609" s="63"/>
      <c r="K609" s="47" t="str">
        <f t="shared" si="13"/>
        <v/>
      </c>
    </row>
    <row r="610">
      <c r="A610" s="42" t="s">
        <v>812</v>
      </c>
      <c r="B610" s="48"/>
      <c r="C610" s="42"/>
      <c r="D610" s="62"/>
      <c r="E610" s="63"/>
      <c r="F610" s="63"/>
      <c r="G610" s="63"/>
      <c r="H610" s="63"/>
      <c r="I610" s="63"/>
      <c r="J610" s="63"/>
      <c r="K610" s="47" t="str">
        <f t="shared" si="13"/>
        <v/>
      </c>
    </row>
    <row r="611">
      <c r="A611" s="42" t="s">
        <v>813</v>
      </c>
      <c r="B611" s="48"/>
      <c r="C611" s="42"/>
      <c r="D611" s="62"/>
      <c r="E611" s="63"/>
      <c r="F611" s="63"/>
      <c r="G611" s="63"/>
      <c r="H611" s="63"/>
      <c r="I611" s="63"/>
      <c r="J611" s="63"/>
      <c r="K611" s="47" t="str">
        <f t="shared" si="13"/>
        <v/>
      </c>
    </row>
    <row r="612">
      <c r="A612" s="42" t="s">
        <v>814</v>
      </c>
      <c r="B612" s="48"/>
      <c r="C612" s="42"/>
      <c r="D612" s="62"/>
      <c r="E612" s="63"/>
      <c r="F612" s="63"/>
      <c r="G612" s="63"/>
      <c r="H612" s="63"/>
      <c r="I612" s="63"/>
      <c r="J612" s="63"/>
      <c r="K612" s="47" t="str">
        <f t="shared" si="13"/>
        <v/>
      </c>
    </row>
    <row r="613">
      <c r="A613" s="42" t="s">
        <v>815</v>
      </c>
      <c r="B613" s="48"/>
      <c r="C613" s="42"/>
      <c r="D613" s="62"/>
      <c r="E613" s="63"/>
      <c r="F613" s="63"/>
      <c r="G613" s="63"/>
      <c r="H613" s="63"/>
      <c r="I613" s="63"/>
      <c r="J613" s="63"/>
      <c r="K613" s="47" t="str">
        <f t="shared" si="13"/>
        <v/>
      </c>
    </row>
    <row r="614">
      <c r="A614" s="42" t="s">
        <v>816</v>
      </c>
      <c r="B614" s="48"/>
      <c r="C614" s="42"/>
      <c r="D614" s="62"/>
      <c r="E614" s="63"/>
      <c r="F614" s="63"/>
      <c r="G614" s="63"/>
      <c r="H614" s="63"/>
      <c r="I614" s="63"/>
      <c r="J614" s="63"/>
      <c r="K614" s="47" t="str">
        <f t="shared" si="13"/>
        <v/>
      </c>
    </row>
    <row r="615">
      <c r="A615" s="42" t="s">
        <v>817</v>
      </c>
      <c r="B615" s="48"/>
      <c r="C615" s="42"/>
      <c r="D615" s="62"/>
      <c r="E615" s="63"/>
      <c r="F615" s="63"/>
      <c r="G615" s="63"/>
      <c r="H615" s="63"/>
      <c r="I615" s="63"/>
      <c r="J615" s="63"/>
      <c r="K615" s="47" t="str">
        <f t="shared" si="13"/>
        <v/>
      </c>
    </row>
    <row r="616">
      <c r="A616" s="42" t="s">
        <v>818</v>
      </c>
      <c r="B616" s="48"/>
      <c r="C616" s="42"/>
      <c r="D616" s="62"/>
      <c r="E616" s="63"/>
      <c r="F616" s="63"/>
      <c r="G616" s="63"/>
      <c r="H616" s="63"/>
      <c r="I616" s="63"/>
      <c r="J616" s="63"/>
      <c r="K616" s="47" t="str">
        <f t="shared" si="13"/>
        <v/>
      </c>
    </row>
    <row r="617">
      <c r="A617" s="42" t="s">
        <v>819</v>
      </c>
      <c r="B617" s="48"/>
      <c r="C617" s="42"/>
      <c r="D617" s="62"/>
      <c r="E617" s="63"/>
      <c r="F617" s="63"/>
      <c r="G617" s="63"/>
      <c r="H617" s="63"/>
      <c r="I617" s="63"/>
      <c r="J617" s="63"/>
      <c r="K617" s="47" t="str">
        <f t="shared" si="13"/>
        <v/>
      </c>
    </row>
    <row r="618">
      <c r="A618" s="42" t="s">
        <v>820</v>
      </c>
      <c r="B618" s="48"/>
      <c r="C618" s="42"/>
      <c r="D618" s="62"/>
      <c r="E618" s="63"/>
      <c r="F618" s="63"/>
      <c r="G618" s="63"/>
      <c r="H618" s="63"/>
      <c r="I618" s="63"/>
      <c r="J618" s="63"/>
      <c r="K618" s="47" t="str">
        <f t="shared" si="13"/>
        <v/>
      </c>
    </row>
    <row r="619">
      <c r="A619" s="42" t="s">
        <v>821</v>
      </c>
      <c r="B619" s="48"/>
      <c r="C619" s="42"/>
      <c r="D619" s="62"/>
      <c r="E619" s="63"/>
      <c r="F619" s="63"/>
      <c r="G619" s="63"/>
      <c r="H619" s="63"/>
      <c r="I619" s="63"/>
      <c r="J619" s="63"/>
      <c r="K619" s="47" t="str">
        <f t="shared" si="13"/>
        <v/>
      </c>
    </row>
    <row r="620">
      <c r="A620" s="42" t="s">
        <v>822</v>
      </c>
      <c r="B620" s="48"/>
      <c r="C620" s="42"/>
      <c r="D620" s="62"/>
      <c r="E620" s="63"/>
      <c r="F620" s="63"/>
      <c r="G620" s="63"/>
      <c r="H620" s="63"/>
      <c r="I620" s="63"/>
      <c r="J620" s="63"/>
      <c r="K620" s="47" t="str">
        <f t="shared" si="13"/>
        <v/>
      </c>
    </row>
    <row r="621">
      <c r="A621" s="42" t="s">
        <v>823</v>
      </c>
      <c r="B621" s="48"/>
      <c r="C621" s="42"/>
      <c r="D621" s="62"/>
      <c r="E621" s="63"/>
      <c r="F621" s="63"/>
      <c r="G621" s="63"/>
      <c r="H621" s="63"/>
      <c r="I621" s="63"/>
      <c r="J621" s="63"/>
      <c r="K621" s="47" t="str">
        <f t="shared" si="13"/>
        <v/>
      </c>
    </row>
    <row r="622">
      <c r="A622" s="42" t="s">
        <v>824</v>
      </c>
      <c r="B622" s="48"/>
      <c r="C622" s="42"/>
      <c r="D622" s="62"/>
      <c r="E622" s="63"/>
      <c r="F622" s="63"/>
      <c r="G622" s="63"/>
      <c r="H622" s="63"/>
      <c r="I622" s="63"/>
      <c r="J622" s="63"/>
      <c r="K622" s="47" t="str">
        <f t="shared" si="13"/>
        <v/>
      </c>
    </row>
    <row r="623">
      <c r="A623" s="42" t="s">
        <v>825</v>
      </c>
      <c r="B623" s="48"/>
      <c r="C623" s="42"/>
      <c r="D623" s="62"/>
      <c r="E623" s="63"/>
      <c r="F623" s="63"/>
      <c r="G623" s="63"/>
      <c r="H623" s="63"/>
      <c r="I623" s="63"/>
      <c r="J623" s="63"/>
      <c r="K623" s="47" t="str">
        <f t="shared" si="13"/>
        <v/>
      </c>
    </row>
    <row r="624">
      <c r="A624" s="42" t="s">
        <v>826</v>
      </c>
      <c r="B624" s="48"/>
      <c r="C624" s="42"/>
      <c r="D624" s="62"/>
      <c r="E624" s="63"/>
      <c r="F624" s="63"/>
      <c r="G624" s="63"/>
      <c r="H624" s="63"/>
      <c r="I624" s="63"/>
      <c r="J624" s="63"/>
      <c r="K624" s="47" t="str">
        <f t="shared" si="13"/>
        <v/>
      </c>
    </row>
    <row r="625">
      <c r="A625" s="42" t="s">
        <v>827</v>
      </c>
      <c r="B625" s="48"/>
      <c r="C625" s="42"/>
      <c r="D625" s="62"/>
      <c r="E625" s="63"/>
      <c r="F625" s="63"/>
      <c r="G625" s="63"/>
      <c r="H625" s="63"/>
      <c r="I625" s="63"/>
      <c r="J625" s="63"/>
      <c r="K625" s="47" t="str">
        <f t="shared" si="13"/>
        <v/>
      </c>
    </row>
    <row r="626">
      <c r="A626" s="42" t="s">
        <v>828</v>
      </c>
      <c r="B626" s="48"/>
      <c r="C626" s="42"/>
      <c r="D626" s="62"/>
      <c r="E626" s="63"/>
      <c r="F626" s="63"/>
      <c r="G626" s="63"/>
      <c r="H626" s="63"/>
      <c r="I626" s="63"/>
      <c r="J626" s="63"/>
      <c r="K626" s="47" t="str">
        <f t="shared" si="13"/>
        <v/>
      </c>
    </row>
    <row r="627">
      <c r="A627" s="42" t="s">
        <v>829</v>
      </c>
      <c r="B627" s="48"/>
      <c r="C627" s="42"/>
      <c r="D627" s="62"/>
      <c r="E627" s="63"/>
      <c r="F627" s="63"/>
      <c r="G627" s="63"/>
      <c r="H627" s="63"/>
      <c r="I627" s="63"/>
      <c r="J627" s="63"/>
      <c r="K627" s="47" t="str">
        <f t="shared" si="13"/>
        <v/>
      </c>
    </row>
    <row r="628">
      <c r="A628" s="42" t="s">
        <v>830</v>
      </c>
      <c r="B628" s="48"/>
      <c r="C628" s="42"/>
      <c r="D628" s="62"/>
      <c r="E628" s="63"/>
      <c r="F628" s="63"/>
      <c r="G628" s="63"/>
      <c r="H628" s="63"/>
      <c r="I628" s="63"/>
      <c r="J628" s="63"/>
      <c r="K628" s="47" t="str">
        <f t="shared" si="13"/>
        <v/>
      </c>
    </row>
    <row r="629">
      <c r="A629" s="42" t="s">
        <v>831</v>
      </c>
      <c r="B629" s="48"/>
      <c r="C629" s="42"/>
      <c r="D629" s="62"/>
      <c r="E629" s="63"/>
      <c r="F629" s="63"/>
      <c r="G629" s="63"/>
      <c r="H629" s="63"/>
      <c r="I629" s="63"/>
      <c r="J629" s="63"/>
      <c r="K629" s="47" t="str">
        <f t="shared" si="13"/>
        <v/>
      </c>
    </row>
    <row r="630">
      <c r="A630" s="42" t="s">
        <v>832</v>
      </c>
      <c r="B630" s="48"/>
      <c r="C630" s="42"/>
      <c r="D630" s="62"/>
      <c r="E630" s="63"/>
      <c r="F630" s="63"/>
      <c r="G630" s="63"/>
      <c r="H630" s="63"/>
      <c r="I630" s="63"/>
      <c r="J630" s="63"/>
      <c r="K630" s="47" t="str">
        <f t="shared" si="13"/>
        <v/>
      </c>
    </row>
    <row r="631">
      <c r="A631" s="42" t="s">
        <v>833</v>
      </c>
      <c r="B631" s="48"/>
      <c r="C631" s="42"/>
      <c r="D631" s="62"/>
      <c r="E631" s="63"/>
      <c r="F631" s="63"/>
      <c r="G631" s="63"/>
      <c r="H631" s="63"/>
      <c r="I631" s="63"/>
      <c r="J631" s="63"/>
      <c r="K631" s="47" t="str">
        <f t="shared" si="13"/>
        <v/>
      </c>
    </row>
    <row r="632">
      <c r="A632" s="42" t="s">
        <v>834</v>
      </c>
      <c r="B632" s="48"/>
      <c r="C632" s="42"/>
      <c r="D632" s="62"/>
      <c r="E632" s="63"/>
      <c r="F632" s="63"/>
      <c r="G632" s="63"/>
      <c r="H632" s="63"/>
      <c r="I632" s="63"/>
      <c r="J632" s="63"/>
      <c r="K632" s="47" t="str">
        <f t="shared" si="13"/>
        <v/>
      </c>
    </row>
    <row r="633">
      <c r="A633" s="42" t="s">
        <v>835</v>
      </c>
      <c r="B633" s="48"/>
      <c r="C633" s="42"/>
      <c r="D633" s="62"/>
      <c r="E633" s="63"/>
      <c r="F633" s="63"/>
      <c r="G633" s="63"/>
      <c r="H633" s="63"/>
      <c r="I633" s="63"/>
      <c r="J633" s="63"/>
      <c r="K633" s="47" t="str">
        <f t="shared" si="13"/>
        <v/>
      </c>
    </row>
    <row r="634">
      <c r="A634" s="42" t="s">
        <v>836</v>
      </c>
      <c r="B634" s="48"/>
      <c r="C634" s="42"/>
      <c r="D634" s="62"/>
      <c r="E634" s="63"/>
      <c r="F634" s="63"/>
      <c r="G634" s="63"/>
      <c r="H634" s="63"/>
      <c r="I634" s="63"/>
      <c r="J634" s="63"/>
      <c r="K634" s="47" t="str">
        <f t="shared" si="13"/>
        <v/>
      </c>
    </row>
    <row r="635">
      <c r="A635" s="42" t="s">
        <v>837</v>
      </c>
      <c r="B635" s="48"/>
      <c r="C635" s="42"/>
      <c r="D635" s="62"/>
      <c r="E635" s="63"/>
      <c r="F635" s="63"/>
      <c r="G635" s="63"/>
      <c r="H635" s="63"/>
      <c r="I635" s="63"/>
      <c r="J635" s="63"/>
      <c r="K635" s="47" t="str">
        <f t="shared" si="13"/>
        <v/>
      </c>
    </row>
    <row r="636">
      <c r="A636" s="42" t="s">
        <v>838</v>
      </c>
      <c r="B636" s="48"/>
      <c r="C636" s="42"/>
      <c r="D636" s="62"/>
      <c r="E636" s="63"/>
      <c r="F636" s="63"/>
      <c r="G636" s="63"/>
      <c r="H636" s="63"/>
      <c r="I636" s="63"/>
      <c r="J636" s="63"/>
      <c r="K636" s="47" t="str">
        <f t="shared" si="13"/>
        <v/>
      </c>
    </row>
    <row r="637">
      <c r="A637" s="42" t="s">
        <v>839</v>
      </c>
      <c r="B637" s="48"/>
      <c r="C637" s="42"/>
      <c r="D637" s="62"/>
      <c r="E637" s="63"/>
      <c r="F637" s="63"/>
      <c r="G637" s="63"/>
      <c r="H637" s="63"/>
      <c r="I637" s="63"/>
      <c r="J637" s="63"/>
      <c r="K637" s="47" t="str">
        <f t="shared" si="13"/>
        <v/>
      </c>
    </row>
    <row r="638">
      <c r="A638" s="42" t="s">
        <v>840</v>
      </c>
      <c r="B638" s="48"/>
      <c r="C638" s="42"/>
      <c r="D638" s="62"/>
      <c r="E638" s="63"/>
      <c r="F638" s="63"/>
      <c r="G638" s="63"/>
      <c r="H638" s="63"/>
      <c r="I638" s="63"/>
      <c r="J638" s="63"/>
      <c r="K638" s="47" t="str">
        <f t="shared" si="13"/>
        <v/>
      </c>
    </row>
    <row r="639">
      <c r="A639" s="42" t="s">
        <v>841</v>
      </c>
      <c r="B639" s="48"/>
      <c r="C639" s="42"/>
      <c r="D639" s="62"/>
      <c r="E639" s="63"/>
      <c r="F639" s="63"/>
      <c r="G639" s="63"/>
      <c r="H639" s="63"/>
      <c r="I639" s="63"/>
      <c r="J639" s="63"/>
      <c r="K639" s="47" t="str">
        <f t="shared" si="13"/>
        <v/>
      </c>
    </row>
    <row r="640">
      <c r="A640" s="42" t="s">
        <v>842</v>
      </c>
      <c r="B640" s="48"/>
      <c r="C640" s="42"/>
      <c r="D640" s="62"/>
      <c r="E640" s="63"/>
      <c r="F640" s="63"/>
      <c r="G640" s="63"/>
      <c r="H640" s="63"/>
      <c r="I640" s="63"/>
      <c r="J640" s="63"/>
      <c r="K640" s="47" t="str">
        <f t="shared" si="13"/>
        <v/>
      </c>
    </row>
    <row r="641">
      <c r="A641" s="42" t="s">
        <v>843</v>
      </c>
      <c r="B641" s="48"/>
      <c r="C641" s="42"/>
      <c r="D641" s="62"/>
      <c r="E641" s="63"/>
      <c r="F641" s="63"/>
      <c r="G641" s="63"/>
      <c r="H641" s="63"/>
      <c r="I641" s="63"/>
      <c r="J641" s="63"/>
      <c r="K641" s="47" t="str">
        <f t="shared" si="13"/>
        <v/>
      </c>
    </row>
    <row r="642">
      <c r="A642" s="42" t="s">
        <v>844</v>
      </c>
      <c r="B642" s="48"/>
      <c r="C642" s="42"/>
      <c r="D642" s="62"/>
      <c r="E642" s="63"/>
      <c r="F642" s="63"/>
      <c r="G642" s="63"/>
      <c r="H642" s="63"/>
      <c r="I642" s="63"/>
      <c r="J642" s="63"/>
      <c r="K642" s="47" t="str">
        <f t="shared" si="13"/>
        <v/>
      </c>
    </row>
    <row r="643">
      <c r="A643" s="42" t="s">
        <v>845</v>
      </c>
      <c r="B643" s="48"/>
      <c r="C643" s="42"/>
      <c r="D643" s="62"/>
      <c r="E643" s="63"/>
      <c r="F643" s="63"/>
      <c r="G643" s="63"/>
      <c r="H643" s="63"/>
      <c r="I643" s="63"/>
      <c r="J643" s="63"/>
      <c r="K643" s="47" t="str">
        <f t="shared" si="13"/>
        <v/>
      </c>
    </row>
    <row r="644">
      <c r="A644" s="42" t="s">
        <v>846</v>
      </c>
      <c r="B644" s="48"/>
      <c r="C644" s="42"/>
      <c r="D644" s="62"/>
      <c r="E644" s="63"/>
      <c r="F644" s="63"/>
      <c r="G644" s="63"/>
      <c r="H644" s="63"/>
      <c r="I644" s="63"/>
      <c r="J644" s="63"/>
      <c r="K644" s="47" t="str">
        <f t="shared" si="13"/>
        <v/>
      </c>
    </row>
    <row r="645">
      <c r="A645" s="42" t="s">
        <v>847</v>
      </c>
      <c r="B645" s="48"/>
      <c r="C645" s="42"/>
      <c r="D645" s="62"/>
      <c r="E645" s="63"/>
      <c r="F645" s="63"/>
      <c r="G645" s="63"/>
      <c r="H645" s="63"/>
      <c r="I645" s="63"/>
      <c r="J645" s="63"/>
      <c r="K645" s="47" t="str">
        <f t="shared" si="13"/>
        <v/>
      </c>
    </row>
    <row r="646">
      <c r="A646" s="42" t="s">
        <v>848</v>
      </c>
      <c r="B646" s="48"/>
      <c r="C646" s="42"/>
      <c r="D646" s="62"/>
      <c r="E646" s="63"/>
      <c r="F646" s="63"/>
      <c r="G646" s="63"/>
      <c r="H646" s="63"/>
      <c r="I646" s="63"/>
      <c r="J646" s="63"/>
      <c r="K646" s="47" t="str">
        <f t="shared" si="13"/>
        <v/>
      </c>
    </row>
    <row r="647">
      <c r="A647" s="42" t="s">
        <v>849</v>
      </c>
      <c r="B647" s="48"/>
      <c r="C647" s="42"/>
      <c r="D647" s="62"/>
      <c r="E647" s="63"/>
      <c r="F647" s="63"/>
      <c r="G647" s="63"/>
      <c r="H647" s="63"/>
      <c r="I647" s="63"/>
      <c r="J647" s="63"/>
      <c r="K647" s="47" t="str">
        <f t="shared" si="13"/>
        <v/>
      </c>
    </row>
    <row r="648">
      <c r="A648" s="42" t="s">
        <v>850</v>
      </c>
      <c r="B648" s="48"/>
      <c r="C648" s="42"/>
      <c r="D648" s="62"/>
      <c r="E648" s="63"/>
      <c r="F648" s="63"/>
      <c r="G648" s="63"/>
      <c r="H648" s="63"/>
      <c r="I648" s="63"/>
      <c r="J648" s="63"/>
      <c r="K648" s="47" t="str">
        <f t="shared" si="13"/>
        <v/>
      </c>
    </row>
    <row r="649">
      <c r="A649" s="42" t="s">
        <v>851</v>
      </c>
      <c r="B649" s="48"/>
      <c r="C649" s="42"/>
      <c r="D649" s="62"/>
      <c r="E649" s="63"/>
      <c r="F649" s="63"/>
      <c r="G649" s="63"/>
      <c r="H649" s="63"/>
      <c r="I649" s="63"/>
      <c r="J649" s="63"/>
      <c r="K649" s="47" t="str">
        <f t="shared" si="13"/>
        <v/>
      </c>
    </row>
    <row r="650">
      <c r="A650" s="42" t="s">
        <v>852</v>
      </c>
      <c r="B650" s="48"/>
      <c r="C650" s="42"/>
      <c r="D650" s="62"/>
      <c r="E650" s="63"/>
      <c r="F650" s="63"/>
      <c r="G650" s="63"/>
      <c r="H650" s="63"/>
      <c r="I650" s="63"/>
      <c r="J650" s="63"/>
      <c r="K650" s="47" t="str">
        <f t="shared" si="13"/>
        <v/>
      </c>
    </row>
    <row r="651">
      <c r="A651" s="42" t="s">
        <v>853</v>
      </c>
      <c r="B651" s="48"/>
      <c r="C651" s="42"/>
      <c r="D651" s="62"/>
      <c r="E651" s="63"/>
      <c r="F651" s="63"/>
      <c r="G651" s="63"/>
      <c r="H651" s="63"/>
      <c r="I651" s="63"/>
      <c r="J651" s="63"/>
      <c r="K651" s="47" t="str">
        <f t="shared" si="13"/>
        <v/>
      </c>
    </row>
    <row r="652">
      <c r="A652" s="42" t="s">
        <v>854</v>
      </c>
      <c r="B652" s="48"/>
      <c r="C652" s="42"/>
      <c r="D652" s="62"/>
      <c r="E652" s="63"/>
      <c r="F652" s="63"/>
      <c r="G652" s="63"/>
      <c r="H652" s="63"/>
      <c r="I652" s="63"/>
      <c r="J652" s="63"/>
      <c r="K652" s="47" t="str">
        <f t="shared" si="13"/>
        <v/>
      </c>
    </row>
    <row r="653">
      <c r="A653" s="42" t="s">
        <v>855</v>
      </c>
      <c r="B653" s="48"/>
      <c r="C653" s="42"/>
      <c r="D653" s="62"/>
      <c r="E653" s="63"/>
      <c r="F653" s="63"/>
      <c r="G653" s="63"/>
      <c r="H653" s="63"/>
      <c r="I653" s="63"/>
      <c r="J653" s="63"/>
      <c r="K653" s="47" t="str">
        <f t="shared" si="13"/>
        <v/>
      </c>
    </row>
    <row r="654">
      <c r="A654" s="42" t="s">
        <v>856</v>
      </c>
      <c r="B654" s="48"/>
      <c r="C654" s="42"/>
      <c r="D654" s="62"/>
      <c r="E654" s="63"/>
      <c r="F654" s="63"/>
      <c r="G654" s="63"/>
      <c r="H654" s="63"/>
      <c r="I654" s="63"/>
      <c r="J654" s="63"/>
      <c r="K654" s="47" t="str">
        <f t="shared" si="13"/>
        <v/>
      </c>
    </row>
    <row r="655">
      <c r="A655" s="42" t="s">
        <v>857</v>
      </c>
      <c r="B655" s="48"/>
      <c r="C655" s="42"/>
      <c r="D655" s="62"/>
      <c r="E655" s="63"/>
      <c r="F655" s="63"/>
      <c r="G655" s="63"/>
      <c r="H655" s="63"/>
      <c r="I655" s="63"/>
      <c r="J655" s="63"/>
      <c r="K655" s="47" t="str">
        <f t="shared" si="13"/>
        <v/>
      </c>
    </row>
    <row r="656">
      <c r="A656" s="42" t="s">
        <v>858</v>
      </c>
      <c r="B656" s="48"/>
      <c r="C656" s="42"/>
      <c r="D656" s="62"/>
      <c r="E656" s="63"/>
      <c r="F656" s="63"/>
      <c r="G656" s="63"/>
      <c r="H656" s="63"/>
      <c r="I656" s="63"/>
      <c r="J656" s="63"/>
      <c r="K656" s="47" t="str">
        <f t="shared" si="13"/>
        <v/>
      </c>
    </row>
    <row r="657">
      <c r="A657" s="42" t="s">
        <v>859</v>
      </c>
      <c r="B657" s="48"/>
      <c r="C657" s="42"/>
      <c r="D657" s="62"/>
      <c r="E657" s="63"/>
      <c r="F657" s="63"/>
      <c r="G657" s="63"/>
      <c r="H657" s="63"/>
      <c r="I657" s="63"/>
      <c r="J657" s="63"/>
      <c r="K657" s="47" t="str">
        <f t="shared" si="13"/>
        <v/>
      </c>
    </row>
    <row r="658">
      <c r="A658" s="42" t="s">
        <v>860</v>
      </c>
      <c r="B658" s="48"/>
      <c r="C658" s="42"/>
      <c r="D658" s="62"/>
      <c r="E658" s="63"/>
      <c r="F658" s="63"/>
      <c r="G658" s="63"/>
      <c r="H658" s="63"/>
      <c r="I658" s="63"/>
      <c r="J658" s="63"/>
      <c r="K658" s="47" t="str">
        <f t="shared" si="13"/>
        <v/>
      </c>
    </row>
    <row r="659">
      <c r="A659" s="42" t="s">
        <v>861</v>
      </c>
      <c r="B659" s="48"/>
      <c r="C659" s="42"/>
      <c r="D659" s="62"/>
      <c r="E659" s="63"/>
      <c r="F659" s="63"/>
      <c r="G659" s="63"/>
      <c r="H659" s="63"/>
      <c r="I659" s="63"/>
      <c r="J659" s="63"/>
      <c r="K659" s="47" t="str">
        <f t="shared" si="13"/>
        <v/>
      </c>
    </row>
    <row r="660">
      <c r="A660" s="42" t="s">
        <v>862</v>
      </c>
      <c r="B660" s="48"/>
      <c r="C660" s="42"/>
      <c r="D660" s="62"/>
      <c r="E660" s="63"/>
      <c r="F660" s="63"/>
      <c r="G660" s="63"/>
      <c r="H660" s="63"/>
      <c r="I660" s="63"/>
      <c r="J660" s="63"/>
      <c r="K660" s="47" t="str">
        <f t="shared" si="13"/>
        <v/>
      </c>
    </row>
    <row r="661">
      <c r="A661" s="42" t="s">
        <v>863</v>
      </c>
      <c r="B661" s="48"/>
      <c r="C661" s="42"/>
      <c r="D661" s="62"/>
      <c r="E661" s="63"/>
      <c r="F661" s="63"/>
      <c r="G661" s="63"/>
      <c r="H661" s="63"/>
      <c r="I661" s="63"/>
      <c r="J661" s="63"/>
      <c r="K661" s="47" t="str">
        <f t="shared" si="13"/>
        <v/>
      </c>
    </row>
    <row r="662">
      <c r="A662" s="42" t="s">
        <v>864</v>
      </c>
      <c r="B662" s="48"/>
      <c r="C662" s="42"/>
      <c r="D662" s="62"/>
      <c r="E662" s="63"/>
      <c r="F662" s="63"/>
      <c r="G662" s="63"/>
      <c r="H662" s="63"/>
      <c r="I662" s="63"/>
      <c r="J662" s="63"/>
      <c r="K662" s="47" t="str">
        <f t="shared" si="13"/>
        <v/>
      </c>
    </row>
    <row r="663">
      <c r="A663" s="42" t="s">
        <v>865</v>
      </c>
      <c r="B663" s="48"/>
      <c r="C663" s="42"/>
      <c r="D663" s="62"/>
      <c r="E663" s="63"/>
      <c r="F663" s="63"/>
      <c r="G663" s="63"/>
      <c r="H663" s="63"/>
      <c r="I663" s="63"/>
      <c r="J663" s="63"/>
      <c r="K663" s="47" t="str">
        <f t="shared" si="13"/>
        <v/>
      </c>
    </row>
    <row r="664">
      <c r="A664" s="42" t="s">
        <v>866</v>
      </c>
      <c r="B664" s="48"/>
      <c r="C664" s="42"/>
      <c r="D664" s="62"/>
      <c r="E664" s="63"/>
      <c r="F664" s="63"/>
      <c r="G664" s="63"/>
      <c r="H664" s="63"/>
      <c r="I664" s="63"/>
      <c r="J664" s="63"/>
      <c r="K664" s="47" t="str">
        <f t="shared" si="13"/>
        <v/>
      </c>
    </row>
    <row r="665">
      <c r="A665" s="42" t="s">
        <v>867</v>
      </c>
      <c r="B665" s="48"/>
      <c r="C665" s="42"/>
      <c r="D665" s="62"/>
      <c r="E665" s="63"/>
      <c r="F665" s="63"/>
      <c r="G665" s="63"/>
      <c r="H665" s="63"/>
      <c r="I665" s="63"/>
      <c r="J665" s="63"/>
      <c r="K665" s="47" t="str">
        <f t="shared" si="13"/>
        <v/>
      </c>
    </row>
    <row r="666">
      <c r="A666" s="42" t="s">
        <v>868</v>
      </c>
      <c r="B666" s="48"/>
      <c r="C666" s="42"/>
      <c r="D666" s="62"/>
      <c r="E666" s="63"/>
      <c r="F666" s="63"/>
      <c r="G666" s="63"/>
      <c r="H666" s="63"/>
      <c r="I666" s="63"/>
      <c r="J666" s="63"/>
      <c r="K666" s="47" t="str">
        <f t="shared" si="13"/>
        <v/>
      </c>
    </row>
    <row r="667">
      <c r="A667" s="42" t="s">
        <v>869</v>
      </c>
      <c r="B667" s="48"/>
      <c r="C667" s="42"/>
      <c r="D667" s="62"/>
      <c r="E667" s="63"/>
      <c r="F667" s="63"/>
      <c r="G667" s="63"/>
      <c r="H667" s="63"/>
      <c r="I667" s="63"/>
      <c r="J667" s="63"/>
      <c r="K667" s="47" t="str">
        <f t="shared" si="13"/>
        <v/>
      </c>
    </row>
    <row r="668">
      <c r="A668" s="42" t="s">
        <v>870</v>
      </c>
      <c r="B668" s="48"/>
      <c r="C668" s="42"/>
      <c r="D668" s="62"/>
      <c r="E668" s="63"/>
      <c r="F668" s="63"/>
      <c r="G668" s="63"/>
      <c r="H668" s="63"/>
      <c r="I668" s="63"/>
      <c r="J668" s="63"/>
      <c r="K668" s="47" t="str">
        <f t="shared" si="13"/>
        <v/>
      </c>
    </row>
    <row r="669">
      <c r="A669" s="42" t="s">
        <v>871</v>
      </c>
      <c r="B669" s="48"/>
      <c r="C669" s="42"/>
      <c r="D669" s="62"/>
      <c r="E669" s="63"/>
      <c r="F669" s="63"/>
      <c r="G669" s="63"/>
      <c r="H669" s="63"/>
      <c r="I669" s="63"/>
      <c r="J669" s="63"/>
      <c r="K669" s="47" t="str">
        <f t="shared" si="13"/>
        <v/>
      </c>
    </row>
    <row r="670">
      <c r="A670" s="42" t="s">
        <v>872</v>
      </c>
      <c r="B670" s="48"/>
      <c r="C670" s="42"/>
      <c r="D670" s="62"/>
      <c r="E670" s="63"/>
      <c r="F670" s="63"/>
      <c r="G670" s="63"/>
      <c r="H670" s="63"/>
      <c r="I670" s="63"/>
      <c r="J670" s="63"/>
      <c r="K670" s="47" t="str">
        <f t="shared" si="13"/>
        <v/>
      </c>
    </row>
    <row r="671">
      <c r="A671" s="42" t="s">
        <v>873</v>
      </c>
      <c r="B671" s="48"/>
      <c r="C671" s="42"/>
      <c r="D671" s="62"/>
      <c r="E671" s="63"/>
      <c r="F671" s="63"/>
      <c r="G671" s="63"/>
      <c r="H671" s="63"/>
      <c r="I671" s="63"/>
      <c r="J671" s="63"/>
      <c r="K671" s="47" t="str">
        <f t="shared" si="13"/>
        <v/>
      </c>
    </row>
    <row r="672">
      <c r="A672" s="42" t="s">
        <v>874</v>
      </c>
      <c r="B672" s="48"/>
      <c r="C672" s="42"/>
      <c r="D672" s="62"/>
      <c r="E672" s="63"/>
      <c r="F672" s="63"/>
      <c r="G672" s="63"/>
      <c r="H672" s="63"/>
      <c r="I672" s="63"/>
      <c r="J672" s="63"/>
      <c r="K672" s="47" t="str">
        <f t="shared" si="13"/>
        <v/>
      </c>
    </row>
    <row r="673">
      <c r="A673" s="42" t="s">
        <v>875</v>
      </c>
      <c r="B673" s="48"/>
      <c r="C673" s="42"/>
      <c r="D673" s="62"/>
      <c r="E673" s="63"/>
      <c r="F673" s="63"/>
      <c r="G673" s="63"/>
      <c r="H673" s="63"/>
      <c r="I673" s="63"/>
      <c r="J673" s="63"/>
      <c r="K673" s="47" t="str">
        <f t="shared" si="13"/>
        <v/>
      </c>
    </row>
    <row r="674">
      <c r="A674" s="42" t="s">
        <v>876</v>
      </c>
      <c r="B674" s="48"/>
      <c r="C674" s="42"/>
      <c r="D674" s="62"/>
      <c r="E674" s="63"/>
      <c r="F674" s="63"/>
      <c r="G674" s="63"/>
      <c r="H674" s="63"/>
      <c r="I674" s="63"/>
      <c r="J674" s="63"/>
      <c r="K674" s="47" t="str">
        <f t="shared" si="13"/>
        <v/>
      </c>
    </row>
    <row r="675">
      <c r="A675" s="42" t="s">
        <v>877</v>
      </c>
      <c r="B675" s="48"/>
      <c r="C675" s="42"/>
      <c r="D675" s="62"/>
      <c r="E675" s="63"/>
      <c r="F675" s="63"/>
      <c r="G675" s="63"/>
      <c r="H675" s="63"/>
      <c r="I675" s="63"/>
      <c r="J675" s="63"/>
      <c r="K675" s="47" t="str">
        <f t="shared" si="13"/>
        <v/>
      </c>
    </row>
    <row r="676">
      <c r="A676" s="42" t="s">
        <v>878</v>
      </c>
      <c r="B676" s="48"/>
      <c r="C676" s="42"/>
      <c r="D676" s="62"/>
      <c r="E676" s="63"/>
      <c r="F676" s="63"/>
      <c r="G676" s="63"/>
      <c r="H676" s="63"/>
      <c r="I676" s="63"/>
      <c r="J676" s="63"/>
      <c r="K676" s="47" t="str">
        <f t="shared" si="13"/>
        <v/>
      </c>
    </row>
    <row r="677">
      <c r="A677" s="42" t="s">
        <v>879</v>
      </c>
      <c r="B677" s="48"/>
      <c r="C677" s="42"/>
      <c r="D677" s="62"/>
      <c r="E677" s="63"/>
      <c r="F677" s="63"/>
      <c r="G677" s="63"/>
      <c r="H677" s="63"/>
      <c r="I677" s="63"/>
      <c r="J677" s="63"/>
      <c r="K677" s="47" t="str">
        <f t="shared" si="13"/>
        <v/>
      </c>
    </row>
    <row r="678">
      <c r="A678" s="42" t="s">
        <v>880</v>
      </c>
      <c r="B678" s="48"/>
      <c r="C678" s="42"/>
      <c r="D678" s="62"/>
      <c r="E678" s="63"/>
      <c r="F678" s="63"/>
      <c r="G678" s="63"/>
      <c r="H678" s="63"/>
      <c r="I678" s="63"/>
      <c r="J678" s="63"/>
      <c r="K678" s="47" t="str">
        <f t="shared" si="13"/>
        <v/>
      </c>
    </row>
    <row r="679">
      <c r="A679" s="42" t="s">
        <v>881</v>
      </c>
      <c r="B679" s="48"/>
      <c r="C679" s="42"/>
      <c r="D679" s="62"/>
      <c r="E679" s="63"/>
      <c r="F679" s="63"/>
      <c r="G679" s="63"/>
      <c r="H679" s="63"/>
      <c r="I679" s="63"/>
      <c r="J679" s="63"/>
      <c r="K679" s="47" t="str">
        <f t="shared" si="13"/>
        <v/>
      </c>
    </row>
    <row r="680">
      <c r="A680" s="42" t="s">
        <v>882</v>
      </c>
      <c r="B680" s="48"/>
      <c r="C680" s="42"/>
      <c r="D680" s="62"/>
      <c r="E680" s="63"/>
      <c r="F680" s="63"/>
      <c r="G680" s="63"/>
      <c r="H680" s="63"/>
      <c r="I680" s="63"/>
      <c r="J680" s="63"/>
      <c r="K680" s="47" t="str">
        <f t="shared" si="13"/>
        <v/>
      </c>
    </row>
    <row r="681">
      <c r="A681" s="42" t="s">
        <v>883</v>
      </c>
      <c r="B681" s="48"/>
      <c r="C681" s="42"/>
      <c r="D681" s="62"/>
      <c r="E681" s="63"/>
      <c r="F681" s="63"/>
      <c r="G681" s="63"/>
      <c r="H681" s="63"/>
      <c r="I681" s="63"/>
      <c r="J681" s="63"/>
      <c r="K681" s="47" t="str">
        <f t="shared" si="13"/>
        <v/>
      </c>
    </row>
    <row r="682">
      <c r="A682" s="42" t="s">
        <v>884</v>
      </c>
      <c r="B682" s="48"/>
      <c r="C682" s="42"/>
      <c r="D682" s="62"/>
      <c r="E682" s="63"/>
      <c r="F682" s="63"/>
      <c r="G682" s="63"/>
      <c r="H682" s="63"/>
      <c r="I682" s="63"/>
      <c r="J682" s="63"/>
      <c r="K682" s="47" t="str">
        <f t="shared" si="13"/>
        <v/>
      </c>
    </row>
    <row r="683">
      <c r="A683" s="42" t="s">
        <v>885</v>
      </c>
      <c r="B683" s="48"/>
      <c r="C683" s="42"/>
      <c r="D683" s="62"/>
      <c r="E683" s="63"/>
      <c r="F683" s="63"/>
      <c r="G683" s="63"/>
      <c r="H683" s="63"/>
      <c r="I683" s="63"/>
      <c r="J683" s="63"/>
      <c r="K683" s="47" t="str">
        <f t="shared" si="13"/>
        <v/>
      </c>
    </row>
    <row r="684">
      <c r="A684" s="42" t="s">
        <v>886</v>
      </c>
      <c r="B684" s="48"/>
      <c r="C684" s="42"/>
      <c r="D684" s="62"/>
      <c r="E684" s="63"/>
      <c r="F684" s="63"/>
      <c r="G684" s="63"/>
      <c r="H684" s="63"/>
      <c r="I684" s="63"/>
      <c r="J684" s="63"/>
      <c r="K684" s="47" t="str">
        <f t="shared" si="13"/>
        <v/>
      </c>
    </row>
    <row r="685">
      <c r="A685" s="42" t="s">
        <v>887</v>
      </c>
      <c r="B685" s="48"/>
      <c r="C685" s="42"/>
      <c r="D685" s="62"/>
      <c r="E685" s="63"/>
      <c r="F685" s="63"/>
      <c r="G685" s="63"/>
      <c r="H685" s="63"/>
      <c r="I685" s="63"/>
      <c r="J685" s="63"/>
      <c r="K685" s="47" t="str">
        <f t="shared" si="13"/>
        <v/>
      </c>
    </row>
    <row r="686">
      <c r="A686" s="42" t="s">
        <v>888</v>
      </c>
      <c r="B686" s="48"/>
      <c r="C686" s="42"/>
      <c r="D686" s="62"/>
      <c r="E686" s="63"/>
      <c r="F686" s="63"/>
      <c r="G686" s="63"/>
      <c r="H686" s="63"/>
      <c r="I686" s="63"/>
      <c r="J686" s="63"/>
      <c r="K686" s="47" t="str">
        <f t="shared" si="13"/>
        <v/>
      </c>
    </row>
    <row r="687">
      <c r="A687" s="42" t="s">
        <v>889</v>
      </c>
      <c r="B687" s="48"/>
      <c r="C687" s="42"/>
      <c r="D687" s="62"/>
      <c r="E687" s="63"/>
      <c r="F687" s="63"/>
      <c r="G687" s="63"/>
      <c r="H687" s="63"/>
      <c r="I687" s="63"/>
      <c r="J687" s="63"/>
      <c r="K687" s="47" t="str">
        <f t="shared" si="13"/>
        <v/>
      </c>
    </row>
    <row r="688">
      <c r="A688" s="42" t="s">
        <v>890</v>
      </c>
      <c r="B688" s="48"/>
      <c r="C688" s="42"/>
      <c r="D688" s="62"/>
      <c r="E688" s="63"/>
      <c r="F688" s="63"/>
      <c r="G688" s="63"/>
      <c r="H688" s="63"/>
      <c r="I688" s="63"/>
      <c r="J688" s="63"/>
      <c r="K688" s="47" t="str">
        <f t="shared" si="13"/>
        <v/>
      </c>
    </row>
    <row r="689">
      <c r="A689" s="42" t="s">
        <v>891</v>
      </c>
      <c r="B689" s="48"/>
      <c r="C689" s="42"/>
      <c r="D689" s="62"/>
      <c r="E689" s="63"/>
      <c r="F689" s="63"/>
      <c r="G689" s="63"/>
      <c r="H689" s="63"/>
      <c r="I689" s="63"/>
      <c r="J689" s="63"/>
      <c r="K689" s="47" t="str">
        <f t="shared" si="13"/>
        <v/>
      </c>
    </row>
    <row r="690">
      <c r="A690" s="42" t="s">
        <v>892</v>
      </c>
      <c r="B690" s="48"/>
      <c r="C690" s="42"/>
      <c r="D690" s="62"/>
      <c r="E690" s="63"/>
      <c r="F690" s="63"/>
      <c r="G690" s="63"/>
      <c r="H690" s="63"/>
      <c r="I690" s="63"/>
      <c r="J690" s="63"/>
      <c r="K690" s="47" t="str">
        <f t="shared" si="13"/>
        <v/>
      </c>
    </row>
    <row r="691">
      <c r="A691" s="42" t="s">
        <v>893</v>
      </c>
      <c r="B691" s="48"/>
      <c r="C691" s="42"/>
      <c r="D691" s="62"/>
      <c r="E691" s="63"/>
      <c r="F691" s="63"/>
      <c r="G691" s="63"/>
      <c r="H691" s="63"/>
      <c r="I691" s="63"/>
      <c r="J691" s="63"/>
      <c r="K691" s="47" t="str">
        <f t="shared" si="13"/>
        <v/>
      </c>
    </row>
    <row r="692">
      <c r="A692" s="42" t="s">
        <v>894</v>
      </c>
      <c r="B692" s="48"/>
      <c r="C692" s="42"/>
      <c r="D692" s="62"/>
      <c r="E692" s="63"/>
      <c r="F692" s="63"/>
      <c r="G692" s="63"/>
      <c r="H692" s="63"/>
      <c r="I692" s="63"/>
      <c r="J692" s="63"/>
      <c r="K692" s="47" t="str">
        <f t="shared" si="13"/>
        <v/>
      </c>
    </row>
    <row r="693">
      <c r="A693" s="42" t="s">
        <v>895</v>
      </c>
      <c r="B693" s="48"/>
      <c r="C693" s="42"/>
      <c r="D693" s="62"/>
      <c r="E693" s="63"/>
      <c r="F693" s="63"/>
      <c r="G693" s="63"/>
      <c r="H693" s="63"/>
      <c r="I693" s="63"/>
      <c r="J693" s="63"/>
      <c r="K693" s="47" t="str">
        <f t="shared" si="13"/>
        <v/>
      </c>
    </row>
    <row r="694">
      <c r="A694" s="42" t="s">
        <v>896</v>
      </c>
      <c r="B694" s="48"/>
      <c r="C694" s="42"/>
      <c r="D694" s="62"/>
      <c r="E694" s="63"/>
      <c r="F694" s="63"/>
      <c r="G694" s="63"/>
      <c r="H694" s="63"/>
      <c r="I694" s="63"/>
      <c r="J694" s="63"/>
      <c r="K694" s="47" t="str">
        <f t="shared" si="13"/>
        <v/>
      </c>
    </row>
    <row r="695">
      <c r="A695" s="42" t="s">
        <v>897</v>
      </c>
      <c r="B695" s="48"/>
      <c r="C695" s="42"/>
      <c r="D695" s="62"/>
      <c r="E695" s="63"/>
      <c r="F695" s="63"/>
      <c r="G695" s="63"/>
      <c r="H695" s="63"/>
      <c r="I695" s="63"/>
      <c r="J695" s="63"/>
      <c r="K695" s="47" t="str">
        <f t="shared" si="13"/>
        <v/>
      </c>
    </row>
    <row r="696">
      <c r="A696" s="42" t="s">
        <v>898</v>
      </c>
      <c r="B696" s="48"/>
      <c r="C696" s="42"/>
      <c r="D696" s="62"/>
      <c r="E696" s="63"/>
      <c r="F696" s="63"/>
      <c r="G696" s="63"/>
      <c r="H696" s="63"/>
      <c r="I696" s="63"/>
      <c r="J696" s="63"/>
      <c r="K696" s="47" t="str">
        <f t="shared" si="13"/>
        <v/>
      </c>
    </row>
    <row r="697">
      <c r="A697" s="42" t="s">
        <v>899</v>
      </c>
      <c r="B697" s="48"/>
      <c r="C697" s="42"/>
      <c r="D697" s="62"/>
      <c r="E697" s="63"/>
      <c r="F697" s="63"/>
      <c r="G697" s="63"/>
      <c r="H697" s="63"/>
      <c r="I697" s="63"/>
      <c r="J697" s="63"/>
      <c r="K697" s="47" t="str">
        <f t="shared" si="13"/>
        <v/>
      </c>
    </row>
    <row r="698">
      <c r="A698" s="42" t="s">
        <v>900</v>
      </c>
      <c r="B698" s="48"/>
      <c r="C698" s="42"/>
      <c r="D698" s="62"/>
      <c r="E698" s="63"/>
      <c r="F698" s="63"/>
      <c r="G698" s="63"/>
      <c r="H698" s="63"/>
      <c r="I698" s="63"/>
      <c r="J698" s="63"/>
      <c r="K698" s="47" t="str">
        <f t="shared" si="13"/>
        <v/>
      </c>
    </row>
    <row r="699">
      <c r="A699" s="42" t="s">
        <v>901</v>
      </c>
      <c r="B699" s="48"/>
      <c r="C699" s="42"/>
      <c r="D699" s="62"/>
      <c r="E699" s="63"/>
      <c r="F699" s="63"/>
      <c r="G699" s="63"/>
      <c r="H699" s="63"/>
      <c r="I699" s="63"/>
      <c r="J699" s="63"/>
      <c r="K699" s="47" t="str">
        <f t="shared" si="13"/>
        <v/>
      </c>
    </row>
    <row r="700">
      <c r="A700" s="42" t="s">
        <v>902</v>
      </c>
      <c r="B700" s="48"/>
      <c r="C700" s="42"/>
      <c r="D700" s="62"/>
      <c r="E700" s="63"/>
      <c r="F700" s="63"/>
      <c r="G700" s="63"/>
      <c r="H700" s="63"/>
      <c r="I700" s="63"/>
      <c r="J700" s="63"/>
      <c r="K700" s="47" t="str">
        <f t="shared" si="13"/>
        <v/>
      </c>
    </row>
    <row r="701">
      <c r="A701" s="42" t="s">
        <v>903</v>
      </c>
      <c r="B701" s="48"/>
      <c r="C701" s="42"/>
      <c r="D701" s="62"/>
      <c r="E701" s="63"/>
      <c r="F701" s="63"/>
      <c r="G701" s="63"/>
      <c r="H701" s="63"/>
      <c r="I701" s="63"/>
      <c r="J701" s="63"/>
      <c r="K701" s="47" t="str">
        <f t="shared" si="13"/>
        <v/>
      </c>
    </row>
    <row r="702">
      <c r="A702" s="42" t="s">
        <v>904</v>
      </c>
      <c r="B702" s="48"/>
      <c r="C702" s="42"/>
      <c r="D702" s="62"/>
      <c r="E702" s="63"/>
      <c r="F702" s="63"/>
      <c r="G702" s="63"/>
      <c r="H702" s="63"/>
      <c r="I702" s="63"/>
      <c r="J702" s="63"/>
      <c r="K702" s="47" t="str">
        <f t="shared" si="13"/>
        <v/>
      </c>
    </row>
    <row r="703">
      <c r="A703" s="42" t="s">
        <v>905</v>
      </c>
      <c r="B703" s="48"/>
      <c r="C703" s="42"/>
      <c r="D703" s="62"/>
      <c r="E703" s="63"/>
      <c r="F703" s="63"/>
      <c r="G703" s="63"/>
      <c r="H703" s="63"/>
      <c r="I703" s="63"/>
      <c r="J703" s="63"/>
      <c r="K703" s="47" t="str">
        <f t="shared" si="13"/>
        <v/>
      </c>
    </row>
    <row r="704">
      <c r="A704" s="42" t="s">
        <v>906</v>
      </c>
      <c r="B704" s="48"/>
      <c r="C704" s="42"/>
      <c r="D704" s="62"/>
      <c r="E704" s="63"/>
      <c r="F704" s="63"/>
      <c r="G704" s="63"/>
      <c r="H704" s="63"/>
      <c r="I704" s="63"/>
      <c r="J704" s="63"/>
      <c r="K704" s="47" t="str">
        <f t="shared" si="13"/>
        <v/>
      </c>
    </row>
    <row r="705">
      <c r="A705" s="42" t="s">
        <v>907</v>
      </c>
      <c r="B705" s="48"/>
      <c r="C705" s="42"/>
      <c r="D705" s="62"/>
      <c r="E705" s="63"/>
      <c r="F705" s="63"/>
      <c r="G705" s="63"/>
      <c r="H705" s="63"/>
      <c r="I705" s="63"/>
      <c r="J705" s="63"/>
      <c r="K705" s="47" t="str">
        <f t="shared" si="13"/>
        <v/>
      </c>
    </row>
    <row r="706">
      <c r="A706" s="42" t="s">
        <v>908</v>
      </c>
      <c r="B706" s="48"/>
      <c r="C706" s="42"/>
      <c r="D706" s="62"/>
      <c r="E706" s="63"/>
      <c r="F706" s="63"/>
      <c r="G706" s="63"/>
      <c r="H706" s="63"/>
      <c r="I706" s="63"/>
      <c r="J706" s="63"/>
      <c r="K706" s="47" t="str">
        <f t="shared" si="13"/>
        <v/>
      </c>
    </row>
    <row r="707">
      <c r="A707" s="42" t="s">
        <v>909</v>
      </c>
      <c r="B707" s="48"/>
      <c r="C707" s="42"/>
      <c r="D707" s="62"/>
      <c r="E707" s="63"/>
      <c r="F707" s="63"/>
      <c r="G707" s="63"/>
      <c r="H707" s="63"/>
      <c r="I707" s="63"/>
      <c r="J707" s="63"/>
      <c r="K707" s="47" t="str">
        <f t="shared" si="13"/>
        <v/>
      </c>
    </row>
    <row r="708">
      <c r="A708" s="42" t="s">
        <v>910</v>
      </c>
      <c r="B708" s="48"/>
      <c r="C708" s="42"/>
      <c r="D708" s="62"/>
      <c r="E708" s="63"/>
      <c r="F708" s="63"/>
      <c r="G708" s="63"/>
      <c r="H708" s="63"/>
      <c r="I708" s="63"/>
      <c r="J708" s="63"/>
      <c r="K708" s="47" t="str">
        <f t="shared" si="13"/>
        <v/>
      </c>
    </row>
    <row r="709">
      <c r="A709" s="42" t="s">
        <v>911</v>
      </c>
      <c r="B709" s="48"/>
      <c r="C709" s="42"/>
      <c r="D709" s="62"/>
      <c r="E709" s="63"/>
      <c r="F709" s="63"/>
      <c r="G709" s="63"/>
      <c r="H709" s="63"/>
      <c r="I709" s="63"/>
      <c r="J709" s="63"/>
      <c r="K709" s="47" t="str">
        <f t="shared" si="13"/>
        <v/>
      </c>
    </row>
    <row r="710">
      <c r="A710" s="42" t="s">
        <v>912</v>
      </c>
      <c r="B710" s="48"/>
      <c r="C710" s="42"/>
      <c r="D710" s="62"/>
      <c r="E710" s="63"/>
      <c r="F710" s="63"/>
      <c r="G710" s="63"/>
      <c r="H710" s="63"/>
      <c r="I710" s="63"/>
      <c r="J710" s="63"/>
      <c r="K710" s="47" t="str">
        <f t="shared" si="13"/>
        <v/>
      </c>
    </row>
    <row r="711">
      <c r="A711" s="42" t="s">
        <v>913</v>
      </c>
      <c r="B711" s="48"/>
      <c r="C711" s="42"/>
      <c r="D711" s="62"/>
      <c r="E711" s="63"/>
      <c r="F711" s="63"/>
      <c r="G711" s="63"/>
      <c r="H711" s="63"/>
      <c r="I711" s="63"/>
      <c r="J711" s="63"/>
      <c r="K711" s="47" t="str">
        <f t="shared" si="13"/>
        <v/>
      </c>
    </row>
    <row r="712">
      <c r="A712" s="42" t="s">
        <v>914</v>
      </c>
      <c r="B712" s="48"/>
      <c r="C712" s="42"/>
      <c r="D712" s="62"/>
      <c r="E712" s="63"/>
      <c r="F712" s="63"/>
      <c r="G712" s="63"/>
      <c r="H712" s="63"/>
      <c r="I712" s="63"/>
      <c r="J712" s="63"/>
      <c r="K712" s="47" t="str">
        <f t="shared" si="13"/>
        <v/>
      </c>
    </row>
    <row r="713">
      <c r="A713" s="42" t="s">
        <v>915</v>
      </c>
      <c r="B713" s="48"/>
      <c r="C713" s="42"/>
      <c r="D713" s="62"/>
      <c r="E713" s="63"/>
      <c r="F713" s="63"/>
      <c r="G713" s="63"/>
      <c r="H713" s="63"/>
      <c r="I713" s="63"/>
      <c r="J713" s="63"/>
      <c r="K713" s="47" t="str">
        <f t="shared" si="13"/>
        <v/>
      </c>
    </row>
    <row r="714">
      <c r="A714" s="42" t="s">
        <v>916</v>
      </c>
      <c r="B714" s="48"/>
      <c r="C714" s="42"/>
      <c r="D714" s="62"/>
      <c r="E714" s="63"/>
      <c r="F714" s="63"/>
      <c r="G714" s="63"/>
      <c r="H714" s="63"/>
      <c r="I714" s="63"/>
      <c r="J714" s="63"/>
      <c r="K714" s="47" t="str">
        <f t="shared" si="13"/>
        <v/>
      </c>
    </row>
    <row r="715">
      <c r="A715" s="42" t="s">
        <v>917</v>
      </c>
      <c r="B715" s="48"/>
      <c r="C715" s="42"/>
      <c r="D715" s="62"/>
      <c r="E715" s="63"/>
      <c r="F715" s="63"/>
      <c r="G715" s="63"/>
      <c r="H715" s="63"/>
      <c r="I715" s="63"/>
      <c r="J715" s="63"/>
      <c r="K715" s="47" t="str">
        <f t="shared" si="13"/>
        <v/>
      </c>
    </row>
    <row r="716">
      <c r="A716" s="42" t="s">
        <v>918</v>
      </c>
      <c r="B716" s="48"/>
      <c r="C716" s="42"/>
      <c r="D716" s="62"/>
      <c r="E716" s="63"/>
      <c r="F716" s="63"/>
      <c r="G716" s="63"/>
      <c r="H716" s="63"/>
      <c r="I716" s="63"/>
      <c r="J716" s="63"/>
      <c r="K716" s="47" t="str">
        <f t="shared" si="13"/>
        <v/>
      </c>
    </row>
    <row r="717">
      <c r="A717" s="42" t="s">
        <v>919</v>
      </c>
      <c r="B717" s="48"/>
      <c r="C717" s="42"/>
      <c r="D717" s="62"/>
      <c r="E717" s="63"/>
      <c r="F717" s="63"/>
      <c r="G717" s="63"/>
      <c r="H717" s="63"/>
      <c r="I717" s="63"/>
      <c r="J717" s="63"/>
      <c r="K717" s="47" t="str">
        <f t="shared" si="13"/>
        <v/>
      </c>
    </row>
    <row r="718">
      <c r="A718" s="42" t="s">
        <v>920</v>
      </c>
      <c r="B718" s="48"/>
      <c r="C718" s="42"/>
      <c r="D718" s="62"/>
      <c r="E718" s="63"/>
      <c r="F718" s="63"/>
      <c r="G718" s="63"/>
      <c r="H718" s="63"/>
      <c r="I718" s="63"/>
      <c r="J718" s="63"/>
      <c r="K718" s="47" t="str">
        <f t="shared" si="13"/>
        <v/>
      </c>
    </row>
    <row r="719">
      <c r="A719" s="42" t="s">
        <v>921</v>
      </c>
      <c r="B719" s="48"/>
      <c r="C719" s="42"/>
      <c r="D719" s="62"/>
      <c r="E719" s="63"/>
      <c r="F719" s="63"/>
      <c r="G719" s="63"/>
      <c r="H719" s="63"/>
      <c r="I719" s="63"/>
      <c r="J719" s="63"/>
      <c r="K719" s="47" t="str">
        <f t="shared" si="13"/>
        <v/>
      </c>
    </row>
    <row r="720">
      <c r="A720" s="42" t="s">
        <v>922</v>
      </c>
      <c r="B720" s="48"/>
      <c r="C720" s="42"/>
      <c r="D720" s="62"/>
      <c r="E720" s="63"/>
      <c r="F720" s="63"/>
      <c r="G720" s="63"/>
      <c r="H720" s="63"/>
      <c r="I720" s="63"/>
      <c r="J720" s="63"/>
      <c r="K720" s="47" t="str">
        <f t="shared" si="13"/>
        <v/>
      </c>
    </row>
    <row r="721">
      <c r="A721" s="42" t="s">
        <v>923</v>
      </c>
      <c r="B721" s="48"/>
      <c r="C721" s="42"/>
      <c r="D721" s="62"/>
      <c r="E721" s="63"/>
      <c r="F721" s="63"/>
      <c r="G721" s="63"/>
      <c r="H721" s="63"/>
      <c r="I721" s="63"/>
      <c r="J721" s="63"/>
      <c r="K721" s="47" t="str">
        <f t="shared" si="13"/>
        <v/>
      </c>
    </row>
    <row r="722">
      <c r="A722" s="42" t="s">
        <v>924</v>
      </c>
      <c r="B722" s="48"/>
      <c r="C722" s="42"/>
      <c r="D722" s="62"/>
      <c r="E722" s="63"/>
      <c r="F722" s="63"/>
      <c r="G722" s="63"/>
      <c r="H722" s="63"/>
      <c r="I722" s="63"/>
      <c r="J722" s="63"/>
      <c r="K722" s="47" t="str">
        <f t="shared" si="13"/>
        <v/>
      </c>
    </row>
    <row r="723">
      <c r="A723" s="42" t="s">
        <v>925</v>
      </c>
      <c r="B723" s="48"/>
      <c r="C723" s="42"/>
      <c r="D723" s="62"/>
      <c r="E723" s="63"/>
      <c r="F723" s="63"/>
      <c r="G723" s="63"/>
      <c r="H723" s="63"/>
      <c r="I723" s="63"/>
      <c r="J723" s="63"/>
      <c r="K723" s="47" t="str">
        <f t="shared" si="13"/>
        <v/>
      </c>
    </row>
    <row r="724">
      <c r="A724" s="42" t="s">
        <v>926</v>
      </c>
      <c r="B724" s="48"/>
      <c r="C724" s="42"/>
      <c r="D724" s="62"/>
      <c r="E724" s="63"/>
      <c r="F724" s="63"/>
      <c r="G724" s="63"/>
      <c r="H724" s="63"/>
      <c r="I724" s="63"/>
      <c r="J724" s="63"/>
      <c r="K724" s="47" t="str">
        <f t="shared" si="13"/>
        <v/>
      </c>
    </row>
    <row r="725">
      <c r="A725" s="42" t="s">
        <v>927</v>
      </c>
      <c r="B725" s="48"/>
      <c r="C725" s="42"/>
      <c r="D725" s="62"/>
      <c r="E725" s="63"/>
      <c r="F725" s="63"/>
      <c r="G725" s="63"/>
      <c r="H725" s="63"/>
      <c r="I725" s="63"/>
      <c r="J725" s="63"/>
      <c r="K725" s="47" t="str">
        <f t="shared" si="13"/>
        <v/>
      </c>
    </row>
    <row r="726">
      <c r="A726" s="42" t="s">
        <v>928</v>
      </c>
      <c r="B726" s="48"/>
      <c r="C726" s="42"/>
      <c r="D726" s="62"/>
      <c r="E726" s="63"/>
      <c r="F726" s="63"/>
      <c r="G726" s="63"/>
      <c r="H726" s="63"/>
      <c r="I726" s="63"/>
      <c r="J726" s="63"/>
      <c r="K726" s="47" t="str">
        <f t="shared" si="13"/>
        <v/>
      </c>
    </row>
    <row r="727">
      <c r="A727" s="42" t="s">
        <v>929</v>
      </c>
      <c r="B727" s="48"/>
      <c r="C727" s="42"/>
      <c r="D727" s="62"/>
      <c r="E727" s="63"/>
      <c r="F727" s="63"/>
      <c r="G727" s="63"/>
      <c r="H727" s="63"/>
      <c r="I727" s="63"/>
      <c r="J727" s="63"/>
      <c r="K727" s="47" t="str">
        <f t="shared" si="13"/>
        <v/>
      </c>
    </row>
    <row r="728">
      <c r="A728" s="42" t="s">
        <v>930</v>
      </c>
      <c r="B728" s="48"/>
      <c r="C728" s="42"/>
      <c r="D728" s="62"/>
      <c r="E728" s="63"/>
      <c r="F728" s="63"/>
      <c r="G728" s="63"/>
      <c r="H728" s="63"/>
      <c r="I728" s="63"/>
      <c r="J728" s="63"/>
      <c r="K728" s="47" t="str">
        <f t="shared" si="13"/>
        <v/>
      </c>
    </row>
    <row r="729">
      <c r="A729" s="42" t="s">
        <v>931</v>
      </c>
      <c r="B729" s="48"/>
      <c r="C729" s="42"/>
      <c r="D729" s="62"/>
      <c r="E729" s="63"/>
      <c r="F729" s="63"/>
      <c r="G729" s="63"/>
      <c r="H729" s="63"/>
      <c r="I729" s="63"/>
      <c r="J729" s="63"/>
      <c r="K729" s="47" t="str">
        <f t="shared" si="13"/>
        <v/>
      </c>
    </row>
    <row r="730">
      <c r="A730" s="42" t="s">
        <v>932</v>
      </c>
      <c r="B730" s="48"/>
      <c r="C730" s="42"/>
      <c r="D730" s="62"/>
      <c r="E730" s="63"/>
      <c r="F730" s="63"/>
      <c r="G730" s="63"/>
      <c r="H730" s="63"/>
      <c r="I730" s="63"/>
      <c r="J730" s="63"/>
      <c r="K730" s="47" t="str">
        <f t="shared" si="13"/>
        <v/>
      </c>
    </row>
    <row r="731">
      <c r="A731" s="42" t="s">
        <v>933</v>
      </c>
      <c r="B731" s="48"/>
      <c r="C731" s="42"/>
      <c r="D731" s="62"/>
      <c r="E731" s="63"/>
      <c r="F731" s="63"/>
      <c r="G731" s="63"/>
      <c r="H731" s="63"/>
      <c r="I731" s="63"/>
      <c r="J731" s="63"/>
      <c r="K731" s="47" t="str">
        <f t="shared" si="13"/>
        <v/>
      </c>
    </row>
    <row r="732">
      <c r="A732" s="42" t="s">
        <v>934</v>
      </c>
      <c r="B732" s="48"/>
      <c r="C732" s="42"/>
      <c r="D732" s="62"/>
      <c r="E732" s="63"/>
      <c r="F732" s="63"/>
      <c r="G732" s="63"/>
      <c r="H732" s="63"/>
      <c r="I732" s="63"/>
      <c r="J732" s="63"/>
      <c r="K732" s="47" t="str">
        <f t="shared" si="13"/>
        <v/>
      </c>
    </row>
    <row r="733">
      <c r="A733" s="42" t="s">
        <v>935</v>
      </c>
      <c r="B733" s="48"/>
      <c r="C733" s="42"/>
      <c r="D733" s="62"/>
      <c r="E733" s="63"/>
      <c r="F733" s="63"/>
      <c r="G733" s="63"/>
      <c r="H733" s="63"/>
      <c r="I733" s="63"/>
      <c r="J733" s="63"/>
      <c r="K733" s="47" t="str">
        <f t="shared" si="13"/>
        <v/>
      </c>
    </row>
    <row r="734">
      <c r="A734" s="42" t="s">
        <v>936</v>
      </c>
      <c r="B734" s="48"/>
      <c r="C734" s="42"/>
      <c r="D734" s="62"/>
      <c r="E734" s="63"/>
      <c r="F734" s="63"/>
      <c r="G734" s="63"/>
      <c r="H734" s="63"/>
      <c r="I734" s="63"/>
      <c r="J734" s="63"/>
      <c r="K734" s="47" t="str">
        <f t="shared" si="13"/>
        <v/>
      </c>
    </row>
    <row r="735">
      <c r="A735" s="42" t="s">
        <v>937</v>
      </c>
      <c r="B735" s="48"/>
      <c r="C735" s="42"/>
      <c r="D735" s="62"/>
      <c r="E735" s="63"/>
      <c r="F735" s="63"/>
      <c r="G735" s="63"/>
      <c r="H735" s="63"/>
      <c r="I735" s="63"/>
      <c r="J735" s="63"/>
      <c r="K735" s="47" t="str">
        <f t="shared" si="13"/>
        <v/>
      </c>
    </row>
    <row r="736">
      <c r="A736" s="42" t="s">
        <v>938</v>
      </c>
      <c r="B736" s="48"/>
      <c r="C736" s="42"/>
      <c r="D736" s="62"/>
      <c r="E736" s="63"/>
      <c r="F736" s="63"/>
      <c r="G736" s="63"/>
      <c r="H736" s="63"/>
      <c r="I736" s="63"/>
      <c r="J736" s="63"/>
      <c r="K736" s="47" t="str">
        <f t="shared" si="13"/>
        <v/>
      </c>
    </row>
    <row r="737">
      <c r="A737" s="42" t="s">
        <v>939</v>
      </c>
      <c r="B737" s="48"/>
      <c r="C737" s="42"/>
      <c r="D737" s="62"/>
      <c r="E737" s="63"/>
      <c r="F737" s="63"/>
      <c r="G737" s="63"/>
      <c r="H737" s="63"/>
      <c r="I737" s="63"/>
      <c r="J737" s="63"/>
      <c r="K737" s="47" t="str">
        <f t="shared" si="13"/>
        <v/>
      </c>
    </row>
    <row r="738">
      <c r="A738" s="42" t="s">
        <v>940</v>
      </c>
      <c r="B738" s="48"/>
      <c r="C738" s="42"/>
      <c r="D738" s="62"/>
      <c r="E738" s="63"/>
      <c r="F738" s="63"/>
      <c r="G738" s="63"/>
      <c r="H738" s="63"/>
      <c r="I738" s="63"/>
      <c r="J738" s="63"/>
      <c r="K738" s="47" t="str">
        <f t="shared" si="13"/>
        <v/>
      </c>
    </row>
    <row r="739">
      <c r="A739" s="42" t="s">
        <v>941</v>
      </c>
      <c r="B739" s="48"/>
      <c r="C739" s="42"/>
      <c r="D739" s="62"/>
      <c r="E739" s="63"/>
      <c r="F739" s="63"/>
      <c r="G739" s="63"/>
      <c r="H739" s="63"/>
      <c r="I739" s="63"/>
      <c r="J739" s="63"/>
      <c r="K739" s="47" t="str">
        <f t="shared" si="13"/>
        <v/>
      </c>
    </row>
    <row r="740">
      <c r="A740" s="42" t="s">
        <v>942</v>
      </c>
      <c r="B740" s="48"/>
      <c r="C740" s="42"/>
      <c r="D740" s="62"/>
      <c r="E740" s="63"/>
      <c r="F740" s="63"/>
      <c r="G740" s="63"/>
      <c r="H740" s="63"/>
      <c r="I740" s="63"/>
      <c r="J740" s="63"/>
      <c r="K740" s="47" t="str">
        <f t="shared" si="13"/>
        <v/>
      </c>
    </row>
    <row r="741">
      <c r="A741" s="42" t="s">
        <v>943</v>
      </c>
      <c r="B741" s="48"/>
      <c r="C741" s="42"/>
      <c r="D741" s="62"/>
      <c r="E741" s="63"/>
      <c r="F741" s="63"/>
      <c r="G741" s="63"/>
      <c r="H741" s="63"/>
      <c r="I741" s="63"/>
      <c r="J741" s="63"/>
      <c r="K741" s="47" t="str">
        <f t="shared" si="13"/>
        <v/>
      </c>
    </row>
    <row r="742">
      <c r="A742" s="42" t="s">
        <v>944</v>
      </c>
      <c r="B742" s="48"/>
      <c r="C742" s="42"/>
      <c r="D742" s="62"/>
      <c r="E742" s="63"/>
      <c r="F742" s="63"/>
      <c r="G742" s="63"/>
      <c r="H742" s="63"/>
      <c r="I742" s="63"/>
      <c r="J742" s="63"/>
      <c r="K742" s="47" t="str">
        <f t="shared" si="13"/>
        <v/>
      </c>
    </row>
    <row r="743">
      <c r="A743" s="42" t="s">
        <v>945</v>
      </c>
      <c r="B743" s="48"/>
      <c r="C743" s="42"/>
      <c r="D743" s="62"/>
      <c r="E743" s="63"/>
      <c r="F743" s="63"/>
      <c r="G743" s="63"/>
      <c r="H743" s="63"/>
      <c r="I743" s="63"/>
      <c r="J743" s="63"/>
      <c r="K743" s="47" t="str">
        <f t="shared" si="13"/>
        <v/>
      </c>
    </row>
    <row r="744">
      <c r="A744" s="42" t="s">
        <v>946</v>
      </c>
      <c r="B744" s="48"/>
      <c r="C744" s="42"/>
      <c r="D744" s="62"/>
      <c r="E744" s="63"/>
      <c r="F744" s="63"/>
      <c r="G744" s="63"/>
      <c r="H744" s="63"/>
      <c r="I744" s="63"/>
      <c r="J744" s="63"/>
      <c r="K744" s="47" t="str">
        <f t="shared" si="13"/>
        <v/>
      </c>
    </row>
    <row r="745">
      <c r="A745" s="42" t="s">
        <v>947</v>
      </c>
      <c r="B745" s="48"/>
      <c r="C745" s="42"/>
      <c r="D745" s="62"/>
      <c r="E745" s="63"/>
      <c r="F745" s="63"/>
      <c r="G745" s="63"/>
      <c r="H745" s="63"/>
      <c r="I745" s="63"/>
      <c r="J745" s="63"/>
      <c r="K745" s="47" t="str">
        <f t="shared" si="13"/>
        <v/>
      </c>
    </row>
    <row r="746">
      <c r="A746" s="42" t="s">
        <v>948</v>
      </c>
      <c r="B746" s="48"/>
      <c r="C746" s="42"/>
      <c r="D746" s="62"/>
      <c r="E746" s="63"/>
      <c r="F746" s="63"/>
      <c r="G746" s="63"/>
      <c r="H746" s="63"/>
      <c r="I746" s="63"/>
      <c r="J746" s="63"/>
      <c r="K746" s="47" t="str">
        <f t="shared" si="13"/>
        <v/>
      </c>
    </row>
    <row r="747">
      <c r="A747" s="42" t="s">
        <v>949</v>
      </c>
      <c r="B747" s="48"/>
      <c r="C747" s="42"/>
      <c r="D747" s="62"/>
      <c r="E747" s="63"/>
      <c r="F747" s="63"/>
      <c r="G747" s="63"/>
      <c r="H747" s="63"/>
      <c r="I747" s="63"/>
      <c r="J747" s="63"/>
      <c r="K747" s="47" t="str">
        <f t="shared" si="13"/>
        <v/>
      </c>
    </row>
    <row r="748">
      <c r="A748" s="42" t="s">
        <v>950</v>
      </c>
      <c r="B748" s="48"/>
      <c r="C748" s="42"/>
      <c r="D748" s="62"/>
      <c r="E748" s="63"/>
      <c r="F748" s="63"/>
      <c r="G748" s="63"/>
      <c r="H748" s="63"/>
      <c r="I748" s="63"/>
      <c r="J748" s="63"/>
      <c r="K748" s="47" t="str">
        <f t="shared" si="13"/>
        <v/>
      </c>
    </row>
    <row r="749">
      <c r="A749" s="42" t="s">
        <v>951</v>
      </c>
      <c r="B749" s="48"/>
      <c r="C749" s="42"/>
      <c r="D749" s="62"/>
      <c r="E749" s="63"/>
      <c r="F749" s="63"/>
      <c r="G749" s="63"/>
      <c r="H749" s="63"/>
      <c r="I749" s="63"/>
      <c r="J749" s="63"/>
      <c r="K749" s="47" t="str">
        <f t="shared" si="13"/>
        <v/>
      </c>
    </row>
    <row r="750">
      <c r="A750" s="42" t="s">
        <v>952</v>
      </c>
      <c r="B750" s="48"/>
      <c r="C750" s="42"/>
      <c r="D750" s="62"/>
      <c r="E750" s="63"/>
      <c r="F750" s="63"/>
      <c r="G750" s="63"/>
      <c r="H750" s="63"/>
      <c r="I750" s="63"/>
      <c r="J750" s="63"/>
      <c r="K750" s="47" t="str">
        <f t="shared" si="13"/>
        <v/>
      </c>
    </row>
    <row r="751">
      <c r="A751" s="42" t="s">
        <v>953</v>
      </c>
      <c r="B751" s="48"/>
      <c r="C751" s="42"/>
      <c r="D751" s="62"/>
      <c r="E751" s="63"/>
      <c r="F751" s="63"/>
      <c r="G751" s="63"/>
      <c r="H751" s="63"/>
      <c r="I751" s="63"/>
      <c r="J751" s="63"/>
      <c r="K751" s="47" t="str">
        <f t="shared" si="13"/>
        <v/>
      </c>
    </row>
    <row r="752">
      <c r="A752" s="42" t="s">
        <v>954</v>
      </c>
      <c r="B752" s="48"/>
      <c r="C752" s="42"/>
      <c r="D752" s="62"/>
      <c r="E752" s="63"/>
      <c r="F752" s="63"/>
      <c r="G752" s="63"/>
      <c r="H752" s="63"/>
      <c r="I752" s="63"/>
      <c r="J752" s="63"/>
      <c r="K752" s="47" t="str">
        <f t="shared" si="13"/>
        <v/>
      </c>
    </row>
    <row r="753">
      <c r="A753" s="42" t="s">
        <v>955</v>
      </c>
      <c r="B753" s="48"/>
      <c r="C753" s="42"/>
      <c r="D753" s="62"/>
      <c r="E753" s="63"/>
      <c r="F753" s="63"/>
      <c r="G753" s="63"/>
      <c r="H753" s="63"/>
      <c r="I753" s="63"/>
      <c r="J753" s="63"/>
      <c r="K753" s="47" t="str">
        <f t="shared" si="13"/>
        <v/>
      </c>
    </row>
    <row r="754">
      <c r="A754" s="42" t="s">
        <v>956</v>
      </c>
      <c r="B754" s="48"/>
      <c r="C754" s="42"/>
      <c r="D754" s="62"/>
      <c r="E754" s="63"/>
      <c r="F754" s="63"/>
      <c r="G754" s="63"/>
      <c r="H754" s="63"/>
      <c r="I754" s="63"/>
      <c r="J754" s="63"/>
      <c r="K754" s="47" t="str">
        <f t="shared" si="13"/>
        <v/>
      </c>
    </row>
    <row r="755">
      <c r="A755" s="42" t="s">
        <v>957</v>
      </c>
      <c r="B755" s="48"/>
      <c r="C755" s="42"/>
      <c r="D755" s="62"/>
      <c r="E755" s="63"/>
      <c r="F755" s="63"/>
      <c r="G755" s="63"/>
      <c r="H755" s="63"/>
      <c r="I755" s="63"/>
      <c r="J755" s="63"/>
      <c r="K755" s="47" t="str">
        <f t="shared" si="13"/>
        <v/>
      </c>
    </row>
    <row r="756">
      <c r="A756" s="42" t="s">
        <v>958</v>
      </c>
      <c r="B756" s="48"/>
      <c r="C756" s="42"/>
      <c r="D756" s="62"/>
      <c r="E756" s="63"/>
      <c r="F756" s="63"/>
      <c r="G756" s="63"/>
      <c r="H756" s="63"/>
      <c r="I756" s="63"/>
      <c r="J756" s="63"/>
      <c r="K756" s="47" t="str">
        <f t="shared" si="13"/>
        <v/>
      </c>
    </row>
    <row r="757">
      <c r="A757" s="42" t="s">
        <v>959</v>
      </c>
      <c r="B757" s="48"/>
      <c r="C757" s="42"/>
      <c r="D757" s="62"/>
      <c r="E757" s="63"/>
      <c r="F757" s="63"/>
      <c r="G757" s="63"/>
      <c r="H757" s="63"/>
      <c r="I757" s="63"/>
      <c r="J757" s="63"/>
      <c r="K757" s="47" t="str">
        <f t="shared" si="13"/>
        <v/>
      </c>
    </row>
    <row r="758">
      <c r="A758" s="42" t="s">
        <v>960</v>
      </c>
      <c r="B758" s="48"/>
      <c r="C758" s="42"/>
      <c r="D758" s="62"/>
      <c r="E758" s="63"/>
      <c r="F758" s="63"/>
      <c r="G758" s="63"/>
      <c r="H758" s="63"/>
      <c r="I758" s="63"/>
      <c r="J758" s="63"/>
      <c r="K758" s="47" t="str">
        <f t="shared" si="13"/>
        <v/>
      </c>
    </row>
    <row r="759">
      <c r="A759" s="42" t="s">
        <v>961</v>
      </c>
      <c r="B759" s="48"/>
      <c r="C759" s="42"/>
      <c r="D759" s="62"/>
      <c r="E759" s="63"/>
      <c r="F759" s="63"/>
      <c r="G759" s="63"/>
      <c r="H759" s="63"/>
      <c r="I759" s="63"/>
      <c r="J759" s="63"/>
      <c r="K759" s="47" t="str">
        <f t="shared" si="13"/>
        <v/>
      </c>
    </row>
    <row r="760">
      <c r="A760" s="42" t="s">
        <v>962</v>
      </c>
      <c r="B760" s="48"/>
      <c r="C760" s="42"/>
      <c r="D760" s="62"/>
      <c r="E760" s="63"/>
      <c r="F760" s="63"/>
      <c r="G760" s="63"/>
      <c r="H760" s="63"/>
      <c r="I760" s="63"/>
      <c r="J760" s="63"/>
      <c r="K760" s="47" t="str">
        <f t="shared" si="13"/>
        <v/>
      </c>
    </row>
    <row r="761">
      <c r="A761" s="42" t="s">
        <v>963</v>
      </c>
      <c r="B761" s="48"/>
      <c r="C761" s="42"/>
      <c r="D761" s="62"/>
      <c r="E761" s="63"/>
      <c r="F761" s="63"/>
      <c r="G761" s="63"/>
      <c r="H761" s="63"/>
      <c r="I761" s="63"/>
      <c r="J761" s="63"/>
      <c r="K761" s="47" t="str">
        <f t="shared" si="13"/>
        <v/>
      </c>
    </row>
    <row r="762">
      <c r="A762" s="42" t="s">
        <v>964</v>
      </c>
      <c r="B762" s="48"/>
      <c r="C762" s="42"/>
      <c r="D762" s="62"/>
      <c r="E762" s="63"/>
      <c r="F762" s="63"/>
      <c r="G762" s="63"/>
      <c r="H762" s="63"/>
      <c r="I762" s="63"/>
      <c r="J762" s="63"/>
      <c r="K762" s="47" t="str">
        <f t="shared" si="13"/>
        <v/>
      </c>
    </row>
    <row r="763">
      <c r="A763" s="42" t="s">
        <v>965</v>
      </c>
      <c r="B763" s="48"/>
      <c r="C763" s="42"/>
      <c r="D763" s="62"/>
      <c r="E763" s="63"/>
      <c r="F763" s="63"/>
      <c r="G763" s="63"/>
      <c r="H763" s="63"/>
      <c r="I763" s="63"/>
      <c r="J763" s="63"/>
      <c r="K763" s="47" t="str">
        <f t="shared" si="13"/>
        <v/>
      </c>
    </row>
    <row r="764">
      <c r="A764" s="42" t="s">
        <v>966</v>
      </c>
      <c r="B764" s="48"/>
      <c r="C764" s="42"/>
      <c r="D764" s="62"/>
      <c r="E764" s="63"/>
      <c r="F764" s="63"/>
      <c r="G764" s="63"/>
      <c r="H764" s="63"/>
      <c r="I764" s="63"/>
      <c r="J764" s="63"/>
      <c r="K764" s="47" t="str">
        <f t="shared" si="13"/>
        <v/>
      </c>
    </row>
    <row r="765">
      <c r="A765" s="42" t="s">
        <v>967</v>
      </c>
      <c r="B765" s="48"/>
      <c r="C765" s="42"/>
      <c r="D765" s="62"/>
      <c r="E765" s="63"/>
      <c r="F765" s="63"/>
      <c r="G765" s="63"/>
      <c r="H765" s="63"/>
      <c r="I765" s="63"/>
      <c r="J765" s="63"/>
      <c r="K765" s="47" t="str">
        <f t="shared" si="13"/>
        <v/>
      </c>
    </row>
    <row r="766">
      <c r="A766" s="42" t="s">
        <v>968</v>
      </c>
      <c r="B766" s="48"/>
      <c r="C766" s="42"/>
      <c r="D766" s="62"/>
      <c r="E766" s="63"/>
      <c r="F766" s="63"/>
      <c r="G766" s="63"/>
      <c r="H766" s="63"/>
      <c r="I766" s="63"/>
      <c r="J766" s="63"/>
      <c r="K766" s="47" t="str">
        <f t="shared" si="13"/>
        <v/>
      </c>
    </row>
    <row r="767">
      <c r="A767" s="42" t="s">
        <v>969</v>
      </c>
      <c r="B767" s="48"/>
      <c r="C767" s="42"/>
      <c r="D767" s="62"/>
      <c r="E767" s="63"/>
      <c r="F767" s="63"/>
      <c r="G767" s="63"/>
      <c r="H767" s="63"/>
      <c r="I767" s="63"/>
      <c r="J767" s="63"/>
      <c r="K767" s="47" t="str">
        <f t="shared" si="13"/>
        <v/>
      </c>
    </row>
    <row r="768">
      <c r="A768" s="42" t="s">
        <v>970</v>
      </c>
      <c r="B768" s="48"/>
      <c r="C768" s="42"/>
      <c r="D768" s="62"/>
      <c r="E768" s="63"/>
      <c r="F768" s="63"/>
      <c r="G768" s="63"/>
      <c r="H768" s="63"/>
      <c r="I768" s="63"/>
      <c r="J768" s="63"/>
      <c r="K768" s="47" t="str">
        <f t="shared" si="13"/>
        <v/>
      </c>
    </row>
    <row r="769">
      <c r="A769" s="42" t="s">
        <v>971</v>
      </c>
      <c r="B769" s="48"/>
      <c r="C769" s="42"/>
      <c r="D769" s="62"/>
      <c r="E769" s="63"/>
      <c r="F769" s="63"/>
      <c r="G769" s="63"/>
      <c r="H769" s="63"/>
      <c r="I769" s="63"/>
      <c r="J769" s="63"/>
      <c r="K769" s="47" t="str">
        <f t="shared" si="13"/>
        <v/>
      </c>
    </row>
    <row r="770">
      <c r="A770" s="42" t="s">
        <v>972</v>
      </c>
      <c r="B770" s="48"/>
      <c r="C770" s="42"/>
      <c r="D770" s="62"/>
      <c r="E770" s="63"/>
      <c r="F770" s="63"/>
      <c r="G770" s="63"/>
      <c r="H770" s="63"/>
      <c r="I770" s="63"/>
      <c r="J770" s="63"/>
      <c r="K770" s="47" t="str">
        <f t="shared" si="13"/>
        <v/>
      </c>
    </row>
    <row r="771">
      <c r="A771" s="42" t="s">
        <v>973</v>
      </c>
      <c r="B771" s="48"/>
      <c r="C771" s="42"/>
      <c r="D771" s="62"/>
      <c r="E771" s="63"/>
      <c r="F771" s="63"/>
      <c r="G771" s="63"/>
      <c r="H771" s="63"/>
      <c r="I771" s="63"/>
      <c r="J771" s="63"/>
      <c r="K771" s="47" t="str">
        <f t="shared" si="13"/>
        <v/>
      </c>
    </row>
    <row r="772">
      <c r="A772" s="42" t="s">
        <v>974</v>
      </c>
      <c r="B772" s="48"/>
      <c r="C772" s="42"/>
      <c r="D772" s="62"/>
      <c r="E772" s="63"/>
      <c r="F772" s="63"/>
      <c r="G772" s="63"/>
      <c r="H772" s="63"/>
      <c r="I772" s="63"/>
      <c r="J772" s="63"/>
      <c r="K772" s="47" t="str">
        <f t="shared" si="13"/>
        <v/>
      </c>
    </row>
    <row r="773">
      <c r="A773" s="42" t="s">
        <v>975</v>
      </c>
      <c r="B773" s="48"/>
      <c r="C773" s="42"/>
      <c r="D773" s="62"/>
      <c r="E773" s="63"/>
      <c r="F773" s="63"/>
      <c r="G773" s="63"/>
      <c r="H773" s="63"/>
      <c r="I773" s="63"/>
      <c r="J773" s="63"/>
      <c r="K773" s="47" t="str">
        <f t="shared" si="13"/>
        <v/>
      </c>
    </row>
    <row r="774">
      <c r="A774" s="42" t="s">
        <v>976</v>
      </c>
      <c r="B774" s="48"/>
      <c r="C774" s="42"/>
      <c r="D774" s="62"/>
      <c r="E774" s="63"/>
      <c r="F774" s="63"/>
      <c r="G774" s="63"/>
      <c r="H774" s="63"/>
      <c r="I774" s="63"/>
      <c r="J774" s="63"/>
      <c r="K774" s="47" t="str">
        <f t="shared" si="13"/>
        <v/>
      </c>
    </row>
    <row r="775">
      <c r="A775" s="42" t="s">
        <v>977</v>
      </c>
      <c r="B775" s="48"/>
      <c r="C775" s="42"/>
      <c r="D775" s="62"/>
      <c r="E775" s="63"/>
      <c r="F775" s="63"/>
      <c r="G775" s="63"/>
      <c r="H775" s="63"/>
      <c r="I775" s="63"/>
      <c r="J775" s="63"/>
      <c r="K775" s="47" t="str">
        <f t="shared" si="13"/>
        <v/>
      </c>
    </row>
    <row r="776">
      <c r="A776" s="42" t="s">
        <v>978</v>
      </c>
      <c r="B776" s="48"/>
      <c r="C776" s="42"/>
      <c r="D776" s="62"/>
      <c r="E776" s="63"/>
      <c r="F776" s="63"/>
      <c r="G776" s="63"/>
      <c r="H776" s="63"/>
      <c r="I776" s="63"/>
      <c r="J776" s="63"/>
      <c r="K776" s="47" t="str">
        <f t="shared" si="13"/>
        <v/>
      </c>
    </row>
    <row r="777">
      <c r="A777" s="42" t="s">
        <v>979</v>
      </c>
      <c r="B777" s="48"/>
      <c r="C777" s="42"/>
      <c r="D777" s="62"/>
      <c r="E777" s="63"/>
      <c r="F777" s="63"/>
      <c r="G777" s="63"/>
      <c r="H777" s="63"/>
      <c r="I777" s="63"/>
      <c r="J777" s="63"/>
      <c r="K777" s="47" t="str">
        <f t="shared" si="13"/>
        <v/>
      </c>
    </row>
    <row r="778">
      <c r="A778" s="42" t="s">
        <v>980</v>
      </c>
      <c r="B778" s="48"/>
      <c r="C778" s="42"/>
      <c r="D778" s="62"/>
      <c r="E778" s="63"/>
      <c r="F778" s="63"/>
      <c r="G778" s="63"/>
      <c r="H778" s="63"/>
      <c r="I778" s="63"/>
      <c r="J778" s="63"/>
      <c r="K778" s="47" t="str">
        <f t="shared" si="13"/>
        <v/>
      </c>
    </row>
    <row r="779">
      <c r="A779" s="42" t="s">
        <v>981</v>
      </c>
      <c r="B779" s="48"/>
      <c r="C779" s="42"/>
      <c r="D779" s="62"/>
      <c r="E779" s="63"/>
      <c r="F779" s="63"/>
      <c r="G779" s="63"/>
      <c r="H779" s="63"/>
      <c r="I779" s="63"/>
      <c r="J779" s="63"/>
      <c r="K779" s="47" t="str">
        <f t="shared" si="13"/>
        <v/>
      </c>
    </row>
    <row r="780">
      <c r="A780" s="42" t="s">
        <v>982</v>
      </c>
      <c r="B780" s="48"/>
      <c r="C780" s="42"/>
      <c r="D780" s="62"/>
      <c r="E780" s="63"/>
      <c r="F780" s="63"/>
      <c r="G780" s="63"/>
      <c r="H780" s="63"/>
      <c r="I780" s="63"/>
      <c r="J780" s="63"/>
      <c r="K780" s="47" t="str">
        <f t="shared" si="13"/>
        <v/>
      </c>
    </row>
    <row r="781">
      <c r="A781" s="42" t="s">
        <v>983</v>
      </c>
      <c r="B781" s="48"/>
      <c r="C781" s="42"/>
      <c r="D781" s="62"/>
      <c r="E781" s="63"/>
      <c r="F781" s="63"/>
      <c r="G781" s="63"/>
      <c r="H781" s="63"/>
      <c r="I781" s="63"/>
      <c r="J781" s="63"/>
      <c r="K781" s="47" t="str">
        <f t="shared" si="13"/>
        <v/>
      </c>
    </row>
    <row r="782">
      <c r="A782" s="42" t="s">
        <v>984</v>
      </c>
      <c r="B782" s="48"/>
      <c r="C782" s="42"/>
      <c r="D782" s="62"/>
      <c r="E782" s="63"/>
      <c r="F782" s="63"/>
      <c r="G782" s="63"/>
      <c r="H782" s="63"/>
      <c r="I782" s="63"/>
      <c r="J782" s="63"/>
      <c r="K782" s="47" t="str">
        <f t="shared" si="13"/>
        <v/>
      </c>
    </row>
    <row r="783">
      <c r="A783" s="42" t="s">
        <v>985</v>
      </c>
      <c r="B783" s="48"/>
      <c r="C783" s="42"/>
      <c r="D783" s="62"/>
      <c r="E783" s="63"/>
      <c r="F783" s="63"/>
      <c r="G783" s="63"/>
      <c r="H783" s="63"/>
      <c r="I783" s="63"/>
      <c r="J783" s="63"/>
      <c r="K783" s="47" t="str">
        <f t="shared" si="13"/>
        <v/>
      </c>
    </row>
    <row r="784">
      <c r="A784" s="42" t="s">
        <v>986</v>
      </c>
      <c r="B784" s="48"/>
      <c r="C784" s="42"/>
      <c r="D784" s="62"/>
      <c r="E784" s="63"/>
      <c r="F784" s="63"/>
      <c r="G784" s="63"/>
      <c r="H784" s="63"/>
      <c r="I784" s="63"/>
      <c r="J784" s="63"/>
      <c r="K784" s="47" t="str">
        <f t="shared" si="13"/>
        <v/>
      </c>
    </row>
    <row r="785">
      <c r="A785" s="42" t="s">
        <v>987</v>
      </c>
      <c r="B785" s="48"/>
      <c r="C785" s="42"/>
      <c r="D785" s="62"/>
      <c r="E785" s="63"/>
      <c r="F785" s="63"/>
      <c r="G785" s="63"/>
      <c r="H785" s="63"/>
      <c r="I785" s="63"/>
      <c r="J785" s="63"/>
      <c r="K785" s="47" t="str">
        <f t="shared" si="13"/>
        <v/>
      </c>
    </row>
    <row r="786">
      <c r="A786" s="42" t="s">
        <v>988</v>
      </c>
      <c r="B786" s="48"/>
      <c r="C786" s="42"/>
      <c r="D786" s="62"/>
      <c r="E786" s="63"/>
      <c r="F786" s="63"/>
      <c r="G786" s="63"/>
      <c r="H786" s="63"/>
      <c r="I786" s="63"/>
      <c r="J786" s="63"/>
      <c r="K786" s="47" t="str">
        <f t="shared" si="13"/>
        <v/>
      </c>
    </row>
    <row r="787">
      <c r="A787" s="42" t="s">
        <v>989</v>
      </c>
      <c r="B787" s="48"/>
      <c r="C787" s="42"/>
      <c r="D787" s="62"/>
      <c r="E787" s="63"/>
      <c r="F787" s="63"/>
      <c r="G787" s="63"/>
      <c r="H787" s="63"/>
      <c r="I787" s="63"/>
      <c r="J787" s="63"/>
      <c r="K787" s="47" t="str">
        <f t="shared" si="13"/>
        <v/>
      </c>
    </row>
    <row r="788">
      <c r="A788" s="42" t="s">
        <v>990</v>
      </c>
      <c r="B788" s="48"/>
      <c r="C788" s="42"/>
      <c r="D788" s="62"/>
      <c r="E788" s="63"/>
      <c r="F788" s="63"/>
      <c r="G788" s="63"/>
      <c r="H788" s="63"/>
      <c r="I788" s="63"/>
      <c r="J788" s="63"/>
      <c r="K788" s="47" t="str">
        <f t="shared" si="13"/>
        <v/>
      </c>
    </row>
    <row r="789">
      <c r="A789" s="42" t="s">
        <v>991</v>
      </c>
      <c r="B789" s="48"/>
      <c r="C789" s="42"/>
      <c r="D789" s="62"/>
      <c r="E789" s="63"/>
      <c r="F789" s="63"/>
      <c r="G789" s="63"/>
      <c r="H789" s="63"/>
      <c r="I789" s="63"/>
      <c r="J789" s="63"/>
      <c r="K789" s="47" t="str">
        <f t="shared" si="13"/>
        <v/>
      </c>
    </row>
    <row r="790">
      <c r="A790" s="42" t="s">
        <v>992</v>
      </c>
      <c r="B790" s="48"/>
      <c r="C790" s="42"/>
      <c r="D790" s="62"/>
      <c r="E790" s="63"/>
      <c r="F790" s="63"/>
      <c r="G790" s="63"/>
      <c r="H790" s="63"/>
      <c r="I790" s="63"/>
      <c r="J790" s="63"/>
      <c r="K790" s="47" t="str">
        <f t="shared" si="13"/>
        <v/>
      </c>
    </row>
    <row r="791">
      <c r="A791" s="42" t="s">
        <v>993</v>
      </c>
      <c r="B791" s="48"/>
      <c r="C791" s="42"/>
      <c r="D791" s="62"/>
      <c r="E791" s="63"/>
      <c r="F791" s="63"/>
      <c r="G791" s="63"/>
      <c r="H791" s="63"/>
      <c r="I791" s="63"/>
      <c r="J791" s="63"/>
      <c r="K791" s="47" t="str">
        <f t="shared" si="13"/>
        <v/>
      </c>
    </row>
    <row r="792">
      <c r="A792" s="42" t="s">
        <v>994</v>
      </c>
      <c r="B792" s="48"/>
      <c r="C792" s="42"/>
      <c r="D792" s="62"/>
      <c r="E792" s="63"/>
      <c r="F792" s="63"/>
      <c r="G792" s="63"/>
      <c r="H792" s="63"/>
      <c r="I792" s="63"/>
      <c r="J792" s="63"/>
      <c r="K792" s="47" t="str">
        <f t="shared" si="13"/>
        <v/>
      </c>
    </row>
    <row r="793">
      <c r="A793" s="42" t="s">
        <v>995</v>
      </c>
      <c r="B793" s="48"/>
      <c r="C793" s="42"/>
      <c r="D793" s="62"/>
      <c r="E793" s="63"/>
      <c r="F793" s="63"/>
      <c r="G793" s="63"/>
      <c r="H793" s="63"/>
      <c r="I793" s="63"/>
      <c r="J793" s="63"/>
      <c r="K793" s="47" t="str">
        <f t="shared" si="13"/>
        <v/>
      </c>
    </row>
    <row r="794">
      <c r="A794" s="42" t="s">
        <v>996</v>
      </c>
      <c r="B794" s="48"/>
      <c r="C794" s="42"/>
      <c r="D794" s="62"/>
      <c r="E794" s="63"/>
      <c r="F794" s="63"/>
      <c r="G794" s="63"/>
      <c r="H794" s="63"/>
      <c r="I794" s="63"/>
      <c r="J794" s="63"/>
      <c r="K794" s="47" t="str">
        <f t="shared" si="13"/>
        <v/>
      </c>
    </row>
    <row r="795">
      <c r="A795" s="42" t="s">
        <v>997</v>
      </c>
      <c r="B795" s="48"/>
      <c r="C795" s="42"/>
      <c r="D795" s="62"/>
      <c r="E795" s="63"/>
      <c r="F795" s="63"/>
      <c r="G795" s="63"/>
      <c r="H795" s="63"/>
      <c r="I795" s="63"/>
      <c r="J795" s="63"/>
      <c r="K795" s="47" t="str">
        <f t="shared" si="13"/>
        <v/>
      </c>
    </row>
    <row r="796">
      <c r="A796" s="42" t="s">
        <v>998</v>
      </c>
      <c r="B796" s="48"/>
      <c r="C796" s="42"/>
      <c r="D796" s="62"/>
      <c r="E796" s="63"/>
      <c r="F796" s="63"/>
      <c r="G796" s="63"/>
      <c r="H796" s="63"/>
      <c r="I796" s="63"/>
      <c r="J796" s="63"/>
      <c r="K796" s="47" t="str">
        <f t="shared" si="13"/>
        <v/>
      </c>
    </row>
    <row r="797">
      <c r="A797" s="42" t="s">
        <v>999</v>
      </c>
      <c r="B797" s="48"/>
      <c r="C797" s="42"/>
      <c r="D797" s="62"/>
      <c r="E797" s="63"/>
      <c r="F797" s="63"/>
      <c r="G797" s="63"/>
      <c r="H797" s="63"/>
      <c r="I797" s="63"/>
      <c r="J797" s="63"/>
      <c r="K797" s="47" t="str">
        <f t="shared" si="13"/>
        <v/>
      </c>
    </row>
    <row r="798">
      <c r="A798" s="42" t="s">
        <v>1000</v>
      </c>
      <c r="B798" s="48"/>
      <c r="C798" s="42"/>
      <c r="D798" s="62"/>
      <c r="E798" s="63"/>
      <c r="F798" s="63"/>
      <c r="G798" s="63"/>
      <c r="H798" s="63"/>
      <c r="I798" s="63"/>
      <c r="J798" s="63"/>
      <c r="K798" s="47" t="str">
        <f t="shared" si="13"/>
        <v/>
      </c>
    </row>
    <row r="799">
      <c r="A799" s="42" t="s">
        <v>1001</v>
      </c>
      <c r="B799" s="48"/>
      <c r="C799" s="42"/>
      <c r="D799" s="62"/>
      <c r="E799" s="63"/>
      <c r="F799" s="63"/>
      <c r="G799" s="63"/>
      <c r="H799" s="63"/>
      <c r="I799" s="63"/>
      <c r="J799" s="63"/>
      <c r="K799" s="47" t="str">
        <f t="shared" si="13"/>
        <v/>
      </c>
    </row>
    <row r="800">
      <c r="A800" s="42" t="s">
        <v>1002</v>
      </c>
      <c r="B800" s="48"/>
      <c r="C800" s="42"/>
      <c r="D800" s="62"/>
      <c r="E800" s="63"/>
      <c r="F800" s="63"/>
      <c r="G800" s="63"/>
      <c r="H800" s="63"/>
      <c r="I800" s="63"/>
      <c r="J800" s="63"/>
      <c r="K800" s="47" t="str">
        <f t="shared" si="13"/>
        <v/>
      </c>
    </row>
    <row r="801">
      <c r="A801" s="42" t="s">
        <v>1003</v>
      </c>
      <c r="B801" s="48"/>
      <c r="C801" s="42"/>
      <c r="D801" s="62"/>
      <c r="E801" s="63"/>
      <c r="F801" s="63"/>
      <c r="G801" s="63"/>
      <c r="H801" s="63"/>
      <c r="I801" s="63"/>
      <c r="J801" s="63"/>
      <c r="K801" s="47" t="str">
        <f t="shared" si="13"/>
        <v/>
      </c>
    </row>
    <row r="802">
      <c r="A802" s="42" t="s">
        <v>1004</v>
      </c>
      <c r="B802" s="48"/>
      <c r="C802" s="42"/>
      <c r="D802" s="62"/>
      <c r="E802" s="63"/>
      <c r="F802" s="63"/>
      <c r="G802" s="63"/>
      <c r="H802" s="63"/>
      <c r="I802" s="63"/>
      <c r="J802" s="63"/>
      <c r="K802" s="47" t="str">
        <f t="shared" si="13"/>
        <v/>
      </c>
    </row>
    <row r="803">
      <c r="A803" s="42" t="s">
        <v>1005</v>
      </c>
      <c r="B803" s="48"/>
      <c r="C803" s="42"/>
      <c r="D803" s="62"/>
      <c r="E803" s="63"/>
      <c r="F803" s="63"/>
      <c r="G803" s="63"/>
      <c r="H803" s="63"/>
      <c r="I803" s="63"/>
      <c r="J803" s="63"/>
      <c r="K803" s="47" t="str">
        <f t="shared" si="13"/>
        <v/>
      </c>
    </row>
    <row r="804">
      <c r="A804" s="42" t="s">
        <v>1006</v>
      </c>
      <c r="B804" s="48"/>
      <c r="C804" s="42"/>
      <c r="D804" s="62"/>
      <c r="E804" s="63"/>
      <c r="F804" s="63"/>
      <c r="G804" s="63"/>
      <c r="H804" s="63"/>
      <c r="I804" s="63"/>
      <c r="J804" s="63"/>
      <c r="K804" s="47" t="str">
        <f t="shared" si="13"/>
        <v/>
      </c>
    </row>
    <row r="805">
      <c r="A805" s="42" t="s">
        <v>1007</v>
      </c>
      <c r="B805" s="48"/>
      <c r="C805" s="42"/>
      <c r="D805" s="62"/>
      <c r="E805" s="63"/>
      <c r="F805" s="63"/>
      <c r="G805" s="63"/>
      <c r="H805" s="63"/>
      <c r="I805" s="63"/>
      <c r="J805" s="63"/>
      <c r="K805" s="47" t="str">
        <f t="shared" si="13"/>
        <v/>
      </c>
    </row>
    <row r="806">
      <c r="A806" s="42" t="s">
        <v>1008</v>
      </c>
      <c r="B806" s="48"/>
      <c r="C806" s="42"/>
      <c r="D806" s="62"/>
      <c r="E806" s="63"/>
      <c r="F806" s="63"/>
      <c r="G806" s="63"/>
      <c r="H806" s="63"/>
      <c r="I806" s="63"/>
      <c r="J806" s="63"/>
      <c r="K806" s="47" t="str">
        <f t="shared" si="13"/>
        <v/>
      </c>
    </row>
    <row r="807">
      <c r="A807" s="42" t="s">
        <v>1009</v>
      </c>
      <c r="B807" s="48"/>
      <c r="C807" s="42"/>
      <c r="D807" s="62"/>
      <c r="E807" s="63"/>
      <c r="F807" s="63"/>
      <c r="G807" s="63"/>
      <c r="H807" s="63"/>
      <c r="I807" s="63"/>
      <c r="J807" s="63"/>
      <c r="K807" s="47" t="str">
        <f t="shared" si="13"/>
        <v/>
      </c>
    </row>
    <row r="808">
      <c r="A808" s="42" t="s">
        <v>1010</v>
      </c>
      <c r="B808" s="48"/>
      <c r="C808" s="42"/>
      <c r="D808" s="62"/>
      <c r="E808" s="63"/>
      <c r="F808" s="63"/>
      <c r="G808" s="63"/>
      <c r="H808" s="63"/>
      <c r="I808" s="63"/>
      <c r="J808" s="63"/>
      <c r="K808" s="47" t="str">
        <f t="shared" si="13"/>
        <v/>
      </c>
    </row>
    <row r="809">
      <c r="A809" s="42" t="s">
        <v>1011</v>
      </c>
      <c r="B809" s="48"/>
      <c r="C809" s="42"/>
      <c r="D809" s="62"/>
      <c r="E809" s="63"/>
      <c r="F809" s="63"/>
      <c r="G809" s="63"/>
      <c r="H809" s="63"/>
      <c r="I809" s="63"/>
      <c r="J809" s="63"/>
      <c r="K809" s="47" t="str">
        <f t="shared" si="13"/>
        <v/>
      </c>
    </row>
    <row r="810">
      <c r="A810" s="42" t="s">
        <v>1012</v>
      </c>
      <c r="B810" s="48"/>
      <c r="C810" s="42"/>
      <c r="D810" s="62"/>
      <c r="E810" s="63"/>
      <c r="F810" s="63"/>
      <c r="G810" s="63"/>
      <c r="H810" s="63"/>
      <c r="I810" s="63"/>
      <c r="J810" s="63"/>
      <c r="K810" s="47" t="str">
        <f t="shared" si="13"/>
        <v/>
      </c>
    </row>
    <row r="811">
      <c r="A811" s="42" t="s">
        <v>1013</v>
      </c>
      <c r="B811" s="48"/>
      <c r="C811" s="42"/>
      <c r="D811" s="62"/>
      <c r="E811" s="63"/>
      <c r="F811" s="63"/>
      <c r="G811" s="63"/>
      <c r="H811" s="63"/>
      <c r="I811" s="63"/>
      <c r="J811" s="63"/>
      <c r="K811" s="47" t="str">
        <f t="shared" si="13"/>
        <v/>
      </c>
    </row>
    <row r="812">
      <c r="A812" s="42" t="s">
        <v>1014</v>
      </c>
      <c r="B812" s="48"/>
      <c r="C812" s="42"/>
      <c r="D812" s="62"/>
      <c r="E812" s="63"/>
      <c r="F812" s="63"/>
      <c r="G812" s="63"/>
      <c r="H812" s="63"/>
      <c r="I812" s="63"/>
      <c r="J812" s="63"/>
      <c r="K812" s="47" t="str">
        <f t="shared" si="13"/>
        <v/>
      </c>
    </row>
    <row r="813">
      <c r="A813" s="42" t="s">
        <v>1015</v>
      </c>
      <c r="B813" s="48"/>
      <c r="C813" s="42"/>
      <c r="D813" s="62"/>
      <c r="E813" s="63"/>
      <c r="F813" s="63"/>
      <c r="G813" s="63"/>
      <c r="H813" s="63"/>
      <c r="I813" s="63"/>
      <c r="J813" s="63"/>
      <c r="K813" s="47" t="str">
        <f t="shared" si="13"/>
        <v/>
      </c>
    </row>
    <row r="814">
      <c r="A814" s="42" t="s">
        <v>1016</v>
      </c>
      <c r="B814" s="48"/>
      <c r="C814" s="42"/>
      <c r="D814" s="62"/>
      <c r="E814" s="63"/>
      <c r="F814" s="63"/>
      <c r="G814" s="63"/>
      <c r="H814" s="63"/>
      <c r="I814" s="63"/>
      <c r="J814" s="63"/>
      <c r="K814" s="47" t="str">
        <f t="shared" si="13"/>
        <v/>
      </c>
    </row>
    <row r="815">
      <c r="A815" s="42" t="s">
        <v>1017</v>
      </c>
      <c r="B815" s="48"/>
      <c r="C815" s="42"/>
      <c r="D815" s="62"/>
      <c r="E815" s="63"/>
      <c r="F815" s="63"/>
      <c r="G815" s="63"/>
      <c r="H815" s="63"/>
      <c r="I815" s="63"/>
      <c r="J815" s="63"/>
      <c r="K815" s="47" t="str">
        <f t="shared" si="13"/>
        <v/>
      </c>
    </row>
    <row r="816">
      <c r="A816" s="42" t="s">
        <v>1018</v>
      </c>
      <c r="B816" s="48"/>
      <c r="C816" s="42"/>
      <c r="D816" s="62"/>
      <c r="E816" s="63"/>
      <c r="F816" s="63"/>
      <c r="G816" s="63"/>
      <c r="H816" s="63"/>
      <c r="I816" s="63"/>
      <c r="J816" s="63"/>
      <c r="K816" s="47" t="str">
        <f t="shared" si="13"/>
        <v/>
      </c>
    </row>
    <row r="817">
      <c r="A817" s="42" t="s">
        <v>1019</v>
      </c>
      <c r="B817" s="48"/>
      <c r="C817" s="42"/>
      <c r="D817" s="62"/>
      <c r="E817" s="63"/>
      <c r="F817" s="63"/>
      <c r="G817" s="63"/>
      <c r="H817" s="63"/>
      <c r="I817" s="63"/>
      <c r="J817" s="63"/>
      <c r="K817" s="47" t="str">
        <f t="shared" si="13"/>
        <v/>
      </c>
    </row>
    <row r="818">
      <c r="A818" s="42" t="s">
        <v>1020</v>
      </c>
      <c r="B818" s="48"/>
      <c r="C818" s="42"/>
      <c r="D818" s="62"/>
      <c r="E818" s="63"/>
      <c r="F818" s="63"/>
      <c r="G818" s="63"/>
      <c r="H818" s="63"/>
      <c r="I818" s="63"/>
      <c r="J818" s="63"/>
      <c r="K818" s="47" t="str">
        <f t="shared" si="13"/>
        <v/>
      </c>
    </row>
    <row r="819">
      <c r="A819" s="42" t="s">
        <v>1021</v>
      </c>
      <c r="B819" s="48"/>
      <c r="C819" s="42"/>
      <c r="D819" s="62"/>
      <c r="E819" s="63"/>
      <c r="F819" s="63"/>
      <c r="G819" s="63"/>
      <c r="H819" s="63"/>
      <c r="I819" s="63"/>
      <c r="J819" s="63"/>
      <c r="K819" s="47" t="str">
        <f t="shared" si="13"/>
        <v/>
      </c>
    </row>
    <row r="820">
      <c r="A820" s="42" t="s">
        <v>1022</v>
      </c>
      <c r="B820" s="48"/>
      <c r="C820" s="42"/>
      <c r="D820" s="62"/>
      <c r="E820" s="63"/>
      <c r="F820" s="63"/>
      <c r="G820" s="63"/>
      <c r="H820" s="63"/>
      <c r="I820" s="63"/>
      <c r="J820" s="63"/>
      <c r="K820" s="47" t="str">
        <f t="shared" si="13"/>
        <v/>
      </c>
    </row>
    <row r="821">
      <c r="A821" s="42" t="s">
        <v>1023</v>
      </c>
      <c r="B821" s="48"/>
      <c r="C821" s="42"/>
      <c r="D821" s="62"/>
      <c r="E821" s="63"/>
      <c r="F821" s="63"/>
      <c r="G821" s="63"/>
      <c r="H821" s="63"/>
      <c r="I821" s="63"/>
      <c r="J821" s="63"/>
      <c r="K821" s="47" t="str">
        <f t="shared" si="13"/>
        <v/>
      </c>
    </row>
    <row r="822">
      <c r="A822" s="42" t="s">
        <v>1024</v>
      </c>
      <c r="B822" s="48"/>
      <c r="C822" s="42"/>
      <c r="D822" s="62"/>
      <c r="E822" s="63"/>
      <c r="F822" s="63"/>
      <c r="G822" s="63"/>
      <c r="H822" s="63"/>
      <c r="I822" s="63"/>
      <c r="J822" s="63"/>
      <c r="K822" s="47" t="str">
        <f t="shared" si="13"/>
        <v/>
      </c>
    </row>
    <row r="823">
      <c r="A823" s="42" t="s">
        <v>1025</v>
      </c>
      <c r="B823" s="48"/>
      <c r="C823" s="42"/>
      <c r="D823" s="62"/>
      <c r="E823" s="63"/>
      <c r="F823" s="63"/>
      <c r="G823" s="63"/>
      <c r="H823" s="63"/>
      <c r="I823" s="63"/>
      <c r="J823" s="63"/>
      <c r="K823" s="47" t="str">
        <f t="shared" si="13"/>
        <v/>
      </c>
    </row>
    <row r="824">
      <c r="A824" s="42" t="s">
        <v>1026</v>
      </c>
      <c r="B824" s="48"/>
      <c r="C824" s="42"/>
      <c r="D824" s="62"/>
      <c r="E824" s="63"/>
      <c r="F824" s="63"/>
      <c r="G824" s="63"/>
      <c r="H824" s="63"/>
      <c r="I824" s="63"/>
      <c r="J824" s="63"/>
      <c r="K824" s="47" t="str">
        <f t="shared" si="13"/>
        <v/>
      </c>
    </row>
    <row r="825">
      <c r="A825" s="42" t="s">
        <v>1027</v>
      </c>
      <c r="B825" s="48"/>
      <c r="C825" s="42"/>
      <c r="D825" s="62"/>
      <c r="E825" s="63"/>
      <c r="F825" s="63"/>
      <c r="G825" s="63"/>
      <c r="H825" s="63"/>
      <c r="I825" s="63"/>
      <c r="J825" s="63"/>
      <c r="K825" s="47" t="str">
        <f t="shared" si="13"/>
        <v/>
      </c>
    </row>
    <row r="826">
      <c r="A826" s="42" t="s">
        <v>1028</v>
      </c>
      <c r="B826" s="48"/>
      <c r="C826" s="42"/>
      <c r="D826" s="62"/>
      <c r="E826" s="63"/>
      <c r="F826" s="63"/>
      <c r="G826" s="63"/>
      <c r="H826" s="63"/>
      <c r="I826" s="63"/>
      <c r="J826" s="63"/>
      <c r="K826" s="47" t="str">
        <f t="shared" si="13"/>
        <v/>
      </c>
    </row>
    <row r="827">
      <c r="A827" s="42" t="s">
        <v>1029</v>
      </c>
      <c r="B827" s="48"/>
      <c r="C827" s="42"/>
      <c r="D827" s="62"/>
      <c r="E827" s="63"/>
      <c r="F827" s="63"/>
      <c r="G827" s="63"/>
      <c r="H827" s="63"/>
      <c r="I827" s="63"/>
      <c r="J827" s="63"/>
      <c r="K827" s="47" t="str">
        <f t="shared" si="13"/>
        <v/>
      </c>
    </row>
    <row r="828">
      <c r="A828" s="42" t="s">
        <v>1030</v>
      </c>
      <c r="B828" s="48"/>
      <c r="C828" s="42"/>
      <c r="D828" s="62"/>
      <c r="E828" s="63"/>
      <c r="F828" s="63"/>
      <c r="G828" s="63"/>
      <c r="H828" s="63"/>
      <c r="I828" s="63"/>
      <c r="J828" s="63"/>
      <c r="K828" s="47" t="str">
        <f t="shared" si="13"/>
        <v/>
      </c>
    </row>
    <row r="829">
      <c r="A829" s="42" t="s">
        <v>1031</v>
      </c>
      <c r="B829" s="48"/>
      <c r="C829" s="42"/>
      <c r="D829" s="62"/>
      <c r="E829" s="63"/>
      <c r="F829" s="63"/>
      <c r="G829" s="63"/>
      <c r="H829" s="63"/>
      <c r="I829" s="63"/>
      <c r="J829" s="63"/>
      <c r="K829" s="47" t="str">
        <f t="shared" si="13"/>
        <v/>
      </c>
    </row>
    <row r="830">
      <c r="A830" s="42" t="s">
        <v>1032</v>
      </c>
      <c r="B830" s="48"/>
      <c r="C830" s="42"/>
      <c r="D830" s="62"/>
      <c r="E830" s="63"/>
      <c r="F830" s="63"/>
      <c r="G830" s="63"/>
      <c r="H830" s="63"/>
      <c r="I830" s="63"/>
      <c r="J830" s="63"/>
      <c r="K830" s="47" t="str">
        <f t="shared" si="13"/>
        <v/>
      </c>
    </row>
    <row r="831">
      <c r="A831" s="42" t="s">
        <v>1033</v>
      </c>
      <c r="B831" s="48"/>
      <c r="C831" s="42"/>
      <c r="D831" s="62"/>
      <c r="E831" s="63"/>
      <c r="F831" s="63"/>
      <c r="G831" s="63"/>
      <c r="H831" s="63"/>
      <c r="I831" s="63"/>
      <c r="J831" s="63"/>
      <c r="K831" s="47" t="str">
        <f t="shared" si="13"/>
        <v/>
      </c>
    </row>
    <row r="832">
      <c r="A832" s="42" t="s">
        <v>1034</v>
      </c>
      <c r="B832" s="48"/>
      <c r="C832" s="42"/>
      <c r="D832" s="62"/>
      <c r="E832" s="63"/>
      <c r="F832" s="63"/>
      <c r="G832" s="63"/>
      <c r="H832" s="63"/>
      <c r="I832" s="63"/>
      <c r="J832" s="63"/>
      <c r="K832" s="47" t="str">
        <f t="shared" si="13"/>
        <v/>
      </c>
    </row>
    <row r="833">
      <c r="A833" s="42" t="s">
        <v>1035</v>
      </c>
      <c r="B833" s="48"/>
      <c r="C833" s="42"/>
      <c r="D833" s="62"/>
      <c r="E833" s="63"/>
      <c r="F833" s="63"/>
      <c r="G833" s="63"/>
      <c r="H833" s="63"/>
      <c r="I833" s="63"/>
      <c r="J833" s="63"/>
      <c r="K833" s="47" t="str">
        <f t="shared" si="13"/>
        <v/>
      </c>
    </row>
    <row r="834">
      <c r="A834" s="42" t="s">
        <v>1036</v>
      </c>
      <c r="B834" s="48"/>
      <c r="C834" s="42"/>
      <c r="D834" s="62"/>
      <c r="E834" s="63"/>
      <c r="F834" s="63"/>
      <c r="G834" s="63"/>
      <c r="H834" s="63"/>
      <c r="I834" s="63"/>
      <c r="J834" s="63"/>
      <c r="K834" s="47" t="str">
        <f t="shared" si="13"/>
        <v/>
      </c>
    </row>
    <row r="835">
      <c r="A835" s="42" t="s">
        <v>1037</v>
      </c>
      <c r="B835" s="48"/>
      <c r="C835" s="42"/>
      <c r="D835" s="62"/>
      <c r="E835" s="63"/>
      <c r="F835" s="63"/>
      <c r="G835" s="63"/>
      <c r="H835" s="63"/>
      <c r="I835" s="63"/>
      <c r="J835" s="63"/>
      <c r="K835" s="47" t="str">
        <f t="shared" si="13"/>
        <v/>
      </c>
    </row>
    <row r="836">
      <c r="A836" s="42" t="s">
        <v>1038</v>
      </c>
      <c r="B836" s="48"/>
      <c r="C836" s="42"/>
      <c r="D836" s="62"/>
      <c r="E836" s="63"/>
      <c r="F836" s="63"/>
      <c r="G836" s="63"/>
      <c r="H836" s="63"/>
      <c r="I836" s="63"/>
      <c r="J836" s="63"/>
      <c r="K836" s="47" t="str">
        <f t="shared" si="13"/>
        <v/>
      </c>
    </row>
    <row r="837">
      <c r="A837" s="42" t="s">
        <v>1039</v>
      </c>
      <c r="B837" s="48"/>
      <c r="C837" s="42"/>
      <c r="D837" s="62"/>
      <c r="E837" s="63"/>
      <c r="F837" s="63"/>
      <c r="G837" s="63"/>
      <c r="H837" s="63"/>
      <c r="I837" s="63"/>
      <c r="J837" s="63"/>
      <c r="K837" s="47" t="str">
        <f t="shared" si="13"/>
        <v/>
      </c>
    </row>
    <row r="838">
      <c r="A838" s="42" t="s">
        <v>1040</v>
      </c>
      <c r="B838" s="48"/>
      <c r="C838" s="42"/>
      <c r="D838" s="62"/>
      <c r="E838" s="63"/>
      <c r="F838" s="63"/>
      <c r="G838" s="63"/>
      <c r="H838" s="63"/>
      <c r="I838" s="63"/>
      <c r="J838" s="63"/>
      <c r="K838" s="47" t="str">
        <f t="shared" si="13"/>
        <v/>
      </c>
    </row>
    <row r="839">
      <c r="A839" s="42" t="s">
        <v>1041</v>
      </c>
      <c r="B839" s="48"/>
      <c r="C839" s="42"/>
      <c r="D839" s="62"/>
      <c r="E839" s="63"/>
      <c r="F839" s="63"/>
      <c r="G839" s="63"/>
      <c r="H839" s="63"/>
      <c r="I839" s="63"/>
      <c r="J839" s="63"/>
      <c r="K839" s="47" t="str">
        <f t="shared" si="13"/>
        <v/>
      </c>
    </row>
    <row r="840">
      <c r="A840" s="42" t="s">
        <v>1042</v>
      </c>
      <c r="B840" s="48"/>
      <c r="C840" s="42"/>
      <c r="D840" s="62"/>
      <c r="E840" s="63"/>
      <c r="F840" s="63"/>
      <c r="G840" s="63"/>
      <c r="H840" s="63"/>
      <c r="I840" s="63"/>
      <c r="J840" s="63"/>
      <c r="K840" s="47" t="str">
        <f t="shared" si="13"/>
        <v/>
      </c>
    </row>
    <row r="841">
      <c r="A841" s="42" t="s">
        <v>1043</v>
      </c>
      <c r="B841" s="48"/>
      <c r="C841" s="42"/>
      <c r="D841" s="62"/>
      <c r="E841" s="63"/>
      <c r="F841" s="63"/>
      <c r="G841" s="63"/>
      <c r="H841" s="63"/>
      <c r="I841" s="63"/>
      <c r="J841" s="63"/>
      <c r="K841" s="47" t="str">
        <f t="shared" si="13"/>
        <v/>
      </c>
    </row>
    <row r="842">
      <c r="A842" s="42" t="s">
        <v>1044</v>
      </c>
      <c r="B842" s="48"/>
      <c r="C842" s="42"/>
      <c r="D842" s="62"/>
      <c r="E842" s="63"/>
      <c r="F842" s="63"/>
      <c r="G842" s="63"/>
      <c r="H842" s="63"/>
      <c r="I842" s="63"/>
      <c r="J842" s="63"/>
      <c r="K842" s="47" t="str">
        <f t="shared" si="13"/>
        <v/>
      </c>
    </row>
    <row r="843">
      <c r="A843" s="42" t="s">
        <v>1045</v>
      </c>
      <c r="B843" s="48"/>
      <c r="C843" s="42"/>
      <c r="D843" s="62"/>
      <c r="E843" s="63"/>
      <c r="F843" s="63"/>
      <c r="G843" s="63"/>
      <c r="H843" s="63"/>
      <c r="I843" s="63"/>
      <c r="J843" s="63"/>
      <c r="K843" s="47" t="str">
        <f t="shared" si="13"/>
        <v/>
      </c>
    </row>
    <row r="844">
      <c r="A844" s="42" t="s">
        <v>1046</v>
      </c>
      <c r="B844" s="48"/>
      <c r="C844" s="42"/>
      <c r="D844" s="62"/>
      <c r="E844" s="63"/>
      <c r="F844" s="63"/>
      <c r="G844" s="63"/>
      <c r="H844" s="63"/>
      <c r="I844" s="63"/>
      <c r="J844" s="63"/>
      <c r="K844" s="47" t="str">
        <f t="shared" si="13"/>
        <v/>
      </c>
    </row>
    <row r="845">
      <c r="A845" s="42" t="s">
        <v>1047</v>
      </c>
      <c r="B845" s="48"/>
      <c r="C845" s="42"/>
      <c r="D845" s="62"/>
      <c r="E845" s="63"/>
      <c r="F845" s="63"/>
      <c r="G845" s="63"/>
      <c r="H845" s="63"/>
      <c r="I845" s="63"/>
      <c r="J845" s="63"/>
      <c r="K845" s="47" t="str">
        <f t="shared" si="13"/>
        <v/>
      </c>
    </row>
    <row r="846">
      <c r="A846" s="42" t="s">
        <v>1048</v>
      </c>
      <c r="B846" s="48"/>
      <c r="C846" s="42"/>
      <c r="D846" s="62"/>
      <c r="E846" s="63"/>
      <c r="F846" s="63"/>
      <c r="G846" s="63"/>
      <c r="H846" s="63"/>
      <c r="I846" s="63"/>
      <c r="J846" s="63"/>
      <c r="K846" s="47" t="str">
        <f t="shared" si="13"/>
        <v/>
      </c>
    </row>
    <row r="847">
      <c r="A847" s="42" t="s">
        <v>1049</v>
      </c>
      <c r="B847" s="48"/>
      <c r="C847" s="42"/>
      <c r="D847" s="62"/>
      <c r="E847" s="63"/>
      <c r="F847" s="63"/>
      <c r="G847" s="63"/>
      <c r="H847" s="63"/>
      <c r="I847" s="63"/>
      <c r="J847" s="63"/>
      <c r="K847" s="47" t="str">
        <f t="shared" si="13"/>
        <v/>
      </c>
    </row>
    <row r="848">
      <c r="A848" s="42" t="s">
        <v>1050</v>
      </c>
      <c r="B848" s="48"/>
      <c r="C848" s="42"/>
      <c r="D848" s="62"/>
      <c r="E848" s="63"/>
      <c r="F848" s="63"/>
      <c r="G848" s="63"/>
      <c r="H848" s="63"/>
      <c r="I848" s="63"/>
      <c r="J848" s="63"/>
      <c r="K848" s="47" t="str">
        <f t="shared" si="13"/>
        <v/>
      </c>
    </row>
    <row r="849">
      <c r="A849" s="42" t="s">
        <v>1051</v>
      </c>
      <c r="B849" s="48"/>
      <c r="C849" s="42"/>
      <c r="D849" s="62"/>
      <c r="E849" s="63"/>
      <c r="F849" s="63"/>
      <c r="G849" s="63"/>
      <c r="H849" s="63"/>
      <c r="I849" s="63"/>
      <c r="J849" s="63"/>
      <c r="K849" s="47" t="str">
        <f t="shared" si="13"/>
        <v/>
      </c>
    </row>
    <row r="850">
      <c r="A850" s="42" t="s">
        <v>1052</v>
      </c>
      <c r="B850" s="48"/>
      <c r="C850" s="42"/>
      <c r="D850" s="62"/>
      <c r="E850" s="63"/>
      <c r="F850" s="63"/>
      <c r="G850" s="63"/>
      <c r="H850" s="63"/>
      <c r="I850" s="63"/>
      <c r="J850" s="63"/>
      <c r="K850" s="47" t="str">
        <f t="shared" si="13"/>
        <v/>
      </c>
    </row>
    <row r="851">
      <c r="A851" s="42" t="s">
        <v>1053</v>
      </c>
      <c r="B851" s="48"/>
      <c r="C851" s="42"/>
      <c r="D851" s="62"/>
      <c r="E851" s="63"/>
      <c r="F851" s="63"/>
      <c r="G851" s="63"/>
      <c r="H851" s="63"/>
      <c r="I851" s="63"/>
      <c r="J851" s="63"/>
      <c r="K851" s="47" t="str">
        <f t="shared" si="13"/>
        <v/>
      </c>
    </row>
    <row r="852">
      <c r="A852" s="42" t="s">
        <v>1054</v>
      </c>
      <c r="B852" s="48"/>
      <c r="C852" s="42"/>
      <c r="D852" s="62"/>
      <c r="E852" s="63"/>
      <c r="F852" s="63"/>
      <c r="G852" s="63"/>
      <c r="H852" s="63"/>
      <c r="I852" s="63"/>
      <c r="J852" s="63"/>
      <c r="K852" s="47" t="str">
        <f t="shared" si="13"/>
        <v/>
      </c>
    </row>
    <row r="853">
      <c r="A853" s="42" t="s">
        <v>1055</v>
      </c>
      <c r="B853" s="48"/>
      <c r="C853" s="42"/>
      <c r="D853" s="62"/>
      <c r="E853" s="63"/>
      <c r="F853" s="63"/>
      <c r="G853" s="63"/>
      <c r="H853" s="63"/>
      <c r="I853" s="63"/>
      <c r="J853" s="63"/>
      <c r="K853" s="47" t="str">
        <f t="shared" si="13"/>
        <v/>
      </c>
    </row>
    <row r="854">
      <c r="A854" s="42" t="s">
        <v>1056</v>
      </c>
      <c r="B854" s="48"/>
      <c r="C854" s="42"/>
      <c r="D854" s="62"/>
      <c r="E854" s="63"/>
      <c r="F854" s="63"/>
      <c r="G854" s="63"/>
      <c r="H854" s="63"/>
      <c r="I854" s="63"/>
      <c r="J854" s="63"/>
      <c r="K854" s="47" t="str">
        <f t="shared" si="13"/>
        <v/>
      </c>
    </row>
    <row r="855">
      <c r="A855" s="42" t="s">
        <v>1057</v>
      </c>
      <c r="B855" s="48"/>
      <c r="C855" s="42"/>
      <c r="D855" s="62"/>
      <c r="E855" s="63"/>
      <c r="F855" s="63"/>
      <c r="G855" s="63"/>
      <c r="H855" s="63"/>
      <c r="I855" s="63"/>
      <c r="J855" s="63"/>
      <c r="K855" s="47" t="str">
        <f t="shared" si="13"/>
        <v/>
      </c>
    </row>
    <row r="856">
      <c r="A856" s="42" t="s">
        <v>1058</v>
      </c>
      <c r="B856" s="48"/>
      <c r="C856" s="42"/>
      <c r="D856" s="62"/>
      <c r="E856" s="63"/>
      <c r="F856" s="63"/>
      <c r="G856" s="63"/>
      <c r="H856" s="63"/>
      <c r="I856" s="63"/>
      <c r="J856" s="63"/>
      <c r="K856" s="47" t="str">
        <f t="shared" si="13"/>
        <v/>
      </c>
    </row>
    <row r="857">
      <c r="A857" s="42" t="s">
        <v>1059</v>
      </c>
      <c r="B857" s="48"/>
      <c r="C857" s="42"/>
      <c r="D857" s="62"/>
      <c r="E857" s="63"/>
      <c r="F857" s="63"/>
      <c r="G857" s="63"/>
      <c r="H857" s="63"/>
      <c r="I857" s="63"/>
      <c r="J857" s="63"/>
      <c r="K857" s="47" t="str">
        <f t="shared" si="13"/>
        <v/>
      </c>
    </row>
    <row r="858">
      <c r="A858" s="42" t="s">
        <v>1060</v>
      </c>
      <c r="B858" s="48"/>
      <c r="C858" s="42"/>
      <c r="D858" s="62"/>
      <c r="E858" s="63"/>
      <c r="F858" s="63"/>
      <c r="G858" s="63"/>
      <c r="H858" s="63"/>
      <c r="I858" s="63"/>
      <c r="J858" s="63"/>
      <c r="K858" s="47" t="str">
        <f t="shared" si="13"/>
        <v/>
      </c>
    </row>
    <row r="859">
      <c r="A859" s="42" t="s">
        <v>1061</v>
      </c>
      <c r="B859" s="48"/>
      <c r="C859" s="42"/>
      <c r="D859" s="62"/>
      <c r="E859" s="63"/>
      <c r="F859" s="63"/>
      <c r="G859" s="63"/>
      <c r="H859" s="63"/>
      <c r="I859" s="63"/>
      <c r="J859" s="63"/>
      <c r="K859" s="47" t="str">
        <f t="shared" si="13"/>
        <v/>
      </c>
    </row>
    <row r="860">
      <c r="A860" s="42" t="s">
        <v>1062</v>
      </c>
      <c r="B860" s="48"/>
      <c r="C860" s="42"/>
      <c r="D860" s="62"/>
      <c r="E860" s="63"/>
      <c r="F860" s="63"/>
      <c r="G860" s="63"/>
      <c r="H860" s="63"/>
      <c r="I860" s="63"/>
      <c r="J860" s="63"/>
      <c r="K860" s="47" t="str">
        <f t="shared" si="13"/>
        <v/>
      </c>
    </row>
    <row r="861">
      <c r="A861" s="42" t="s">
        <v>1063</v>
      </c>
      <c r="B861" s="48"/>
      <c r="C861" s="42"/>
      <c r="D861" s="62"/>
      <c r="E861" s="63"/>
      <c r="F861" s="63"/>
      <c r="G861" s="63"/>
      <c r="H861" s="63"/>
      <c r="I861" s="63"/>
      <c r="J861" s="63"/>
      <c r="K861" s="47" t="str">
        <f t="shared" si="13"/>
        <v/>
      </c>
    </row>
  </sheetData>
  <autoFilter ref="$A$1:$K$861"/>
  <conditionalFormatting sqref="E1:I861 K1:K861">
    <cfRule type="containsText" dxfId="1" priority="1" operator="containsText" text="Desconocido">
      <formula>NOT(ISERROR(SEARCH(("Desconocido"),(E1))))</formula>
    </cfRule>
  </conditionalFormatting>
  <dataValidations>
    <dataValidation type="list" allowBlank="1" showErrorMessage="1" sqref="K2:K861">
      <formula1>"Infancia,Adolescente,Jóven adulto,Adulto,Adulto Mayor,Desconocido"</formula1>
    </dataValidation>
    <dataValidation type="list" allowBlank="1" showErrorMessage="1" sqref="C2:C861">
      <formula1>"2024,2025,2026"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3.63"/>
    <col customWidth="1" min="3" max="3" width="39.13"/>
    <col customWidth="1" min="5" max="5" width="4.63"/>
    <col customWidth="1" min="6" max="6" width="14.5"/>
    <col customWidth="1" min="7" max="7" width="20.13"/>
    <col customWidth="1" min="8" max="8" width="11.25"/>
    <col customWidth="1" min="9" max="10" width="29.25"/>
    <col customWidth="1" min="11" max="11" width="12.75"/>
    <col customWidth="1" min="12" max="12" width="6.25"/>
    <col customWidth="1" min="13" max="23" width="4.25"/>
    <col customWidth="1" min="24" max="24" width="5.38"/>
  </cols>
  <sheetData>
    <row r="1">
      <c r="A1" s="64" t="s">
        <v>0</v>
      </c>
      <c r="B1" s="64" t="str">
        <f t="array" ref="B1">XLOOKUP(A1, CURSOS!A:A, CURSOS!B:B)</f>
        <v>#</v>
      </c>
      <c r="C1" s="64" t="str">
        <f t="array" ref="C1">XLOOKUP(A1, CURSOS!A:A, CURSOS!C:C)</f>
        <v>Nombre_Curso</v>
      </c>
      <c r="D1" s="64" t="s">
        <v>80</v>
      </c>
      <c r="E1" s="65" t="s">
        <v>84</v>
      </c>
      <c r="F1" s="66" t="s">
        <v>85</v>
      </c>
      <c r="G1" s="66" t="s">
        <v>86</v>
      </c>
      <c r="H1" s="67" t="s">
        <v>87</v>
      </c>
      <c r="I1" s="67" t="s">
        <v>88</v>
      </c>
      <c r="J1" s="68" t="s">
        <v>89</v>
      </c>
      <c r="K1" s="68" t="s">
        <v>90</v>
      </c>
      <c r="L1" s="65" t="s">
        <v>1064</v>
      </c>
      <c r="M1" s="64" t="s">
        <v>1065</v>
      </c>
      <c r="N1" s="64" t="s">
        <v>1066</v>
      </c>
      <c r="O1" s="64" t="s">
        <v>1067</v>
      </c>
      <c r="P1" s="64" t="s">
        <v>1068</v>
      </c>
      <c r="Q1" s="64" t="s">
        <v>1069</v>
      </c>
      <c r="R1" s="64" t="s">
        <v>1070</v>
      </c>
      <c r="S1" s="64" t="s">
        <v>1071</v>
      </c>
      <c r="T1" s="64" t="s">
        <v>1072</v>
      </c>
      <c r="U1" s="64" t="s">
        <v>1073</v>
      </c>
      <c r="V1" s="64" t="s">
        <v>1074</v>
      </c>
      <c r="W1" s="64" t="s">
        <v>1075</v>
      </c>
      <c r="X1" s="69" t="s">
        <v>1076</v>
      </c>
      <c r="Y1" s="64" t="s">
        <v>1077</v>
      </c>
    </row>
    <row r="2">
      <c r="A2" s="2" t="s">
        <v>11</v>
      </c>
      <c r="B2" s="2">
        <f t="array" ref="B2">XLOOKUP(A2, CURSOS!A:A, CURSOS!B:B)</f>
        <v>1</v>
      </c>
      <c r="C2" s="2" t="str">
        <f t="array" ref="C2">XLOOKUP(A2, CURSOS!A:A, CURSOS!C:C)</f>
        <v>NUESTRO HOGAR EN EL UNIVERSO</v>
      </c>
      <c r="D2" s="70" t="s">
        <v>147</v>
      </c>
      <c r="E2" s="48">
        <f t="array" ref="E2">XLOOKUP($D2,REGOLITOS!$A:$A,REGOLITOS!E:E)</f>
        <v>15</v>
      </c>
      <c r="F2" s="48" t="str">
        <f t="array" ref="F2">XLOOKUP($D2,REGOLITOS!$A:$A,REGOLITOS!F:F)</f>
        <v>Ingeniería Civil</v>
      </c>
      <c r="G2" s="48" t="str">
        <f t="array" ref="G2">XLOOKUP($D2,REGOLITOS!$A:$A,REGOLITOS!G:G)</f>
        <v>Ciudad de México</v>
      </c>
      <c r="H2" s="48" t="str">
        <f t="array" ref="H2">XLOOKUP($D2,REGOLITOS!$A:$A,REGOLITOS!H:H)</f>
        <v>55 55 0028 0028</v>
      </c>
      <c r="I2" s="48" t="str">
        <f t="array" ref="I2">XLOOKUP($D2,REGOLITOS!$A:$A,REGOLITOS!I:I)</f>
        <v>usuario28@ejemplo.com</v>
      </c>
      <c r="J2" s="48" t="str">
        <f t="array" ref="J2">XLOOKUP($D2,REGOLITOS!$A:$A,REGOLITOS!J:J)</f>
        <v>Tutor_028</v>
      </c>
      <c r="K2" s="48" t="str">
        <f t="array" ref="K2">XLOOKUP($D2,REGOLITOS!$A:$A,REGOLITOS!K:K)</f>
        <v>Adolescente</v>
      </c>
      <c r="L2" s="48"/>
      <c r="M2" s="5"/>
      <c r="N2" s="5" t="s">
        <v>1078</v>
      </c>
      <c r="O2" s="5"/>
      <c r="P2" s="5"/>
      <c r="X2" s="71">
        <f t="shared" ref="X2:X68" si="1">(COUNTIF(M2:W2, "Asistió")+COUNTIF(M2:W2, "Asíncrono"))</f>
        <v>1</v>
      </c>
      <c r="Y2" s="5" t="b">
        <v>1</v>
      </c>
    </row>
    <row r="3">
      <c r="A3" s="2" t="s">
        <v>11</v>
      </c>
      <c r="B3" s="2">
        <f t="array" ref="B3">XLOOKUP(A3, CURSOS!A:A, CURSOS!B:B)</f>
        <v>1</v>
      </c>
      <c r="C3" s="2" t="str">
        <f t="array" ref="C3">XLOOKUP(A3, CURSOS!A:A, CURSOS!C:C)</f>
        <v>NUESTRO HOGAR EN EL UNIVERSO</v>
      </c>
      <c r="D3" s="70" t="s">
        <v>227</v>
      </c>
      <c r="E3" s="48">
        <f t="array" ref="E3">XLOOKUP($D3,REGOLITOS!$A:$A,REGOLITOS!E:E)</f>
        <v>66</v>
      </c>
      <c r="F3" s="48" t="str">
        <f t="array" ref="F3">XLOOKUP($D3,REGOLITOS!$A:$A,REGOLITOS!F:F)</f>
        <v>Operadora de CTP</v>
      </c>
      <c r="G3" s="48" t="str">
        <f t="array" ref="G3">XLOOKUP($D3,REGOLITOS!$A:$A,REGOLITOS!G:G)</f>
        <v>Ciudad de México</v>
      </c>
      <c r="H3" s="48" t="str">
        <f t="array" ref="H3">XLOOKUP($D3,REGOLITOS!$A:$A,REGOLITOS!H:H)</f>
        <v>55 55 0082 0082</v>
      </c>
      <c r="I3" s="48" t="str">
        <f t="array" ref="I3">XLOOKUP($D3,REGOLITOS!$A:$A,REGOLITOS!I:I)</f>
        <v>usuario82@ejemplo.com</v>
      </c>
      <c r="J3" s="48" t="str">
        <f t="array" ref="J3">XLOOKUP($D3,REGOLITOS!$A:$A,REGOLITOS!J:J)</f>
        <v/>
      </c>
      <c r="K3" s="48" t="str">
        <f t="array" ref="K3">XLOOKUP($D3,REGOLITOS!$A:$A,REGOLITOS!K:K)</f>
        <v>Adulto Mayor</v>
      </c>
      <c r="L3" s="48"/>
      <c r="M3" s="5"/>
      <c r="N3" s="5" t="s">
        <v>1078</v>
      </c>
      <c r="O3" s="5"/>
      <c r="P3" s="5" t="s">
        <v>1078</v>
      </c>
      <c r="X3" s="71">
        <f t="shared" si="1"/>
        <v>2</v>
      </c>
      <c r="Y3" s="5" t="b">
        <v>1</v>
      </c>
    </row>
    <row r="4">
      <c r="A4" s="2" t="s">
        <v>11</v>
      </c>
      <c r="B4" s="2">
        <f t="array" ref="B4">XLOOKUP(A4, CURSOS!A:A, CURSOS!B:B)</f>
        <v>1</v>
      </c>
      <c r="C4" s="2" t="str">
        <f t="array" ref="C4">XLOOKUP(A4, CURSOS!A:A, CURSOS!C:C)</f>
        <v>NUESTRO HOGAR EN EL UNIVERSO</v>
      </c>
      <c r="D4" s="70" t="s">
        <v>355</v>
      </c>
      <c r="E4" s="48">
        <f t="array" ref="E4">XLOOKUP($D4,REGOLITOS!$A:$A,REGOLITOS!E:E)</f>
        <v>45</v>
      </c>
      <c r="F4" s="48" t="str">
        <f t="array" ref="F4">XLOOKUP($D4,REGOLITOS!$A:$A,REGOLITOS!F:F)</f>
        <v>Estudiante</v>
      </c>
      <c r="G4" s="48" t="str">
        <f t="array" ref="G4">XLOOKUP($D4,REGOLITOS!$A:$A,REGOLITOS!G:G)</f>
        <v>Estado de México</v>
      </c>
      <c r="H4" s="48" t="str">
        <f t="array" ref="H4">XLOOKUP($D4,REGOLITOS!$A:$A,REGOLITOS!H:H)</f>
        <v>55 55 0170 0170</v>
      </c>
      <c r="I4" s="48" t="str">
        <f t="array" ref="I4">XLOOKUP($D4,REGOLITOS!$A:$A,REGOLITOS!I:I)</f>
        <v>usuario170@ejemplo.com</v>
      </c>
      <c r="J4" s="48" t="str">
        <f t="array" ref="J4">XLOOKUP($D4,REGOLITOS!$A:$A,REGOLITOS!J:J)</f>
        <v/>
      </c>
      <c r="K4" s="48" t="str">
        <f t="array" ref="K4">XLOOKUP($D4,REGOLITOS!$A:$A,REGOLITOS!K:K)</f>
        <v>Adulto</v>
      </c>
      <c r="L4" s="48"/>
      <c r="M4" s="5"/>
      <c r="N4" s="5" t="s">
        <v>1078</v>
      </c>
      <c r="O4" s="5"/>
      <c r="P4" s="5" t="s">
        <v>1078</v>
      </c>
      <c r="X4" s="71">
        <f t="shared" si="1"/>
        <v>2</v>
      </c>
      <c r="Y4" s="5" t="b">
        <v>1</v>
      </c>
    </row>
    <row r="5">
      <c r="A5" s="2" t="s">
        <v>11</v>
      </c>
      <c r="B5" s="2">
        <f t="array" ref="B5">XLOOKUP(A5, CURSOS!A:A, CURSOS!B:B)</f>
        <v>1</v>
      </c>
      <c r="C5" s="2" t="str">
        <f t="array" ref="C5">XLOOKUP(A5, CURSOS!A:A, CURSOS!C:C)</f>
        <v>NUESTRO HOGAR EN EL UNIVERSO</v>
      </c>
      <c r="D5" s="70" t="s">
        <v>121</v>
      </c>
      <c r="E5" s="48">
        <f t="array" ref="E5">XLOOKUP($D5,REGOLITOS!$A:$A,REGOLITOS!E:E)</f>
        <v>73</v>
      </c>
      <c r="F5" s="48" t="str">
        <f t="array" ref="F5">XLOOKUP($D5,REGOLITOS!$A:$A,REGOLITOS!F:F)</f>
        <v>Docente</v>
      </c>
      <c r="G5" s="48" t="str">
        <f t="array" ref="G5">XLOOKUP($D5,REGOLITOS!$A:$A,REGOLITOS!G:G)</f>
        <v>Estado de México</v>
      </c>
      <c r="H5" s="48" t="str">
        <f t="array" ref="H5">XLOOKUP($D5,REGOLITOS!$A:$A,REGOLITOS!H:H)</f>
        <v>55 55 0015 0015</v>
      </c>
      <c r="I5" s="48" t="str">
        <f t="array" ref="I5">XLOOKUP($D5,REGOLITOS!$A:$A,REGOLITOS!I:I)</f>
        <v>usuario15@ejemplo.com</v>
      </c>
      <c r="J5" s="48" t="str">
        <f t="array" ref="J5">XLOOKUP($D5,REGOLITOS!$A:$A,REGOLITOS!J:J)</f>
        <v/>
      </c>
      <c r="K5" s="48" t="str">
        <f t="array" ref="K5">XLOOKUP($D5,REGOLITOS!$A:$A,REGOLITOS!K:K)</f>
        <v>Adulto Mayor</v>
      </c>
      <c r="L5" s="48"/>
      <c r="M5" s="5"/>
      <c r="N5" s="5"/>
      <c r="O5" s="5"/>
      <c r="P5" s="5"/>
      <c r="X5" s="71">
        <f t="shared" si="1"/>
        <v>0</v>
      </c>
      <c r="Y5" s="5" t="b">
        <v>1</v>
      </c>
    </row>
    <row r="6">
      <c r="A6" s="2" t="s">
        <v>11</v>
      </c>
      <c r="B6" s="2">
        <f t="array" ref="B6">XLOOKUP(A6, CURSOS!A:A, CURSOS!B:B)</f>
        <v>1</v>
      </c>
      <c r="C6" s="2" t="str">
        <f t="array" ref="C6">XLOOKUP(A6, CURSOS!A:A, CURSOS!C:C)</f>
        <v>NUESTRO HOGAR EN EL UNIVERSO</v>
      </c>
      <c r="D6" s="70" t="s">
        <v>354</v>
      </c>
      <c r="E6" s="48">
        <f t="array" ref="E6">XLOOKUP($D6,REGOLITOS!$A:$A,REGOLITOS!E:E)</f>
        <v>53</v>
      </c>
      <c r="F6" s="48" t="str">
        <f t="array" ref="F6">XLOOKUP($D6,REGOLITOS!$A:$A,REGOLITOS!F:F)</f>
        <v>Estudiante</v>
      </c>
      <c r="G6" s="48" t="str">
        <f t="array" ref="G6">XLOOKUP($D6,REGOLITOS!$A:$A,REGOLITOS!G:G)</f>
        <v>Ciudad de México</v>
      </c>
      <c r="H6" s="48" t="str">
        <f t="array" ref="H6">XLOOKUP($D6,REGOLITOS!$A:$A,REGOLITOS!H:H)</f>
        <v>55 55 0169 0169</v>
      </c>
      <c r="I6" s="48" t="str">
        <f t="array" ref="I6">XLOOKUP($D6,REGOLITOS!$A:$A,REGOLITOS!I:I)</f>
        <v>usuario169@ejemplo.com</v>
      </c>
      <c r="J6" s="48" t="str">
        <f t="array" ref="J6">XLOOKUP($D6,REGOLITOS!$A:$A,REGOLITOS!J:J)</f>
        <v/>
      </c>
      <c r="K6" s="48" t="str">
        <f t="array" ref="K6">XLOOKUP($D6,REGOLITOS!$A:$A,REGOLITOS!K:K)</f>
        <v>Adulto</v>
      </c>
      <c r="L6" s="48" t="s">
        <v>1079</v>
      </c>
      <c r="M6" s="5"/>
      <c r="N6" s="5" t="s">
        <v>1078</v>
      </c>
      <c r="O6" s="5"/>
      <c r="P6" s="5" t="s">
        <v>1078</v>
      </c>
      <c r="X6" s="71">
        <f t="shared" si="1"/>
        <v>2</v>
      </c>
      <c r="Y6" s="5" t="b">
        <v>1</v>
      </c>
    </row>
    <row r="7">
      <c r="A7" s="2" t="s">
        <v>11</v>
      </c>
      <c r="B7" s="2">
        <f t="array" ref="B7">XLOOKUP(A7, CURSOS!A:A, CURSOS!B:B)</f>
        <v>1</v>
      </c>
      <c r="C7" s="2" t="str">
        <f t="array" ref="C7">XLOOKUP(A7, CURSOS!A:A, CURSOS!C:C)</f>
        <v>NUESTRO HOGAR EN EL UNIVERSO</v>
      </c>
      <c r="D7" s="70" t="s">
        <v>172</v>
      </c>
      <c r="E7" s="48">
        <f t="array" ref="E7">XLOOKUP($D7,REGOLITOS!$A:$A,REGOLITOS!E:E)</f>
        <v>51</v>
      </c>
      <c r="F7" s="48" t="str">
        <f t="array" ref="F7">XLOOKUP($D7,REGOLITOS!$A:$A,REGOLITOS!F:F)</f>
        <v>Odontóloga</v>
      </c>
      <c r="G7" s="48" t="str">
        <f t="array" ref="G7">XLOOKUP($D7,REGOLITOS!$A:$A,REGOLITOS!G:G)</f>
        <v>Estado de México</v>
      </c>
      <c r="H7" s="48" t="str">
        <f t="array" ref="H7">XLOOKUP($D7,REGOLITOS!$A:$A,REGOLITOS!H:H)</f>
        <v>55 55 0044 0044</v>
      </c>
      <c r="I7" s="48" t="str">
        <f t="array" ref="I7">XLOOKUP($D7,REGOLITOS!$A:$A,REGOLITOS!I:I)</f>
        <v>usuario44@ejemplo.com</v>
      </c>
      <c r="J7" s="48" t="str">
        <f t="array" ref="J7">XLOOKUP($D7,REGOLITOS!$A:$A,REGOLITOS!J:J)</f>
        <v/>
      </c>
      <c r="K7" s="48" t="str">
        <f t="array" ref="K7">XLOOKUP($D7,REGOLITOS!$A:$A,REGOLITOS!K:K)</f>
        <v>Adulto</v>
      </c>
      <c r="L7" s="48"/>
      <c r="M7" s="5"/>
      <c r="N7" s="5" t="s">
        <v>1078</v>
      </c>
      <c r="O7" s="5"/>
      <c r="P7" s="5" t="s">
        <v>1078</v>
      </c>
      <c r="X7" s="71">
        <f t="shared" si="1"/>
        <v>2</v>
      </c>
      <c r="Y7" s="5" t="b">
        <v>1</v>
      </c>
    </row>
    <row r="8">
      <c r="A8" s="2" t="s">
        <v>11</v>
      </c>
      <c r="B8" s="2">
        <f t="array" ref="B8">XLOOKUP(A8, CURSOS!A:A, CURSOS!B:B)</f>
        <v>1</v>
      </c>
      <c r="C8" s="2" t="str">
        <f t="array" ref="C8">XLOOKUP(A8, CURSOS!A:A, CURSOS!C:C)</f>
        <v>NUESTRO HOGAR EN EL UNIVERSO</v>
      </c>
      <c r="D8" s="70" t="s">
        <v>377</v>
      </c>
      <c r="E8" s="48">
        <f t="array" ref="E8">XLOOKUP($D8,REGOLITOS!$A:$A,REGOLITOS!E:E)</f>
        <v>47</v>
      </c>
      <c r="F8" s="48" t="str">
        <f t="array" ref="F8">XLOOKUP($D8,REGOLITOS!$A:$A,REGOLITOS!F:F)</f>
        <v>Jubilada</v>
      </c>
      <c r="G8" s="48" t="str">
        <f t="array" ref="G8">XLOOKUP($D8,REGOLITOS!$A:$A,REGOLITOS!G:G)</f>
        <v>Quintana Roo</v>
      </c>
      <c r="H8" s="48" t="str">
        <f t="array" ref="H8">XLOOKUP($D8,REGOLITOS!$A:$A,REGOLITOS!H:H)</f>
        <v>55 55 0187 0187</v>
      </c>
      <c r="I8" s="48" t="str">
        <f t="array" ref="I8">XLOOKUP($D8,REGOLITOS!$A:$A,REGOLITOS!I:I)</f>
        <v>usuario187@ejemplo.com</v>
      </c>
      <c r="J8" s="48" t="str">
        <f t="array" ref="J8">XLOOKUP($D8,REGOLITOS!$A:$A,REGOLITOS!J:J)</f>
        <v/>
      </c>
      <c r="K8" s="48" t="str">
        <f t="array" ref="K8">XLOOKUP($D8,REGOLITOS!$A:$A,REGOLITOS!K:K)</f>
        <v>Adulto</v>
      </c>
      <c r="L8" s="48"/>
      <c r="M8" s="5"/>
      <c r="N8" s="5"/>
      <c r="O8" s="5"/>
      <c r="P8" s="5"/>
      <c r="X8" s="71">
        <f t="shared" si="1"/>
        <v>0</v>
      </c>
      <c r="Y8" s="5" t="b">
        <v>1</v>
      </c>
    </row>
    <row r="9">
      <c r="A9" s="72" t="s">
        <v>16</v>
      </c>
      <c r="B9" s="72">
        <f t="array" ref="B9">XLOOKUP(A9, CURSOS!A:A, CURSOS!B:B)</f>
        <v>2</v>
      </c>
      <c r="C9" s="8" t="str">
        <f t="array" ref="C9">XLOOKUP(A9, CURSOS!A:A, CURSOS!C:C)</f>
        <v>EN EL OMBLIGO DE LA LUNA</v>
      </c>
      <c r="D9" s="70" t="s">
        <v>227</v>
      </c>
      <c r="E9" s="48">
        <f t="array" ref="E9">XLOOKUP($D9,REGOLITOS!$A:$A,REGOLITOS!E:E)</f>
        <v>66</v>
      </c>
      <c r="F9" s="48" t="str">
        <f t="array" ref="F9">XLOOKUP($D9,REGOLITOS!$A:$A,REGOLITOS!F:F)</f>
        <v>Operadora de CTP</v>
      </c>
      <c r="G9" s="48" t="str">
        <f t="array" ref="G9">XLOOKUP($D9,REGOLITOS!$A:$A,REGOLITOS!G:G)</f>
        <v>Ciudad de México</v>
      </c>
      <c r="H9" s="48" t="str">
        <f t="array" ref="H9">XLOOKUP($D9,REGOLITOS!$A:$A,REGOLITOS!H:H)</f>
        <v>55 55 0082 0082</v>
      </c>
      <c r="I9" s="48" t="str">
        <f t="array" ref="I9">XLOOKUP($D9,REGOLITOS!$A:$A,REGOLITOS!I:I)</f>
        <v>usuario82@ejemplo.com</v>
      </c>
      <c r="J9" s="48" t="str">
        <f t="array" ref="J9">XLOOKUP($D9,REGOLITOS!$A:$A,REGOLITOS!J:J)</f>
        <v/>
      </c>
      <c r="K9" s="48" t="str">
        <f t="array" ref="K9">XLOOKUP($D9,REGOLITOS!$A:$A,REGOLITOS!K:K)</f>
        <v>Adulto Mayor</v>
      </c>
      <c r="L9" s="48">
        <v>160.0</v>
      </c>
      <c r="M9" s="5" t="s">
        <v>1078</v>
      </c>
      <c r="N9" s="5" t="s">
        <v>1078</v>
      </c>
      <c r="O9" s="5" t="s">
        <v>1078</v>
      </c>
      <c r="P9" s="5" t="s">
        <v>1078</v>
      </c>
      <c r="Q9" s="5" t="s">
        <v>1078</v>
      </c>
      <c r="X9" s="71">
        <f t="shared" si="1"/>
        <v>5</v>
      </c>
      <c r="Y9" s="5" t="b">
        <v>1</v>
      </c>
    </row>
    <row r="10">
      <c r="A10" s="72" t="s">
        <v>16</v>
      </c>
      <c r="B10" s="72">
        <f t="array" ref="B10">XLOOKUP(A10, CURSOS!A:A, CURSOS!B:B)</f>
        <v>2</v>
      </c>
      <c r="C10" s="8" t="str">
        <f t="array" ref="C10">XLOOKUP(A10, CURSOS!A:A, CURSOS!C:C)</f>
        <v>EN EL OMBLIGO DE LA LUNA</v>
      </c>
      <c r="D10" s="70" t="s">
        <v>355</v>
      </c>
      <c r="E10" s="48">
        <f t="array" ref="E10">XLOOKUP($D10,REGOLITOS!$A:$A,REGOLITOS!E:E)</f>
        <v>45</v>
      </c>
      <c r="F10" s="48" t="str">
        <f t="array" ref="F10">XLOOKUP($D10,REGOLITOS!$A:$A,REGOLITOS!F:F)</f>
        <v>Estudiante</v>
      </c>
      <c r="G10" s="48" t="str">
        <f t="array" ref="G10">XLOOKUP($D10,REGOLITOS!$A:$A,REGOLITOS!G:G)</f>
        <v>Estado de México</v>
      </c>
      <c r="H10" s="48" t="str">
        <f t="array" ref="H10">XLOOKUP($D10,REGOLITOS!$A:$A,REGOLITOS!H:H)</f>
        <v>55 55 0170 0170</v>
      </c>
      <c r="I10" s="48" t="str">
        <f t="array" ref="I10">XLOOKUP($D10,REGOLITOS!$A:$A,REGOLITOS!I:I)</f>
        <v>usuario170@ejemplo.com</v>
      </c>
      <c r="J10" s="48" t="str">
        <f t="array" ref="J10">XLOOKUP($D10,REGOLITOS!$A:$A,REGOLITOS!J:J)</f>
        <v/>
      </c>
      <c r="K10" s="48" t="str">
        <f t="array" ref="K10">XLOOKUP($D10,REGOLITOS!$A:$A,REGOLITOS!K:K)</f>
        <v>Adulto</v>
      </c>
      <c r="L10" s="48">
        <v>160.0</v>
      </c>
      <c r="M10" s="5" t="s">
        <v>1078</v>
      </c>
      <c r="N10" s="5" t="s">
        <v>1078</v>
      </c>
      <c r="O10" s="5" t="s">
        <v>1078</v>
      </c>
      <c r="P10" s="5" t="s">
        <v>1078</v>
      </c>
      <c r="Q10" s="5" t="s">
        <v>1078</v>
      </c>
      <c r="X10" s="71">
        <f t="shared" si="1"/>
        <v>5</v>
      </c>
      <c r="Y10" s="5" t="b">
        <v>1</v>
      </c>
    </row>
    <row r="11">
      <c r="A11" s="72" t="s">
        <v>16</v>
      </c>
      <c r="B11" s="72">
        <f t="array" ref="B11">XLOOKUP(A11, CURSOS!A:A, CURSOS!B:B)</f>
        <v>2</v>
      </c>
      <c r="C11" s="8" t="str">
        <f t="array" ref="C11">XLOOKUP(A11, CURSOS!A:A, CURSOS!C:C)</f>
        <v>EN EL OMBLIGO DE LA LUNA</v>
      </c>
      <c r="D11" s="70" t="s">
        <v>213</v>
      </c>
      <c r="E11" s="48">
        <f t="array" ref="E11">XLOOKUP($D11,REGOLITOS!$A:$A,REGOLITOS!E:E)</f>
        <v>73</v>
      </c>
      <c r="F11" s="48" t="str">
        <f t="array" ref="F11">XLOOKUP($D11,REGOLITOS!$A:$A,REGOLITOS!F:F)</f>
        <v>Estudiante</v>
      </c>
      <c r="G11" s="48" t="str">
        <f t="array" ref="G11">XLOOKUP($D11,REGOLITOS!$A:$A,REGOLITOS!G:G)</f>
        <v>Nuevo León</v>
      </c>
      <c r="H11" s="48" t="str">
        <f t="array" ref="H11">XLOOKUP($D11,REGOLITOS!$A:$A,REGOLITOS!H:H)</f>
        <v>55 55 0072 0072</v>
      </c>
      <c r="I11" s="48" t="str">
        <f t="array" ref="I11">XLOOKUP($D11,REGOLITOS!$A:$A,REGOLITOS!I:I)</f>
        <v>usuario72@ejemplo.com</v>
      </c>
      <c r="J11" s="48" t="str">
        <f t="array" ref="J11">XLOOKUP($D11,REGOLITOS!$A:$A,REGOLITOS!J:J)</f>
        <v/>
      </c>
      <c r="K11" s="48" t="str">
        <f t="array" ref="K11">XLOOKUP($D11,REGOLITOS!$A:$A,REGOLITOS!K:K)</f>
        <v>Infancia</v>
      </c>
      <c r="L11" s="48">
        <v>200.0</v>
      </c>
      <c r="M11" s="5" t="s">
        <v>1078</v>
      </c>
      <c r="N11" s="5" t="s">
        <v>1078</v>
      </c>
      <c r="O11" s="5" t="s">
        <v>1078</v>
      </c>
      <c r="P11" s="5" t="s">
        <v>1078</v>
      </c>
      <c r="Q11" s="5" t="s">
        <v>1078</v>
      </c>
      <c r="X11" s="71">
        <f t="shared" si="1"/>
        <v>5</v>
      </c>
      <c r="Y11" s="5" t="b">
        <v>1</v>
      </c>
    </row>
    <row r="12">
      <c r="A12" s="72" t="s">
        <v>16</v>
      </c>
      <c r="B12" s="72">
        <f t="array" ref="B12">XLOOKUP(A12, CURSOS!A:A, CURSOS!B:B)</f>
        <v>2</v>
      </c>
      <c r="C12" s="8" t="str">
        <f t="array" ref="C12">XLOOKUP(A12, CURSOS!A:A, CURSOS!C:C)</f>
        <v>EN EL OMBLIGO DE LA LUNA</v>
      </c>
      <c r="D12" s="70" t="s">
        <v>147</v>
      </c>
      <c r="E12" s="48">
        <f t="array" ref="E12">XLOOKUP($D12,REGOLITOS!$A:$A,REGOLITOS!E:E)</f>
        <v>15</v>
      </c>
      <c r="F12" s="48" t="str">
        <f t="array" ref="F12">XLOOKUP($D12,REGOLITOS!$A:$A,REGOLITOS!F:F)</f>
        <v>Ingeniería Civil</v>
      </c>
      <c r="G12" s="48" t="str">
        <f t="array" ref="G12">XLOOKUP($D12,REGOLITOS!$A:$A,REGOLITOS!G:G)</f>
        <v>Ciudad de México</v>
      </c>
      <c r="H12" s="48" t="str">
        <f t="array" ref="H12">XLOOKUP($D12,REGOLITOS!$A:$A,REGOLITOS!H:H)</f>
        <v>55 55 0028 0028</v>
      </c>
      <c r="I12" s="48" t="str">
        <f t="array" ref="I12">XLOOKUP($D12,REGOLITOS!$A:$A,REGOLITOS!I:I)</f>
        <v>usuario28@ejemplo.com</v>
      </c>
      <c r="J12" s="48" t="str">
        <f t="array" ref="J12">XLOOKUP($D12,REGOLITOS!$A:$A,REGOLITOS!J:J)</f>
        <v>Tutor_028</v>
      </c>
      <c r="K12" s="48" t="str">
        <f t="array" ref="K12">XLOOKUP($D12,REGOLITOS!$A:$A,REGOLITOS!K:K)</f>
        <v>Adolescente</v>
      </c>
      <c r="L12" s="48">
        <v>160.0</v>
      </c>
      <c r="M12" s="5" t="s">
        <v>1078</v>
      </c>
      <c r="N12" s="5" t="s">
        <v>1078</v>
      </c>
      <c r="O12" s="5" t="s">
        <v>1078</v>
      </c>
      <c r="P12" s="5" t="s">
        <v>1078</v>
      </c>
      <c r="Q12" s="5" t="s">
        <v>1078</v>
      </c>
      <c r="X12" s="71">
        <f t="shared" si="1"/>
        <v>5</v>
      </c>
      <c r="Y12" s="5" t="b">
        <v>1</v>
      </c>
    </row>
    <row r="13">
      <c r="A13" s="72" t="s">
        <v>16</v>
      </c>
      <c r="B13" s="72">
        <f t="array" ref="B13">XLOOKUP(A13, CURSOS!A:A, CURSOS!B:B)</f>
        <v>2</v>
      </c>
      <c r="C13" s="8" t="str">
        <f t="array" ref="C13">XLOOKUP(A13, CURSOS!A:A, CURSOS!C:C)</f>
        <v>EN EL OMBLIGO DE LA LUNA</v>
      </c>
      <c r="D13" s="70" t="s">
        <v>258</v>
      </c>
      <c r="E13" s="48">
        <f t="array" ref="E13">XLOOKUP($D13,REGOLITOS!$A:$A,REGOLITOS!E:E)</f>
        <v>66</v>
      </c>
      <c r="F13" s="48" t="str">
        <f t="array" ref="F13">XLOOKUP($D13,REGOLITOS!$A:$A,REGOLITOS!F:F)</f>
        <v>Estudiante HS</v>
      </c>
      <c r="G13" s="48" t="str">
        <f t="array" ref="G13">XLOOKUP($D13,REGOLITOS!$A:$A,REGOLITOS!G:G)</f>
        <v>Jalisco</v>
      </c>
      <c r="H13" s="48" t="str">
        <f t="array" ref="H13">XLOOKUP($D13,REGOLITOS!$A:$A,REGOLITOS!H:H)</f>
        <v>55 55 0103 0103</v>
      </c>
      <c r="I13" s="48" t="str">
        <f t="array" ref="I13">XLOOKUP($D13,REGOLITOS!$A:$A,REGOLITOS!I:I)</f>
        <v>usuario103@ejemplo.com</v>
      </c>
      <c r="J13" s="48" t="str">
        <f t="array" ref="J13">XLOOKUP($D13,REGOLITOS!$A:$A,REGOLITOS!J:J)</f>
        <v/>
      </c>
      <c r="K13" s="48" t="str">
        <f t="array" ref="K13">XLOOKUP($D13,REGOLITOS!$A:$A,REGOLITOS!K:K)</f>
        <v>Adulto Mayor</v>
      </c>
      <c r="L13" s="48">
        <v>200.0</v>
      </c>
      <c r="M13" s="5" t="s">
        <v>1078</v>
      </c>
      <c r="N13" s="5" t="s">
        <v>1078</v>
      </c>
      <c r="O13" s="5" t="s">
        <v>1078</v>
      </c>
      <c r="P13" s="5" t="s">
        <v>1078</v>
      </c>
      <c r="Q13" s="5" t="s">
        <v>1078</v>
      </c>
      <c r="X13" s="71">
        <f t="shared" si="1"/>
        <v>5</v>
      </c>
      <c r="Y13" s="5" t="b">
        <v>1</v>
      </c>
    </row>
    <row r="14">
      <c r="A14" s="72" t="s">
        <v>16</v>
      </c>
      <c r="B14" s="72">
        <f t="array" ref="B14">XLOOKUP(A14, CURSOS!A:A, CURSOS!B:B)</f>
        <v>2</v>
      </c>
      <c r="C14" s="8" t="str">
        <f t="array" ref="C14">XLOOKUP(A14, CURSOS!A:A, CURSOS!C:C)</f>
        <v>EN EL OMBLIGO DE LA LUNA</v>
      </c>
      <c r="D14" s="70" t="s">
        <v>232</v>
      </c>
      <c r="E14" s="48">
        <f t="array" ref="E14">XLOOKUP($D14,REGOLITOS!$A:$A,REGOLITOS!E:E)</f>
        <v>18</v>
      </c>
      <c r="F14" s="48" t="str">
        <f t="array" ref="F14">XLOOKUP($D14,REGOLITOS!$A:$A,REGOLITOS!F:F)</f>
        <v>Estudiante</v>
      </c>
      <c r="G14" s="48" t="str">
        <f t="array" ref="G14">XLOOKUP($D14,REGOLITOS!$A:$A,REGOLITOS!G:G)</f>
        <v>Hidalgo</v>
      </c>
      <c r="H14" s="48" t="str">
        <f t="array" ref="H14">XLOOKUP($D14,REGOLITOS!$A:$A,REGOLITOS!H:H)</f>
        <v>55 55 0085 0085</v>
      </c>
      <c r="I14" s="48" t="str">
        <f t="array" ref="I14">XLOOKUP($D14,REGOLITOS!$A:$A,REGOLITOS!I:I)</f>
        <v>usuario85@ejemplo.com</v>
      </c>
      <c r="J14" s="48" t="str">
        <f t="array" ref="J14">XLOOKUP($D14,REGOLITOS!$A:$A,REGOLITOS!J:J)</f>
        <v>Tutor_085</v>
      </c>
      <c r="K14" s="48" t="str">
        <f t="array" ref="K14">XLOOKUP($D14,REGOLITOS!$A:$A,REGOLITOS!K:K)</f>
        <v>Jóven adulto</v>
      </c>
      <c r="L14" s="48">
        <v>200.0</v>
      </c>
      <c r="M14" s="5" t="s">
        <v>1080</v>
      </c>
      <c r="N14" s="5" t="s">
        <v>1078</v>
      </c>
      <c r="O14" s="5" t="s">
        <v>1078</v>
      </c>
      <c r="P14" s="5" t="s">
        <v>1078</v>
      </c>
      <c r="Q14" s="5" t="s">
        <v>1078</v>
      </c>
      <c r="X14" s="71">
        <f t="shared" si="1"/>
        <v>4</v>
      </c>
      <c r="Y14" s="5" t="b">
        <v>1</v>
      </c>
    </row>
    <row r="15">
      <c r="A15" s="72" t="s">
        <v>16</v>
      </c>
      <c r="B15" s="72">
        <f t="array" ref="B15">XLOOKUP(A15, CURSOS!A:A, CURSOS!B:B)</f>
        <v>2</v>
      </c>
      <c r="C15" s="8" t="str">
        <f t="array" ref="C15">XLOOKUP(A15, CURSOS!A:A, CURSOS!C:C)</f>
        <v>EN EL OMBLIGO DE LA LUNA</v>
      </c>
      <c r="D15" s="70" t="s">
        <v>349</v>
      </c>
      <c r="E15" s="48">
        <f t="array" ref="E15">XLOOKUP($D15,REGOLITOS!$A:$A,REGOLITOS!E:E)</f>
        <v>47</v>
      </c>
      <c r="F15" s="48" t="str">
        <f t="array" ref="F15">XLOOKUP($D15,REGOLITOS!$A:$A,REGOLITOS!F:F)</f>
        <v>Desconocido</v>
      </c>
      <c r="G15" s="48" t="str">
        <f t="array" ref="G15">XLOOKUP($D15,REGOLITOS!$A:$A,REGOLITOS!G:G)</f>
        <v>Estado de México</v>
      </c>
      <c r="H15" s="48" t="str">
        <f t="array" ref="H15">XLOOKUP($D15,REGOLITOS!$A:$A,REGOLITOS!H:H)</f>
        <v>55 55 0166 0166</v>
      </c>
      <c r="I15" s="48" t="str">
        <f t="array" ref="I15">XLOOKUP($D15,REGOLITOS!$A:$A,REGOLITOS!I:I)</f>
        <v>usuario166@ejemplo.com</v>
      </c>
      <c r="J15" s="48" t="str">
        <f t="array" ref="J15">XLOOKUP($D15,REGOLITOS!$A:$A,REGOLITOS!J:J)</f>
        <v/>
      </c>
      <c r="K15" s="48" t="str">
        <f t="array" ref="K15">XLOOKUP($D15,REGOLITOS!$A:$A,REGOLITOS!K:K)</f>
        <v>Adulto</v>
      </c>
      <c r="L15" s="48">
        <v>200.0</v>
      </c>
      <c r="M15" s="5" t="s">
        <v>1078</v>
      </c>
      <c r="N15" s="5" t="s">
        <v>1080</v>
      </c>
      <c r="O15" s="5" t="s">
        <v>1078</v>
      </c>
      <c r="P15" s="5" t="s">
        <v>1078</v>
      </c>
      <c r="Q15" s="5" t="s">
        <v>1078</v>
      </c>
      <c r="X15" s="71">
        <f t="shared" si="1"/>
        <v>4</v>
      </c>
      <c r="Y15" s="5" t="b">
        <v>1</v>
      </c>
    </row>
    <row r="16">
      <c r="A16" s="72" t="s">
        <v>16</v>
      </c>
      <c r="B16" s="72">
        <f t="array" ref="B16">XLOOKUP(A16, CURSOS!A:A, CURSOS!B:B)</f>
        <v>2</v>
      </c>
      <c r="C16" s="8" t="str">
        <f t="array" ref="C16">XLOOKUP(A16, CURSOS!A:A, CURSOS!C:C)</f>
        <v>EN EL OMBLIGO DE LA LUNA</v>
      </c>
      <c r="D16" s="70" t="s">
        <v>159</v>
      </c>
      <c r="E16" s="48">
        <f t="array" ref="E16">XLOOKUP($D16,REGOLITOS!$A:$A,REGOLITOS!E:E)</f>
        <v>92</v>
      </c>
      <c r="F16" s="48" t="str">
        <f t="array" ref="F16">XLOOKUP($D16,REGOLITOS!$A:$A,REGOLITOS!F:F)</f>
        <v>Estudiante </v>
      </c>
      <c r="G16" s="48" t="str">
        <f t="array" ref="G16">XLOOKUP($D16,REGOLITOS!$A:$A,REGOLITOS!G:G)</f>
        <v>Estado de México</v>
      </c>
      <c r="H16" s="48" t="str">
        <f t="array" ref="H16">XLOOKUP($D16,REGOLITOS!$A:$A,REGOLITOS!H:H)</f>
        <v>55 55 0037 0037</v>
      </c>
      <c r="I16" s="48" t="str">
        <f t="array" ref="I16">XLOOKUP($D16,REGOLITOS!$A:$A,REGOLITOS!I:I)</f>
        <v>usuario37@ejemplo.com</v>
      </c>
      <c r="J16" s="48" t="str">
        <f t="array" ref="J16">XLOOKUP($D16,REGOLITOS!$A:$A,REGOLITOS!J:J)</f>
        <v/>
      </c>
      <c r="K16" s="48" t="str">
        <f t="array" ref="K16">XLOOKUP($D16,REGOLITOS!$A:$A,REGOLITOS!K:K)</f>
        <v>Adulto Mayor</v>
      </c>
      <c r="L16" s="48">
        <v>200.0</v>
      </c>
      <c r="M16" s="5" t="s">
        <v>1078</v>
      </c>
      <c r="N16" s="5" t="s">
        <v>1078</v>
      </c>
      <c r="O16" s="5" t="s">
        <v>1080</v>
      </c>
      <c r="P16" s="5" t="s">
        <v>1078</v>
      </c>
      <c r="Q16" s="5" t="s">
        <v>1078</v>
      </c>
      <c r="X16" s="71">
        <f t="shared" si="1"/>
        <v>4</v>
      </c>
      <c r="Y16" s="5" t="b">
        <v>1</v>
      </c>
    </row>
    <row r="17">
      <c r="A17" s="72" t="s">
        <v>16</v>
      </c>
      <c r="B17" s="72">
        <f t="array" ref="B17">XLOOKUP(A17, CURSOS!A:A, CURSOS!B:B)</f>
        <v>2</v>
      </c>
      <c r="C17" s="8" t="str">
        <f t="array" ref="C17">XLOOKUP(A17, CURSOS!A:A, CURSOS!C:C)</f>
        <v>EN EL OMBLIGO DE LA LUNA</v>
      </c>
      <c r="D17" s="70" t="s">
        <v>292</v>
      </c>
      <c r="E17" s="48">
        <f t="array" ref="E17">XLOOKUP($D17,REGOLITOS!$A:$A,REGOLITOS!E:E)</f>
        <v>46</v>
      </c>
      <c r="F17" s="48" t="str">
        <f t="array" ref="F17">XLOOKUP($D17,REGOLITOS!$A:$A,REGOLITOS!F:F)</f>
        <v>Administración</v>
      </c>
      <c r="G17" s="48" t="str">
        <f t="array" ref="G17">XLOOKUP($D17,REGOLITOS!$A:$A,REGOLITOS!G:G)</f>
        <v>Ciudad de México</v>
      </c>
      <c r="H17" s="48" t="str">
        <f t="array" ref="H17">XLOOKUP($D17,REGOLITOS!$A:$A,REGOLITOS!H:H)</f>
        <v>55 55 0128 0128</v>
      </c>
      <c r="I17" s="48" t="str">
        <f t="array" ref="I17">XLOOKUP($D17,REGOLITOS!$A:$A,REGOLITOS!I:I)</f>
        <v>usuario128@ejemplo.com</v>
      </c>
      <c r="J17" s="48" t="str">
        <f t="array" ref="J17">XLOOKUP($D17,REGOLITOS!$A:$A,REGOLITOS!J:J)</f>
        <v/>
      </c>
      <c r="K17" s="48" t="str">
        <f t="array" ref="K17">XLOOKUP($D17,REGOLITOS!$A:$A,REGOLITOS!K:K)</f>
        <v>Adulto</v>
      </c>
      <c r="L17" s="48">
        <v>200.0</v>
      </c>
      <c r="M17" s="5" t="s">
        <v>1078</v>
      </c>
      <c r="N17" s="5" t="s">
        <v>1078</v>
      </c>
      <c r="O17" s="5" t="s">
        <v>1078</v>
      </c>
      <c r="P17" s="5" t="s">
        <v>1080</v>
      </c>
      <c r="Q17" s="5" t="s">
        <v>1078</v>
      </c>
      <c r="X17" s="71">
        <f t="shared" si="1"/>
        <v>4</v>
      </c>
      <c r="Y17" s="5" t="b">
        <v>1</v>
      </c>
    </row>
    <row r="18">
      <c r="A18" s="72" t="s">
        <v>16</v>
      </c>
      <c r="B18" s="72">
        <f t="array" ref="B18">XLOOKUP(A18, CURSOS!A:A, CURSOS!B:B)</f>
        <v>2</v>
      </c>
      <c r="C18" s="8" t="str">
        <f t="array" ref="C18">XLOOKUP(A18, CURSOS!A:A, CURSOS!C:C)</f>
        <v>EN EL OMBLIGO DE LA LUNA</v>
      </c>
      <c r="D18" s="70" t="s">
        <v>260</v>
      </c>
      <c r="E18" s="48">
        <f t="array" ref="E18">XLOOKUP($D18,REGOLITOS!$A:$A,REGOLITOS!E:E)</f>
        <v>24</v>
      </c>
      <c r="F18" s="48" t="str">
        <f t="array" ref="F18">XLOOKUP($D18,REGOLITOS!$A:$A,REGOLITOS!F:F)</f>
        <v>Estudiante</v>
      </c>
      <c r="G18" s="48" t="str">
        <f t="array" ref="G18">XLOOKUP($D18,REGOLITOS!$A:$A,REGOLITOS!G:G)</f>
        <v>México</v>
      </c>
      <c r="H18" s="48" t="str">
        <f t="array" ref="H18">XLOOKUP($D18,REGOLITOS!$A:$A,REGOLITOS!H:H)</f>
        <v>55 55 0104 0104</v>
      </c>
      <c r="I18" s="48" t="str">
        <f t="array" ref="I18">XLOOKUP($D18,REGOLITOS!$A:$A,REGOLITOS!I:I)</f>
        <v>usuario104@ejemplo.com</v>
      </c>
      <c r="J18" s="48" t="str">
        <f t="array" ref="J18">XLOOKUP($D18,REGOLITOS!$A:$A,REGOLITOS!J:J)</f>
        <v/>
      </c>
      <c r="K18" s="48" t="str">
        <f t="array" ref="K18">XLOOKUP($D18,REGOLITOS!$A:$A,REGOLITOS!K:K)</f>
        <v>Infancia</v>
      </c>
      <c r="L18" s="48">
        <v>200.0</v>
      </c>
      <c r="M18" s="5" t="s">
        <v>1078</v>
      </c>
      <c r="N18" s="5" t="s">
        <v>1078</v>
      </c>
      <c r="O18" s="5" t="s">
        <v>1078</v>
      </c>
      <c r="P18" s="5" t="s">
        <v>1078</v>
      </c>
      <c r="Q18" s="5" t="s">
        <v>1080</v>
      </c>
      <c r="X18" s="71">
        <f t="shared" si="1"/>
        <v>4</v>
      </c>
      <c r="Y18" s="5" t="b">
        <v>1</v>
      </c>
    </row>
    <row r="19">
      <c r="A19" s="72" t="s">
        <v>16</v>
      </c>
      <c r="B19" s="72">
        <f t="array" ref="B19">XLOOKUP(A19, CURSOS!A:A, CURSOS!B:B)</f>
        <v>2</v>
      </c>
      <c r="C19" s="8" t="str">
        <f t="array" ref="C19">XLOOKUP(A19, CURSOS!A:A, CURSOS!C:C)</f>
        <v>EN EL OMBLIGO DE LA LUNA</v>
      </c>
      <c r="D19" s="70" t="s">
        <v>345</v>
      </c>
      <c r="E19" s="48">
        <f t="array" ref="E19">XLOOKUP($D19,REGOLITOS!$A:$A,REGOLITOS!E:E)</f>
        <v>61</v>
      </c>
      <c r="F19" s="48" t="str">
        <f t="array" ref="F19">XLOOKUP($D19,REGOLITOS!$A:$A,REGOLITOS!F:F)</f>
        <v>Desconocido</v>
      </c>
      <c r="G19" s="48" t="str">
        <f t="array" ref="G19">XLOOKUP($D19,REGOLITOS!$A:$A,REGOLITOS!G:G)</f>
        <v>Jalisco</v>
      </c>
      <c r="H19" s="48" t="str">
        <f t="array" ref="H19">XLOOKUP($D19,REGOLITOS!$A:$A,REGOLITOS!H:H)</f>
        <v>55 55 0163 0163</v>
      </c>
      <c r="I19" s="48" t="str">
        <f t="array" ref="I19">XLOOKUP($D19,REGOLITOS!$A:$A,REGOLITOS!I:I)</f>
        <v>usuario163@ejemplo.com</v>
      </c>
      <c r="J19" s="48" t="str">
        <f t="array" ref="J19">XLOOKUP($D19,REGOLITOS!$A:$A,REGOLITOS!J:J)</f>
        <v/>
      </c>
      <c r="K19" s="48" t="str">
        <f t="array" ref="K19">XLOOKUP($D19,REGOLITOS!$A:$A,REGOLITOS!K:K)</f>
        <v>Adulto</v>
      </c>
      <c r="L19" s="48">
        <v>200.0</v>
      </c>
      <c r="M19" s="5" t="s">
        <v>1080</v>
      </c>
      <c r="N19" s="5" t="s">
        <v>1078</v>
      </c>
      <c r="O19" s="5" t="s">
        <v>1080</v>
      </c>
      <c r="P19" s="5" t="s">
        <v>1078</v>
      </c>
      <c r="Q19" s="5" t="s">
        <v>1078</v>
      </c>
      <c r="X19" s="71">
        <f t="shared" si="1"/>
        <v>3</v>
      </c>
      <c r="Y19" s="5" t="b">
        <v>0</v>
      </c>
    </row>
    <row r="20">
      <c r="A20" s="72" t="s">
        <v>16</v>
      </c>
      <c r="B20" s="72">
        <f t="array" ref="B20">XLOOKUP(A20, CURSOS!A:A, CURSOS!B:B)</f>
        <v>2</v>
      </c>
      <c r="C20" s="8" t="str">
        <f t="array" ref="C20">XLOOKUP(A20, CURSOS!A:A, CURSOS!C:C)</f>
        <v>EN EL OMBLIGO DE LA LUNA</v>
      </c>
      <c r="D20" s="70" t="s">
        <v>269</v>
      </c>
      <c r="E20" s="48">
        <f t="array" ref="E20">XLOOKUP($D20,REGOLITOS!$A:$A,REGOLITOS!E:E)</f>
        <v>25</v>
      </c>
      <c r="F20" s="48" t="str">
        <f t="array" ref="F20">XLOOKUP($D20,REGOLITOS!$A:$A,REGOLITOS!F:F)</f>
        <v>Desconocido</v>
      </c>
      <c r="G20" s="48" t="str">
        <f t="array" ref="G20">XLOOKUP($D20,REGOLITOS!$A:$A,REGOLITOS!G:G)</f>
        <v>Estado de México</v>
      </c>
      <c r="H20" s="48" t="str">
        <f t="array" ref="H20">XLOOKUP($D20,REGOLITOS!$A:$A,REGOLITOS!H:H)</f>
        <v>55 55 0111 0111</v>
      </c>
      <c r="I20" s="48" t="str">
        <f t="array" ref="I20">XLOOKUP($D20,REGOLITOS!$A:$A,REGOLITOS!I:I)</f>
        <v>usuario111@ejemplo.com</v>
      </c>
      <c r="J20" s="48" t="str">
        <f t="array" ref="J20">XLOOKUP($D20,REGOLITOS!$A:$A,REGOLITOS!J:J)</f>
        <v/>
      </c>
      <c r="K20" s="48" t="str">
        <f t="array" ref="K20">XLOOKUP($D20,REGOLITOS!$A:$A,REGOLITOS!K:K)</f>
        <v>Adulto</v>
      </c>
      <c r="L20" s="48">
        <v>200.0</v>
      </c>
      <c r="M20" s="5" t="s">
        <v>1078</v>
      </c>
      <c r="N20" s="5" t="s">
        <v>1080</v>
      </c>
      <c r="O20" s="5" t="s">
        <v>1080</v>
      </c>
      <c r="P20" s="5" t="s">
        <v>1078</v>
      </c>
      <c r="Q20" s="5" t="s">
        <v>1078</v>
      </c>
      <c r="X20" s="71">
        <f t="shared" si="1"/>
        <v>3</v>
      </c>
      <c r="Y20" s="5" t="b">
        <v>0</v>
      </c>
    </row>
    <row r="21">
      <c r="A21" s="72" t="s">
        <v>16</v>
      </c>
      <c r="B21" s="72">
        <f t="array" ref="B21">XLOOKUP(A21, CURSOS!A:A, CURSOS!B:B)</f>
        <v>2</v>
      </c>
      <c r="C21" s="8" t="str">
        <f t="array" ref="C21">XLOOKUP(A21, CURSOS!A:A, CURSOS!C:C)</f>
        <v>EN EL OMBLIGO DE LA LUNA</v>
      </c>
      <c r="D21" s="70" t="s">
        <v>317</v>
      </c>
      <c r="E21" s="48">
        <f t="array" ref="E21">XLOOKUP($D21,REGOLITOS!$A:$A,REGOLITOS!E:E)</f>
        <v>58</v>
      </c>
      <c r="F21" s="48" t="str">
        <f t="array" ref="F21">XLOOKUP($D21,REGOLITOS!$A:$A,REGOLITOS!F:F)</f>
        <v>Desconocido</v>
      </c>
      <c r="G21" s="48" t="str">
        <f t="array" ref="G21">XLOOKUP($D21,REGOLITOS!$A:$A,REGOLITOS!G:G)</f>
        <v>Desconocido</v>
      </c>
      <c r="H21" s="48" t="str">
        <f t="array" ref="H21">XLOOKUP($D21,REGOLITOS!$A:$A,REGOLITOS!H:H)</f>
        <v>55 55 0144 0144</v>
      </c>
      <c r="I21" s="48" t="str">
        <f t="array" ref="I21">XLOOKUP($D21,REGOLITOS!$A:$A,REGOLITOS!I:I)</f>
        <v>usuario144@ejemplo.com</v>
      </c>
      <c r="J21" s="48" t="str">
        <f t="array" ref="J21">XLOOKUP($D21,REGOLITOS!$A:$A,REGOLITOS!J:J)</f>
        <v/>
      </c>
      <c r="K21" s="48" t="str">
        <f t="array" ref="K21">XLOOKUP($D21,REGOLITOS!$A:$A,REGOLITOS!K:K)</f>
        <v>Adulto</v>
      </c>
      <c r="L21" s="48">
        <v>200.0</v>
      </c>
      <c r="M21" s="5" t="s">
        <v>1078</v>
      </c>
      <c r="N21" s="5" t="s">
        <v>1080</v>
      </c>
      <c r="O21" s="5" t="s">
        <v>1078</v>
      </c>
      <c r="P21" s="5" t="s">
        <v>1080</v>
      </c>
      <c r="Q21" s="5" t="s">
        <v>1080</v>
      </c>
      <c r="X21" s="71">
        <f t="shared" si="1"/>
        <v>2</v>
      </c>
      <c r="Y21" s="5" t="b">
        <v>0</v>
      </c>
    </row>
    <row r="22">
      <c r="A22" s="72" t="s">
        <v>16</v>
      </c>
      <c r="B22" s="72">
        <f t="array" ref="B22">XLOOKUP(A22, CURSOS!A:A, CURSOS!B:B)</f>
        <v>2</v>
      </c>
      <c r="C22" s="8" t="str">
        <f t="array" ref="C22">XLOOKUP(A22, CURSOS!A:A, CURSOS!C:C)</f>
        <v>EN EL OMBLIGO DE LA LUNA</v>
      </c>
      <c r="D22" s="70" t="s">
        <v>113</v>
      </c>
      <c r="E22" s="48">
        <f t="array" ref="E22">XLOOKUP($D22,REGOLITOS!$A:$A,REGOLITOS!E:E)</f>
        <v>78</v>
      </c>
      <c r="F22" s="48" t="str">
        <f t="array" ref="F22">XLOOKUP($D22,REGOLITOS!$A:$A,REGOLITOS!F:F)</f>
        <v>Estudiante</v>
      </c>
      <c r="G22" s="48" t="str">
        <f t="array" ref="G22">XLOOKUP($D22,REGOLITOS!$A:$A,REGOLITOS!G:G)</f>
        <v>Desconocido</v>
      </c>
      <c r="H22" s="48" t="str">
        <f t="array" ref="H22">XLOOKUP($D22,REGOLITOS!$A:$A,REGOLITOS!H:H)</f>
        <v>55 55 0010 0010</v>
      </c>
      <c r="I22" s="48" t="str">
        <f t="array" ref="I22">XLOOKUP($D22,REGOLITOS!$A:$A,REGOLITOS!I:I)</f>
        <v>usuario10@ejemplo.com</v>
      </c>
      <c r="J22" s="48" t="str">
        <f t="array" ref="J22">XLOOKUP($D22,REGOLITOS!$A:$A,REGOLITOS!J:J)</f>
        <v/>
      </c>
      <c r="K22" s="48" t="str">
        <f t="array" ref="K22">XLOOKUP($D22,REGOLITOS!$A:$A,REGOLITOS!K:K)</f>
        <v>Adulto Mayor</v>
      </c>
      <c r="L22" s="48">
        <v>200.0</v>
      </c>
      <c r="M22" s="5" t="s">
        <v>1078</v>
      </c>
      <c r="N22" s="5" t="s">
        <v>1080</v>
      </c>
      <c r="O22" s="5" t="s">
        <v>1078</v>
      </c>
      <c r="P22" s="5" t="s">
        <v>1080</v>
      </c>
      <c r="Q22" s="5" t="s">
        <v>1080</v>
      </c>
      <c r="X22" s="71">
        <f t="shared" si="1"/>
        <v>2</v>
      </c>
      <c r="Y22" s="5" t="b">
        <v>0</v>
      </c>
    </row>
    <row r="23">
      <c r="A23" s="72" t="s">
        <v>16</v>
      </c>
      <c r="B23" s="72">
        <f t="array" ref="B23">XLOOKUP(A23, CURSOS!A:A, CURSOS!B:B)</f>
        <v>2</v>
      </c>
      <c r="C23" s="8" t="str">
        <f t="array" ref="C23">XLOOKUP(A23, CURSOS!A:A, CURSOS!C:C)</f>
        <v>EN EL OMBLIGO DE LA LUNA</v>
      </c>
      <c r="D23" s="70" t="s">
        <v>187</v>
      </c>
      <c r="E23" s="48">
        <f t="array" ref="E23">XLOOKUP($D23,REGOLITOS!$A:$A,REGOLITOS!E:E)</f>
        <v>26</v>
      </c>
      <c r="F23" s="48" t="str">
        <f t="array" ref="F23">XLOOKUP($D23,REGOLITOS!$A:$A,REGOLITOS!F:F)</f>
        <v>Estudiante</v>
      </c>
      <c r="G23" s="48" t="str">
        <f t="array" ref="G23">XLOOKUP($D23,REGOLITOS!$A:$A,REGOLITOS!G:G)</f>
        <v>Oaxaca</v>
      </c>
      <c r="H23" s="48" t="str">
        <f t="array" ref="H23">XLOOKUP($D23,REGOLITOS!$A:$A,REGOLITOS!H:H)</f>
        <v>55 55 0055 0055</v>
      </c>
      <c r="I23" s="48" t="str">
        <f t="array" ref="I23">XLOOKUP($D23,REGOLITOS!$A:$A,REGOLITOS!I:I)</f>
        <v>usuario55@ejemplo.com</v>
      </c>
      <c r="J23" s="48" t="str">
        <f t="array" ref="J23">XLOOKUP($D23,REGOLITOS!$A:$A,REGOLITOS!J:J)</f>
        <v/>
      </c>
      <c r="K23" s="48" t="str">
        <f t="array" ref="K23">XLOOKUP($D23,REGOLITOS!$A:$A,REGOLITOS!K:K)</f>
        <v>Infancia</v>
      </c>
      <c r="L23" s="48">
        <v>200.0</v>
      </c>
      <c r="M23" s="5" t="s">
        <v>1078</v>
      </c>
      <c r="N23" s="5" t="s">
        <v>1080</v>
      </c>
      <c r="O23" s="5" t="s">
        <v>1078</v>
      </c>
      <c r="P23" s="5" t="s">
        <v>1080</v>
      </c>
      <c r="Q23" s="5" t="s">
        <v>1080</v>
      </c>
      <c r="X23" s="71">
        <f t="shared" si="1"/>
        <v>2</v>
      </c>
      <c r="Y23" s="5" t="b">
        <v>0</v>
      </c>
    </row>
    <row r="24">
      <c r="A24" s="8" t="s">
        <v>16</v>
      </c>
      <c r="B24" s="8">
        <f t="array" ref="B24">XLOOKUP(A24, CURSOS!A:A, CURSOS!B:B)</f>
        <v>2</v>
      </c>
      <c r="C24" s="8" t="str">
        <f t="array" ref="C24">XLOOKUP(A24, CURSOS!A:A, CURSOS!C:C)</f>
        <v>EN EL OMBLIGO DE LA LUNA</v>
      </c>
      <c r="D24" s="70" t="s">
        <v>121</v>
      </c>
      <c r="E24" s="48">
        <f t="array" ref="E24">XLOOKUP($D24,REGOLITOS!$A:$A,REGOLITOS!E:E)</f>
        <v>73</v>
      </c>
      <c r="F24" s="48" t="str">
        <f t="array" ref="F24">XLOOKUP($D24,REGOLITOS!$A:$A,REGOLITOS!F:F)</f>
        <v>Docente</v>
      </c>
      <c r="G24" s="48" t="str">
        <f t="array" ref="G24">XLOOKUP($D24,REGOLITOS!$A:$A,REGOLITOS!G:G)</f>
        <v>Estado de México</v>
      </c>
      <c r="H24" s="48" t="str">
        <f t="array" ref="H24">XLOOKUP($D24,REGOLITOS!$A:$A,REGOLITOS!H:H)</f>
        <v>55 55 0015 0015</v>
      </c>
      <c r="I24" s="48" t="str">
        <f t="array" ref="I24">XLOOKUP($D24,REGOLITOS!$A:$A,REGOLITOS!I:I)</f>
        <v>usuario15@ejemplo.com</v>
      </c>
      <c r="J24" s="48" t="str">
        <f t="array" ref="J24">XLOOKUP($D24,REGOLITOS!$A:$A,REGOLITOS!J:J)</f>
        <v/>
      </c>
      <c r="K24" s="48" t="str">
        <f t="array" ref="K24">XLOOKUP($D24,REGOLITOS!$A:$A,REGOLITOS!K:K)</f>
        <v>Adulto Mayor</v>
      </c>
      <c r="L24" s="48">
        <v>160.0</v>
      </c>
      <c r="M24" s="5" t="s">
        <v>1080</v>
      </c>
      <c r="N24" s="5" t="s">
        <v>1080</v>
      </c>
      <c r="O24" s="5" t="s">
        <v>1080</v>
      </c>
      <c r="P24" s="5" t="s">
        <v>1080</v>
      </c>
      <c r="Q24" s="5" t="s">
        <v>1080</v>
      </c>
      <c r="X24" s="71">
        <f t="shared" si="1"/>
        <v>0</v>
      </c>
      <c r="Y24" s="5" t="b">
        <v>0</v>
      </c>
    </row>
    <row r="25">
      <c r="A25" s="73" t="s">
        <v>20</v>
      </c>
      <c r="B25" s="73">
        <f t="array" ref="B25">XLOOKUP(A25, CURSOS!A:A, CURSOS!B:B)</f>
        <v>3</v>
      </c>
      <c r="C25" s="9" t="str">
        <f t="array" ref="C25">XLOOKUP(A25, CURSOS!A:A, CURSOS!C:C)</f>
        <v>LA ESTRELLA QUE NOS ILUMINA</v>
      </c>
      <c r="D25" s="70" t="s">
        <v>258</v>
      </c>
      <c r="E25" s="48">
        <f t="array" ref="E25">XLOOKUP($D25,REGOLITOS!$A:$A,REGOLITOS!E:E)</f>
        <v>66</v>
      </c>
      <c r="F25" s="48" t="str">
        <f t="array" ref="F25">XLOOKUP($D25,REGOLITOS!$A:$A,REGOLITOS!F:F)</f>
        <v>Estudiante HS</v>
      </c>
      <c r="G25" s="48" t="str">
        <f t="array" ref="G25">XLOOKUP($D25,REGOLITOS!$A:$A,REGOLITOS!G:G)</f>
        <v>Jalisco</v>
      </c>
      <c r="H25" s="48" t="str">
        <f t="array" ref="H25">XLOOKUP($D25,REGOLITOS!$A:$A,REGOLITOS!H:H)</f>
        <v>55 55 0103 0103</v>
      </c>
      <c r="I25" s="48" t="str">
        <f t="array" ref="I25">XLOOKUP($D25,REGOLITOS!$A:$A,REGOLITOS!I:I)</f>
        <v>usuario103@ejemplo.com</v>
      </c>
      <c r="J25" s="48" t="str">
        <f t="array" ref="J25">XLOOKUP($D25,REGOLITOS!$A:$A,REGOLITOS!J:J)</f>
        <v/>
      </c>
      <c r="K25" s="48" t="str">
        <f t="array" ref="K25">XLOOKUP($D25,REGOLITOS!$A:$A,REGOLITOS!K:K)</f>
        <v>Adulto Mayor</v>
      </c>
      <c r="L25" s="48">
        <v>160.0</v>
      </c>
      <c r="M25" s="5" t="s">
        <v>1078</v>
      </c>
      <c r="N25" s="5" t="s">
        <v>1078</v>
      </c>
      <c r="O25" s="5" t="s">
        <v>1078</v>
      </c>
      <c r="P25" s="5" t="s">
        <v>1078</v>
      </c>
      <c r="Q25" s="5" t="s">
        <v>1078</v>
      </c>
      <c r="X25" s="71">
        <f t="shared" si="1"/>
        <v>5</v>
      </c>
      <c r="Y25" s="5" t="b">
        <v>1</v>
      </c>
    </row>
    <row r="26">
      <c r="A26" s="73" t="s">
        <v>20</v>
      </c>
      <c r="B26" s="73">
        <f t="array" ref="B26">XLOOKUP(A26, CURSOS!A:A, CURSOS!B:B)</f>
        <v>3</v>
      </c>
      <c r="C26" s="9" t="str">
        <f t="array" ref="C26">XLOOKUP(A26, CURSOS!A:A, CURSOS!C:C)</f>
        <v>LA ESTRELLA QUE NOS ILUMINA</v>
      </c>
      <c r="D26" s="70" t="s">
        <v>292</v>
      </c>
      <c r="E26" s="48">
        <f t="array" ref="E26">XLOOKUP($D26,REGOLITOS!$A:$A,REGOLITOS!E:E)</f>
        <v>46</v>
      </c>
      <c r="F26" s="48" t="str">
        <f t="array" ref="F26">XLOOKUP($D26,REGOLITOS!$A:$A,REGOLITOS!F:F)</f>
        <v>Administración</v>
      </c>
      <c r="G26" s="48" t="str">
        <f t="array" ref="G26">XLOOKUP($D26,REGOLITOS!$A:$A,REGOLITOS!G:G)</f>
        <v>Ciudad de México</v>
      </c>
      <c r="H26" s="48" t="str">
        <f t="array" ref="H26">XLOOKUP($D26,REGOLITOS!$A:$A,REGOLITOS!H:H)</f>
        <v>55 55 0128 0128</v>
      </c>
      <c r="I26" s="48" t="str">
        <f t="array" ref="I26">XLOOKUP($D26,REGOLITOS!$A:$A,REGOLITOS!I:I)</f>
        <v>usuario128@ejemplo.com</v>
      </c>
      <c r="J26" s="48" t="str">
        <f t="array" ref="J26">XLOOKUP($D26,REGOLITOS!$A:$A,REGOLITOS!J:J)</f>
        <v/>
      </c>
      <c r="K26" s="48" t="str">
        <f t="array" ref="K26">XLOOKUP($D26,REGOLITOS!$A:$A,REGOLITOS!K:K)</f>
        <v>Adulto</v>
      </c>
      <c r="L26" s="48">
        <v>160.0</v>
      </c>
      <c r="M26" s="5" t="s">
        <v>1078</v>
      </c>
      <c r="N26" s="5" t="s">
        <v>1078</v>
      </c>
      <c r="O26" s="5" t="s">
        <v>1078</v>
      </c>
      <c r="P26" s="5" t="s">
        <v>1078</v>
      </c>
      <c r="Q26" s="5" t="s">
        <v>1078</v>
      </c>
      <c r="X26" s="71">
        <f t="shared" si="1"/>
        <v>5</v>
      </c>
      <c r="Y26" s="5" t="b">
        <v>1</v>
      </c>
    </row>
    <row r="27">
      <c r="A27" s="73" t="s">
        <v>20</v>
      </c>
      <c r="B27" s="73">
        <f t="array" ref="B27">XLOOKUP(A27, CURSOS!A:A, CURSOS!B:B)</f>
        <v>3</v>
      </c>
      <c r="C27" s="9" t="str">
        <f t="array" ref="C27">XLOOKUP(A27, CURSOS!A:A, CURSOS!C:C)</f>
        <v>LA ESTRELLA QUE NOS ILUMINA</v>
      </c>
      <c r="D27" s="70" t="s">
        <v>232</v>
      </c>
      <c r="E27" s="48">
        <f t="array" ref="E27">XLOOKUP($D27,REGOLITOS!$A:$A,REGOLITOS!E:E)</f>
        <v>18</v>
      </c>
      <c r="F27" s="48" t="str">
        <f t="array" ref="F27">XLOOKUP($D27,REGOLITOS!$A:$A,REGOLITOS!F:F)</f>
        <v>Estudiante</v>
      </c>
      <c r="G27" s="48" t="str">
        <f t="array" ref="G27">XLOOKUP($D27,REGOLITOS!$A:$A,REGOLITOS!G:G)</f>
        <v>Hidalgo</v>
      </c>
      <c r="H27" s="48" t="str">
        <f t="array" ref="H27">XLOOKUP($D27,REGOLITOS!$A:$A,REGOLITOS!H:H)</f>
        <v>55 55 0085 0085</v>
      </c>
      <c r="I27" s="48" t="str">
        <f t="array" ref="I27">XLOOKUP($D27,REGOLITOS!$A:$A,REGOLITOS!I:I)</f>
        <v>usuario85@ejemplo.com</v>
      </c>
      <c r="J27" s="48" t="str">
        <f t="array" ref="J27">XLOOKUP($D27,REGOLITOS!$A:$A,REGOLITOS!J:J)</f>
        <v>Tutor_085</v>
      </c>
      <c r="K27" s="48" t="str">
        <f t="array" ref="K27">XLOOKUP($D27,REGOLITOS!$A:$A,REGOLITOS!K:K)</f>
        <v>Jóven adulto</v>
      </c>
      <c r="L27" s="48">
        <v>160.0</v>
      </c>
      <c r="M27" s="5" t="s">
        <v>1078</v>
      </c>
      <c r="N27" s="5" t="s">
        <v>1080</v>
      </c>
      <c r="O27" s="5" t="s">
        <v>1078</v>
      </c>
      <c r="P27" s="5" t="s">
        <v>1078</v>
      </c>
      <c r="Q27" s="5" t="s">
        <v>1078</v>
      </c>
      <c r="X27" s="71">
        <f t="shared" si="1"/>
        <v>4</v>
      </c>
      <c r="Y27" s="5" t="b">
        <v>1</v>
      </c>
    </row>
    <row r="28">
      <c r="A28" s="73" t="s">
        <v>20</v>
      </c>
      <c r="B28" s="73">
        <f t="array" ref="B28">XLOOKUP(A28, CURSOS!A:A, CURSOS!B:B)</f>
        <v>3</v>
      </c>
      <c r="C28" s="9" t="str">
        <f t="array" ref="C28">XLOOKUP(A28, CURSOS!A:A, CURSOS!C:C)</f>
        <v>LA ESTRELLA QUE NOS ILUMINA</v>
      </c>
      <c r="D28" s="70" t="s">
        <v>213</v>
      </c>
      <c r="E28" s="48">
        <f t="array" ref="E28">XLOOKUP($D28,REGOLITOS!$A:$A,REGOLITOS!E:E)</f>
        <v>73</v>
      </c>
      <c r="F28" s="48" t="str">
        <f t="array" ref="F28">XLOOKUP($D28,REGOLITOS!$A:$A,REGOLITOS!F:F)</f>
        <v>Estudiante</v>
      </c>
      <c r="G28" s="48" t="str">
        <f t="array" ref="G28">XLOOKUP($D28,REGOLITOS!$A:$A,REGOLITOS!G:G)</f>
        <v>Nuevo León</v>
      </c>
      <c r="H28" s="48" t="str">
        <f t="array" ref="H28">XLOOKUP($D28,REGOLITOS!$A:$A,REGOLITOS!H:H)</f>
        <v>55 55 0072 0072</v>
      </c>
      <c r="I28" s="48" t="str">
        <f t="array" ref="I28">XLOOKUP($D28,REGOLITOS!$A:$A,REGOLITOS!I:I)</f>
        <v>usuario72@ejemplo.com</v>
      </c>
      <c r="J28" s="48" t="str">
        <f t="array" ref="J28">XLOOKUP($D28,REGOLITOS!$A:$A,REGOLITOS!J:J)</f>
        <v/>
      </c>
      <c r="K28" s="48" t="str">
        <f t="array" ref="K28">XLOOKUP($D28,REGOLITOS!$A:$A,REGOLITOS!K:K)</f>
        <v>Infancia</v>
      </c>
      <c r="L28" s="48">
        <v>200.0</v>
      </c>
      <c r="M28" s="5" t="s">
        <v>1078</v>
      </c>
      <c r="N28" s="5" t="s">
        <v>1078</v>
      </c>
      <c r="O28" s="5" t="s">
        <v>1080</v>
      </c>
      <c r="P28" s="5" t="s">
        <v>1078</v>
      </c>
      <c r="Q28" s="5" t="s">
        <v>1078</v>
      </c>
      <c r="X28" s="71">
        <f t="shared" si="1"/>
        <v>4</v>
      </c>
      <c r="Y28" s="5" t="b">
        <v>1</v>
      </c>
    </row>
    <row r="29">
      <c r="A29" s="73" t="s">
        <v>20</v>
      </c>
      <c r="B29" s="73">
        <f t="array" ref="B29">XLOOKUP(A29, CURSOS!A:A, CURSOS!B:B)</f>
        <v>3</v>
      </c>
      <c r="C29" s="9" t="str">
        <f t="array" ref="C29">XLOOKUP(A29, CURSOS!A:A, CURSOS!C:C)</f>
        <v>LA ESTRELLA QUE NOS ILUMINA</v>
      </c>
      <c r="D29" s="70" t="s">
        <v>349</v>
      </c>
      <c r="E29" s="48">
        <f t="array" ref="E29">XLOOKUP($D29,REGOLITOS!$A:$A,REGOLITOS!E:E)</f>
        <v>47</v>
      </c>
      <c r="F29" s="48" t="str">
        <f t="array" ref="F29">XLOOKUP($D29,REGOLITOS!$A:$A,REGOLITOS!F:F)</f>
        <v>Desconocido</v>
      </c>
      <c r="G29" s="48" t="str">
        <f t="array" ref="G29">XLOOKUP($D29,REGOLITOS!$A:$A,REGOLITOS!G:G)</f>
        <v>Estado de México</v>
      </c>
      <c r="H29" s="48" t="str">
        <f t="array" ref="H29">XLOOKUP($D29,REGOLITOS!$A:$A,REGOLITOS!H:H)</f>
        <v>55 55 0166 0166</v>
      </c>
      <c r="I29" s="48" t="str">
        <f t="array" ref="I29">XLOOKUP($D29,REGOLITOS!$A:$A,REGOLITOS!I:I)</f>
        <v>usuario166@ejemplo.com</v>
      </c>
      <c r="J29" s="48" t="str">
        <f t="array" ref="J29">XLOOKUP($D29,REGOLITOS!$A:$A,REGOLITOS!J:J)</f>
        <v/>
      </c>
      <c r="K29" s="48" t="str">
        <f t="array" ref="K29">XLOOKUP($D29,REGOLITOS!$A:$A,REGOLITOS!K:K)</f>
        <v>Adulto</v>
      </c>
      <c r="L29" s="48">
        <v>160.0</v>
      </c>
      <c r="M29" s="5" t="s">
        <v>1078</v>
      </c>
      <c r="N29" s="5" t="s">
        <v>1080</v>
      </c>
      <c r="O29" s="5" t="s">
        <v>1080</v>
      </c>
      <c r="P29" s="5" t="s">
        <v>1078</v>
      </c>
      <c r="Q29" s="5" t="s">
        <v>1078</v>
      </c>
      <c r="X29" s="71">
        <f t="shared" si="1"/>
        <v>3</v>
      </c>
      <c r="Y29" s="5" t="b">
        <v>0</v>
      </c>
    </row>
    <row r="30">
      <c r="A30" s="73" t="s">
        <v>20</v>
      </c>
      <c r="B30" s="73">
        <f t="array" ref="B30">XLOOKUP(A30, CURSOS!A:A, CURSOS!B:B)</f>
        <v>3</v>
      </c>
      <c r="C30" s="9" t="str">
        <f t="array" ref="C30">XLOOKUP(A30, CURSOS!A:A, CURSOS!C:C)</f>
        <v>LA ESTRELLA QUE NOS ILUMINA</v>
      </c>
      <c r="D30" s="70" t="s">
        <v>187</v>
      </c>
      <c r="E30" s="48">
        <f t="array" ref="E30">XLOOKUP($D30,REGOLITOS!$A:$A,REGOLITOS!E:E)</f>
        <v>26</v>
      </c>
      <c r="F30" s="48" t="str">
        <f t="array" ref="F30">XLOOKUP($D30,REGOLITOS!$A:$A,REGOLITOS!F:F)</f>
        <v>Estudiante</v>
      </c>
      <c r="G30" s="48" t="str">
        <f t="array" ref="G30">XLOOKUP($D30,REGOLITOS!$A:$A,REGOLITOS!G:G)</f>
        <v>Oaxaca</v>
      </c>
      <c r="H30" s="48" t="str">
        <f t="array" ref="H30">XLOOKUP($D30,REGOLITOS!$A:$A,REGOLITOS!H:H)</f>
        <v>55 55 0055 0055</v>
      </c>
      <c r="I30" s="48" t="str">
        <f t="array" ref="I30">XLOOKUP($D30,REGOLITOS!$A:$A,REGOLITOS!I:I)</f>
        <v>usuario55@ejemplo.com</v>
      </c>
      <c r="J30" s="48" t="str">
        <f t="array" ref="J30">XLOOKUP($D30,REGOLITOS!$A:$A,REGOLITOS!J:J)</f>
        <v/>
      </c>
      <c r="K30" s="48" t="str">
        <f t="array" ref="K30">XLOOKUP($D30,REGOLITOS!$A:$A,REGOLITOS!K:K)</f>
        <v>Infancia</v>
      </c>
      <c r="L30" s="48">
        <v>160.0</v>
      </c>
      <c r="M30" s="5" t="s">
        <v>1078</v>
      </c>
      <c r="N30" s="5" t="s">
        <v>1078</v>
      </c>
      <c r="O30" s="5" t="s">
        <v>1080</v>
      </c>
      <c r="P30" s="5" t="s">
        <v>1078</v>
      </c>
      <c r="Q30" s="5" t="s">
        <v>1080</v>
      </c>
      <c r="X30" s="71">
        <f t="shared" si="1"/>
        <v>3</v>
      </c>
      <c r="Y30" s="5" t="b">
        <v>0</v>
      </c>
    </row>
    <row r="31">
      <c r="A31" s="73" t="s">
        <v>20</v>
      </c>
      <c r="B31" s="73">
        <f t="array" ref="B31">XLOOKUP(A31, CURSOS!A:A, CURSOS!B:B)</f>
        <v>3</v>
      </c>
      <c r="C31" s="9" t="str">
        <f t="array" ref="C31">XLOOKUP(A31, CURSOS!A:A, CURSOS!C:C)</f>
        <v>LA ESTRELLA QUE NOS ILUMINA</v>
      </c>
      <c r="D31" s="70" t="s">
        <v>147</v>
      </c>
      <c r="E31" s="48">
        <f t="array" ref="E31">XLOOKUP($D31,REGOLITOS!$A:$A,REGOLITOS!E:E)</f>
        <v>15</v>
      </c>
      <c r="F31" s="48" t="str">
        <f t="array" ref="F31">XLOOKUP($D31,REGOLITOS!$A:$A,REGOLITOS!F:F)</f>
        <v>Ingeniería Civil</v>
      </c>
      <c r="G31" s="48" t="str">
        <f t="array" ref="G31">XLOOKUP($D31,REGOLITOS!$A:$A,REGOLITOS!G:G)</f>
        <v>Ciudad de México</v>
      </c>
      <c r="H31" s="48" t="str">
        <f t="array" ref="H31">XLOOKUP($D31,REGOLITOS!$A:$A,REGOLITOS!H:H)</f>
        <v>55 55 0028 0028</v>
      </c>
      <c r="I31" s="48" t="str">
        <f t="array" ref="I31">XLOOKUP($D31,REGOLITOS!$A:$A,REGOLITOS!I:I)</f>
        <v>usuario28@ejemplo.com</v>
      </c>
      <c r="J31" s="48" t="str">
        <f t="array" ref="J31">XLOOKUP($D31,REGOLITOS!$A:$A,REGOLITOS!J:J)</f>
        <v>Tutor_028</v>
      </c>
      <c r="K31" s="48" t="str">
        <f t="array" ref="K31">XLOOKUP($D31,REGOLITOS!$A:$A,REGOLITOS!K:K)</f>
        <v>Adolescente</v>
      </c>
      <c r="L31" s="48">
        <v>160.0</v>
      </c>
      <c r="M31" s="5" t="s">
        <v>1078</v>
      </c>
      <c r="N31" s="5" t="s">
        <v>1080</v>
      </c>
      <c r="O31" s="5" t="s">
        <v>1078</v>
      </c>
      <c r="P31" s="5" t="s">
        <v>1078</v>
      </c>
      <c r="Q31" s="5" t="s">
        <v>1080</v>
      </c>
      <c r="X31" s="71">
        <f t="shared" si="1"/>
        <v>3</v>
      </c>
      <c r="Y31" s="5" t="b">
        <v>0</v>
      </c>
    </row>
    <row r="32">
      <c r="A32" s="73" t="s">
        <v>20</v>
      </c>
      <c r="B32" s="73">
        <f t="array" ref="B32">XLOOKUP(A32, CURSOS!A:A, CURSOS!B:B)</f>
        <v>3</v>
      </c>
      <c r="C32" s="9" t="str">
        <f t="array" ref="C32">XLOOKUP(A32, CURSOS!A:A, CURSOS!C:C)</f>
        <v>LA ESTRELLA QUE NOS ILUMINA</v>
      </c>
      <c r="D32" s="70" t="s">
        <v>271</v>
      </c>
      <c r="E32" s="48">
        <f t="array" ref="E32">XLOOKUP($D32,REGOLITOS!$A:$A,REGOLITOS!E:E)</f>
        <v>46</v>
      </c>
      <c r="F32" s="48" t="str">
        <f t="array" ref="F32">XLOOKUP($D32,REGOLITOS!$A:$A,REGOLITOS!F:F)</f>
        <v>Desconocido</v>
      </c>
      <c r="G32" s="48" t="str">
        <f t="array" ref="G32">XLOOKUP($D32,REGOLITOS!$A:$A,REGOLITOS!G:G)</f>
        <v>Ciudad de México</v>
      </c>
      <c r="H32" s="48" t="str">
        <f t="array" ref="H32">XLOOKUP($D32,REGOLITOS!$A:$A,REGOLITOS!H:H)</f>
        <v>55 55 0112 0112</v>
      </c>
      <c r="I32" s="48" t="str">
        <f t="array" ref="I32">XLOOKUP($D32,REGOLITOS!$A:$A,REGOLITOS!I:I)</f>
        <v>usuario112@ejemplo.com</v>
      </c>
      <c r="J32" s="48" t="str">
        <f t="array" ref="J32">XLOOKUP($D32,REGOLITOS!$A:$A,REGOLITOS!J:J)</f>
        <v/>
      </c>
      <c r="K32" s="48" t="str">
        <f t="array" ref="K32">XLOOKUP($D32,REGOLITOS!$A:$A,REGOLITOS!K:K)</f>
        <v>Adulto</v>
      </c>
      <c r="L32" s="48">
        <v>200.0</v>
      </c>
      <c r="M32" s="5" t="s">
        <v>1078</v>
      </c>
      <c r="N32" s="5" t="s">
        <v>1080</v>
      </c>
      <c r="O32" s="5" t="s">
        <v>1080</v>
      </c>
      <c r="P32" s="5" t="s">
        <v>1080</v>
      </c>
      <c r="Q32" s="5" t="s">
        <v>1080</v>
      </c>
      <c r="X32" s="71">
        <f t="shared" si="1"/>
        <v>1</v>
      </c>
      <c r="Y32" s="5" t="b">
        <v>0</v>
      </c>
    </row>
    <row r="33">
      <c r="A33" s="9" t="s">
        <v>20</v>
      </c>
      <c r="B33" s="9">
        <f t="array" ref="B33">XLOOKUP(A33, CURSOS!A:A, CURSOS!B:B)</f>
        <v>3</v>
      </c>
      <c r="C33" s="9" t="str">
        <f t="array" ref="C33">XLOOKUP(A33, CURSOS!A:A, CURSOS!C:C)</f>
        <v>LA ESTRELLA QUE NOS ILUMINA</v>
      </c>
      <c r="D33" s="70" t="s">
        <v>155</v>
      </c>
      <c r="E33" s="48">
        <f t="array" ref="E33">XLOOKUP($D33,REGOLITOS!$A:$A,REGOLITOS!E:E)</f>
        <v>26</v>
      </c>
      <c r="F33" s="48" t="str">
        <f t="array" ref="F33">XLOOKUP($D33,REGOLITOS!$A:$A,REGOLITOS!F:F)</f>
        <v>Estudiante</v>
      </c>
      <c r="G33" s="48" t="str">
        <f t="array" ref="G33">XLOOKUP($D33,REGOLITOS!$A:$A,REGOLITOS!G:G)</f>
        <v>Desconocido</v>
      </c>
      <c r="H33" s="48" t="str">
        <f t="array" ref="H33">XLOOKUP($D33,REGOLITOS!$A:$A,REGOLITOS!H:H)</f>
        <v>55 55 0033 0033</v>
      </c>
      <c r="I33" s="48" t="str">
        <f t="array" ref="I33">XLOOKUP($D33,REGOLITOS!$A:$A,REGOLITOS!I:I)</f>
        <v>usuario33@ejemplo.com</v>
      </c>
      <c r="J33" s="48" t="str">
        <f t="array" ref="J33">XLOOKUP($D33,REGOLITOS!$A:$A,REGOLITOS!J:J)</f>
        <v/>
      </c>
      <c r="K33" s="48" t="str">
        <f t="array" ref="K33">XLOOKUP($D33,REGOLITOS!$A:$A,REGOLITOS!K:K)</f>
        <v>Infancia</v>
      </c>
      <c r="L33" s="48">
        <v>200.0</v>
      </c>
      <c r="M33" s="5" t="s">
        <v>1080</v>
      </c>
      <c r="N33" s="5" t="s">
        <v>1080</v>
      </c>
      <c r="O33" s="5" t="s">
        <v>1080</v>
      </c>
      <c r="P33" s="5" t="s">
        <v>1080</v>
      </c>
      <c r="Q33" s="5" t="s">
        <v>1080</v>
      </c>
      <c r="X33" s="71">
        <f t="shared" si="1"/>
        <v>0</v>
      </c>
      <c r="Y33" s="5" t="b">
        <v>0</v>
      </c>
    </row>
    <row r="34">
      <c r="A34" s="10" t="s">
        <v>24</v>
      </c>
      <c r="B34" s="10">
        <f t="array" ref="B34">XLOOKUP(A34, CURSOS!A:A, CURSOS!B:B)</f>
        <v>4</v>
      </c>
      <c r="C34" s="11" t="str">
        <f t="array" ref="C34">XLOOKUP(A34, CURSOS!A:A, CURSOS!C:C)</f>
        <v>VAGABUNDOS DEL FIRMAMENTO</v>
      </c>
      <c r="D34" s="70" t="s">
        <v>119</v>
      </c>
      <c r="E34" s="48">
        <f t="array" ref="E34">XLOOKUP($D34,REGOLITOS!$A:$A,REGOLITOS!E:E)</f>
        <v>81</v>
      </c>
      <c r="F34" s="48" t="str">
        <f t="array" ref="F34">XLOOKUP($D34,REGOLITOS!$A:$A,REGOLITOS!F:F)</f>
        <v>Estudiante</v>
      </c>
      <c r="G34" s="48" t="str">
        <f t="array" ref="G34">XLOOKUP($D34,REGOLITOS!$A:$A,REGOLITOS!G:G)</f>
        <v>Sinaloa</v>
      </c>
      <c r="H34" s="48" t="str">
        <f t="array" ref="H34">XLOOKUP($D34,REGOLITOS!$A:$A,REGOLITOS!H:H)</f>
        <v>55 55 0014 0014</v>
      </c>
      <c r="I34" s="48" t="str">
        <f t="array" ref="I34">XLOOKUP($D34,REGOLITOS!$A:$A,REGOLITOS!I:I)</f>
        <v>usuario14@ejemplo.com</v>
      </c>
      <c r="J34" s="48" t="str">
        <f t="array" ref="J34">XLOOKUP($D34,REGOLITOS!$A:$A,REGOLITOS!J:J)</f>
        <v/>
      </c>
      <c r="K34" s="48" t="str">
        <f t="array" ref="K34">XLOOKUP($D34,REGOLITOS!$A:$A,REGOLITOS!K:K)</f>
        <v>Adulto Mayor</v>
      </c>
      <c r="L34" s="74"/>
      <c r="M34" s="5" t="s">
        <v>1078</v>
      </c>
      <c r="N34" s="5" t="s">
        <v>1078</v>
      </c>
      <c r="O34" s="5" t="s">
        <v>1078</v>
      </c>
      <c r="P34" s="5" t="s">
        <v>1078</v>
      </c>
      <c r="Q34" s="5" t="s">
        <v>1078</v>
      </c>
      <c r="X34" s="71">
        <f t="shared" si="1"/>
        <v>5</v>
      </c>
      <c r="Y34" s="5" t="b">
        <v>1</v>
      </c>
    </row>
    <row r="35">
      <c r="A35" s="10" t="s">
        <v>24</v>
      </c>
      <c r="B35" s="10">
        <f t="array" ref="B35">XLOOKUP(A35, CURSOS!A:A, CURSOS!B:B)</f>
        <v>4</v>
      </c>
      <c r="C35" s="11" t="str">
        <f t="array" ref="C35">XLOOKUP(A35, CURSOS!A:A, CURSOS!C:C)</f>
        <v>VAGABUNDOS DEL FIRMAMENTO</v>
      </c>
      <c r="D35" s="70" t="s">
        <v>355</v>
      </c>
      <c r="E35" s="48">
        <f t="array" ref="E35">XLOOKUP($D35,REGOLITOS!$A:$A,REGOLITOS!E:E)</f>
        <v>45</v>
      </c>
      <c r="F35" s="48" t="str">
        <f t="array" ref="F35">XLOOKUP($D35,REGOLITOS!$A:$A,REGOLITOS!F:F)</f>
        <v>Estudiante</v>
      </c>
      <c r="G35" s="48" t="str">
        <f t="array" ref="G35">XLOOKUP($D35,REGOLITOS!$A:$A,REGOLITOS!G:G)</f>
        <v>Estado de México</v>
      </c>
      <c r="H35" s="48" t="str">
        <f t="array" ref="H35">XLOOKUP($D35,REGOLITOS!$A:$A,REGOLITOS!H:H)</f>
        <v>55 55 0170 0170</v>
      </c>
      <c r="I35" s="48" t="str">
        <f t="array" ref="I35">XLOOKUP($D35,REGOLITOS!$A:$A,REGOLITOS!I:I)</f>
        <v>usuario170@ejemplo.com</v>
      </c>
      <c r="J35" s="48" t="str">
        <f t="array" ref="J35">XLOOKUP($D35,REGOLITOS!$A:$A,REGOLITOS!J:J)</f>
        <v/>
      </c>
      <c r="K35" s="48" t="str">
        <f t="array" ref="K35">XLOOKUP($D35,REGOLITOS!$A:$A,REGOLITOS!K:K)</f>
        <v>Adulto</v>
      </c>
      <c r="L35" s="74"/>
      <c r="M35" s="5" t="s">
        <v>1078</v>
      </c>
      <c r="N35" s="5" t="s">
        <v>1078</v>
      </c>
      <c r="O35" s="5" t="s">
        <v>1078</v>
      </c>
      <c r="P35" s="5" t="s">
        <v>1078</v>
      </c>
      <c r="Q35" s="5" t="s">
        <v>1078</v>
      </c>
      <c r="X35" s="71">
        <f t="shared" si="1"/>
        <v>5</v>
      </c>
      <c r="Y35" s="5" t="b">
        <v>1</v>
      </c>
    </row>
    <row r="36">
      <c r="A36" s="10" t="s">
        <v>24</v>
      </c>
      <c r="B36" s="10">
        <f t="array" ref="B36">XLOOKUP(A36, CURSOS!A:A, CURSOS!B:B)</f>
        <v>4</v>
      </c>
      <c r="C36" s="11" t="str">
        <f t="array" ref="C36">XLOOKUP(A36, CURSOS!A:A, CURSOS!C:C)</f>
        <v>VAGABUNDOS DEL FIRMAMENTO</v>
      </c>
      <c r="D36" s="70" t="s">
        <v>147</v>
      </c>
      <c r="E36" s="48">
        <f t="array" ref="E36">XLOOKUP($D36,REGOLITOS!$A:$A,REGOLITOS!E:E)</f>
        <v>15</v>
      </c>
      <c r="F36" s="48" t="str">
        <f t="array" ref="F36">XLOOKUP($D36,REGOLITOS!$A:$A,REGOLITOS!F:F)</f>
        <v>Ingeniería Civil</v>
      </c>
      <c r="G36" s="48" t="str">
        <f t="array" ref="G36">XLOOKUP($D36,REGOLITOS!$A:$A,REGOLITOS!G:G)</f>
        <v>Ciudad de México</v>
      </c>
      <c r="H36" s="48" t="str">
        <f t="array" ref="H36">XLOOKUP($D36,REGOLITOS!$A:$A,REGOLITOS!H:H)</f>
        <v>55 55 0028 0028</v>
      </c>
      <c r="I36" s="48" t="str">
        <f t="array" ref="I36">XLOOKUP($D36,REGOLITOS!$A:$A,REGOLITOS!I:I)</f>
        <v>usuario28@ejemplo.com</v>
      </c>
      <c r="J36" s="48" t="str">
        <f t="array" ref="J36">XLOOKUP($D36,REGOLITOS!$A:$A,REGOLITOS!J:J)</f>
        <v>Tutor_028</v>
      </c>
      <c r="K36" s="48" t="str">
        <f t="array" ref="K36">XLOOKUP($D36,REGOLITOS!$A:$A,REGOLITOS!K:K)</f>
        <v>Adolescente</v>
      </c>
      <c r="L36" s="48">
        <v>160.0</v>
      </c>
      <c r="M36" s="5" t="s">
        <v>1078</v>
      </c>
      <c r="N36" s="5" t="s">
        <v>1078</v>
      </c>
      <c r="O36" s="5" t="s">
        <v>1078</v>
      </c>
      <c r="P36" s="5" t="s">
        <v>1078</v>
      </c>
      <c r="Q36" s="5" t="s">
        <v>1078</v>
      </c>
      <c r="X36" s="71">
        <f t="shared" si="1"/>
        <v>5</v>
      </c>
      <c r="Y36" s="5" t="b">
        <v>1</v>
      </c>
    </row>
    <row r="37">
      <c r="A37" s="10" t="s">
        <v>24</v>
      </c>
      <c r="B37" s="10">
        <f t="array" ref="B37">XLOOKUP(A37, CURSOS!A:A, CURSOS!B:B)</f>
        <v>4</v>
      </c>
      <c r="C37" s="11" t="str">
        <f t="array" ref="C37">XLOOKUP(A37, CURSOS!A:A, CURSOS!C:C)</f>
        <v>VAGABUNDOS DEL FIRMAMENTO</v>
      </c>
      <c r="D37" s="70" t="s">
        <v>232</v>
      </c>
      <c r="E37" s="48">
        <f t="array" ref="E37">XLOOKUP($D37,REGOLITOS!$A:$A,REGOLITOS!E:E)</f>
        <v>18</v>
      </c>
      <c r="F37" s="48" t="str">
        <f t="array" ref="F37">XLOOKUP($D37,REGOLITOS!$A:$A,REGOLITOS!F:F)</f>
        <v>Estudiante</v>
      </c>
      <c r="G37" s="48" t="str">
        <f t="array" ref="G37">XLOOKUP($D37,REGOLITOS!$A:$A,REGOLITOS!G:G)</f>
        <v>Hidalgo</v>
      </c>
      <c r="H37" s="48" t="str">
        <f t="array" ref="H37">XLOOKUP($D37,REGOLITOS!$A:$A,REGOLITOS!H:H)</f>
        <v>55 55 0085 0085</v>
      </c>
      <c r="I37" s="48" t="str">
        <f t="array" ref="I37">XLOOKUP($D37,REGOLITOS!$A:$A,REGOLITOS!I:I)</f>
        <v>usuario85@ejemplo.com</v>
      </c>
      <c r="J37" s="48" t="str">
        <f t="array" ref="J37">XLOOKUP($D37,REGOLITOS!$A:$A,REGOLITOS!J:J)</f>
        <v>Tutor_085</v>
      </c>
      <c r="K37" s="48" t="str">
        <f t="array" ref="K37">XLOOKUP($D37,REGOLITOS!$A:$A,REGOLITOS!K:K)</f>
        <v>Jóven adulto</v>
      </c>
      <c r="L37" s="48">
        <v>160.0</v>
      </c>
      <c r="M37" s="5" t="s">
        <v>1078</v>
      </c>
      <c r="N37" s="5" t="s">
        <v>1078</v>
      </c>
      <c r="O37" s="5" t="s">
        <v>1078</v>
      </c>
      <c r="P37" s="5" t="s">
        <v>1078</v>
      </c>
      <c r="Q37" s="5" t="s">
        <v>1078</v>
      </c>
      <c r="X37" s="71">
        <f t="shared" si="1"/>
        <v>5</v>
      </c>
      <c r="Y37" s="5" t="b">
        <v>1</v>
      </c>
    </row>
    <row r="38">
      <c r="A38" s="10" t="s">
        <v>24</v>
      </c>
      <c r="B38" s="10">
        <f t="array" ref="B38">XLOOKUP(A38, CURSOS!A:A, CURSOS!B:B)</f>
        <v>4</v>
      </c>
      <c r="C38" s="11" t="str">
        <f t="array" ref="C38">XLOOKUP(A38, CURSOS!A:A, CURSOS!C:C)</f>
        <v>VAGABUNDOS DEL FIRMAMENTO</v>
      </c>
      <c r="D38" s="70" t="s">
        <v>227</v>
      </c>
      <c r="E38" s="48">
        <f t="array" ref="E38">XLOOKUP($D38,REGOLITOS!$A:$A,REGOLITOS!E:E)</f>
        <v>66</v>
      </c>
      <c r="F38" s="48" t="str">
        <f t="array" ref="F38">XLOOKUP($D38,REGOLITOS!$A:$A,REGOLITOS!F:F)</f>
        <v>Operadora de CTP</v>
      </c>
      <c r="G38" s="48" t="str">
        <f t="array" ref="G38">XLOOKUP($D38,REGOLITOS!$A:$A,REGOLITOS!G:G)</f>
        <v>Ciudad de México</v>
      </c>
      <c r="H38" s="48" t="str">
        <f t="array" ref="H38">XLOOKUP($D38,REGOLITOS!$A:$A,REGOLITOS!H:H)</f>
        <v>55 55 0082 0082</v>
      </c>
      <c r="I38" s="48" t="str">
        <f t="array" ref="I38">XLOOKUP($D38,REGOLITOS!$A:$A,REGOLITOS!I:I)</f>
        <v>usuario82@ejemplo.com</v>
      </c>
      <c r="J38" s="48" t="str">
        <f t="array" ref="J38">XLOOKUP($D38,REGOLITOS!$A:$A,REGOLITOS!J:J)</f>
        <v/>
      </c>
      <c r="K38" s="48" t="str">
        <f t="array" ref="K38">XLOOKUP($D38,REGOLITOS!$A:$A,REGOLITOS!K:K)</f>
        <v>Adulto Mayor</v>
      </c>
      <c r="L38" s="74"/>
      <c r="M38" s="5" t="s">
        <v>1078</v>
      </c>
      <c r="N38" s="5" t="s">
        <v>1078</v>
      </c>
      <c r="O38" s="5" t="s">
        <v>1078</v>
      </c>
      <c r="P38" s="5" t="s">
        <v>1078</v>
      </c>
      <c r="Q38" s="5" t="s">
        <v>1078</v>
      </c>
      <c r="X38" s="71">
        <f t="shared" si="1"/>
        <v>5</v>
      </c>
      <c r="Y38" s="5" t="b">
        <v>1</v>
      </c>
    </row>
    <row r="39">
      <c r="A39" s="10" t="s">
        <v>24</v>
      </c>
      <c r="B39" s="10">
        <f t="array" ref="B39">XLOOKUP(A39, CURSOS!A:A, CURSOS!B:B)</f>
        <v>4</v>
      </c>
      <c r="C39" s="11" t="str">
        <f t="array" ref="C39">XLOOKUP(A39, CURSOS!A:A, CURSOS!C:C)</f>
        <v>VAGABUNDOS DEL FIRMAMENTO</v>
      </c>
      <c r="D39" s="70" t="s">
        <v>311</v>
      </c>
      <c r="E39" s="48">
        <f t="array" ref="E39">XLOOKUP($D39,REGOLITOS!$A:$A,REGOLITOS!E:E)</f>
        <v>23</v>
      </c>
      <c r="F39" s="48" t="str">
        <f t="array" ref="F39">XLOOKUP($D39,REGOLITOS!$A:$A,REGOLITOS!F:F)</f>
        <v>Estudiante</v>
      </c>
      <c r="G39" s="48" t="str">
        <f t="array" ref="G39">XLOOKUP($D39,REGOLITOS!$A:$A,REGOLITOS!G:G)</f>
        <v>Desconocido</v>
      </c>
      <c r="H39" s="48" t="str">
        <f t="array" ref="H39">XLOOKUP($D39,REGOLITOS!$A:$A,REGOLITOS!H:H)</f>
        <v>55 55 0139 0139</v>
      </c>
      <c r="I39" s="48" t="str">
        <f t="array" ref="I39">XLOOKUP($D39,REGOLITOS!$A:$A,REGOLITOS!I:I)</f>
        <v>usuario139@ejemplo.com</v>
      </c>
      <c r="J39" s="48" t="str">
        <f t="array" ref="J39">XLOOKUP($D39,REGOLITOS!$A:$A,REGOLITOS!J:J)</f>
        <v/>
      </c>
      <c r="K39" s="48" t="str">
        <f t="array" ref="K39">XLOOKUP($D39,REGOLITOS!$A:$A,REGOLITOS!K:K)</f>
        <v>Jóven adulto</v>
      </c>
      <c r="L39" s="74"/>
      <c r="M39" s="5" t="s">
        <v>1078</v>
      </c>
      <c r="N39" s="5" t="s">
        <v>1078</v>
      </c>
      <c r="O39" s="5" t="s">
        <v>1078</v>
      </c>
      <c r="P39" s="5" t="s">
        <v>1081</v>
      </c>
      <c r="Q39" s="5" t="s">
        <v>1078</v>
      </c>
      <c r="X39" s="71">
        <f t="shared" si="1"/>
        <v>5</v>
      </c>
      <c r="Y39" s="5" t="b">
        <v>1</v>
      </c>
    </row>
    <row r="40">
      <c r="A40" s="10" t="s">
        <v>24</v>
      </c>
      <c r="B40" s="10">
        <f t="array" ref="B40">XLOOKUP(A40, CURSOS!A:A, CURSOS!B:B)</f>
        <v>4</v>
      </c>
      <c r="C40" s="11" t="str">
        <f t="array" ref="C40">XLOOKUP(A40, CURSOS!A:A, CURSOS!C:C)</f>
        <v>VAGABUNDOS DEL FIRMAMENTO</v>
      </c>
      <c r="D40" s="70" t="s">
        <v>292</v>
      </c>
      <c r="E40" s="48">
        <f t="array" ref="E40">XLOOKUP($D40,REGOLITOS!$A:$A,REGOLITOS!E:E)</f>
        <v>46</v>
      </c>
      <c r="F40" s="48" t="str">
        <f t="array" ref="F40">XLOOKUP($D40,REGOLITOS!$A:$A,REGOLITOS!F:F)</f>
        <v>Administración</v>
      </c>
      <c r="G40" s="48" t="str">
        <f t="array" ref="G40">XLOOKUP($D40,REGOLITOS!$A:$A,REGOLITOS!G:G)</f>
        <v>Ciudad de México</v>
      </c>
      <c r="H40" s="48" t="str">
        <f t="array" ref="H40">XLOOKUP($D40,REGOLITOS!$A:$A,REGOLITOS!H:H)</f>
        <v>55 55 0128 0128</v>
      </c>
      <c r="I40" s="48" t="str">
        <f t="array" ref="I40">XLOOKUP($D40,REGOLITOS!$A:$A,REGOLITOS!I:I)</f>
        <v>usuario128@ejemplo.com</v>
      </c>
      <c r="J40" s="48" t="str">
        <f t="array" ref="J40">XLOOKUP($D40,REGOLITOS!$A:$A,REGOLITOS!J:J)</f>
        <v/>
      </c>
      <c r="K40" s="48" t="str">
        <f t="array" ref="K40">XLOOKUP($D40,REGOLITOS!$A:$A,REGOLITOS!K:K)</f>
        <v>Adulto</v>
      </c>
      <c r="L40" s="48">
        <v>160.0</v>
      </c>
      <c r="M40" s="5" t="s">
        <v>1078</v>
      </c>
      <c r="N40" s="5" t="s">
        <v>1080</v>
      </c>
      <c r="O40" s="5" t="s">
        <v>1078</v>
      </c>
      <c r="P40" s="5" t="s">
        <v>1078</v>
      </c>
      <c r="Q40" s="5" t="s">
        <v>1078</v>
      </c>
      <c r="X40" s="71">
        <f t="shared" si="1"/>
        <v>4</v>
      </c>
      <c r="Y40" s="5" t="b">
        <v>1</v>
      </c>
    </row>
    <row r="41">
      <c r="A41" s="10" t="s">
        <v>24</v>
      </c>
      <c r="B41" s="10">
        <f t="array" ref="B41">XLOOKUP(A41, CURSOS!A:A, CURSOS!B:B)</f>
        <v>4</v>
      </c>
      <c r="C41" s="11" t="str">
        <f t="array" ref="C41">XLOOKUP(A41, CURSOS!A:A, CURSOS!C:C)</f>
        <v>VAGABUNDOS DEL FIRMAMENTO</v>
      </c>
      <c r="D41" s="70" t="s">
        <v>258</v>
      </c>
      <c r="E41" s="48">
        <f t="array" ref="E41">XLOOKUP($D41,REGOLITOS!$A:$A,REGOLITOS!E:E)</f>
        <v>66</v>
      </c>
      <c r="F41" s="48" t="str">
        <f t="array" ref="F41">XLOOKUP($D41,REGOLITOS!$A:$A,REGOLITOS!F:F)</f>
        <v>Estudiante HS</v>
      </c>
      <c r="G41" s="48" t="str">
        <f t="array" ref="G41">XLOOKUP($D41,REGOLITOS!$A:$A,REGOLITOS!G:G)</f>
        <v>Jalisco</v>
      </c>
      <c r="H41" s="48" t="str">
        <f t="array" ref="H41">XLOOKUP($D41,REGOLITOS!$A:$A,REGOLITOS!H:H)</f>
        <v>55 55 0103 0103</v>
      </c>
      <c r="I41" s="48" t="str">
        <f t="array" ref="I41">XLOOKUP($D41,REGOLITOS!$A:$A,REGOLITOS!I:I)</f>
        <v>usuario103@ejemplo.com</v>
      </c>
      <c r="J41" s="48" t="str">
        <f t="array" ref="J41">XLOOKUP($D41,REGOLITOS!$A:$A,REGOLITOS!J:J)</f>
        <v/>
      </c>
      <c r="K41" s="48" t="str">
        <f t="array" ref="K41">XLOOKUP($D41,REGOLITOS!$A:$A,REGOLITOS!K:K)</f>
        <v>Adulto Mayor</v>
      </c>
      <c r="L41" s="48">
        <v>160.0</v>
      </c>
      <c r="M41" s="5" t="s">
        <v>1078</v>
      </c>
      <c r="N41" s="5" t="s">
        <v>1078</v>
      </c>
      <c r="O41" s="5" t="s">
        <v>1080</v>
      </c>
      <c r="P41" s="5" t="s">
        <v>1078</v>
      </c>
      <c r="Q41" s="5" t="s">
        <v>1078</v>
      </c>
      <c r="X41" s="71">
        <f t="shared" si="1"/>
        <v>4</v>
      </c>
      <c r="Y41" s="5" t="b">
        <v>1</v>
      </c>
    </row>
    <row r="42">
      <c r="A42" s="10" t="s">
        <v>24</v>
      </c>
      <c r="B42" s="10">
        <f t="array" ref="B42">XLOOKUP(A42, CURSOS!A:A, CURSOS!B:B)</f>
        <v>4</v>
      </c>
      <c r="C42" s="11" t="str">
        <f t="array" ref="C42">XLOOKUP(A42, CURSOS!A:A, CURSOS!C:C)</f>
        <v>VAGABUNDOS DEL FIRMAMENTO</v>
      </c>
      <c r="D42" s="70" t="s">
        <v>235</v>
      </c>
      <c r="E42" s="48">
        <f t="array" ref="E42">XLOOKUP($D42,REGOLITOS!$A:$A,REGOLITOS!E:E)</f>
        <v>88</v>
      </c>
      <c r="F42" s="48" t="str">
        <f t="array" ref="F42">XLOOKUP($D42,REGOLITOS!$A:$A,REGOLITOS!F:F)</f>
        <v>Desconocido</v>
      </c>
      <c r="G42" s="48" t="str">
        <f t="array" ref="G42">XLOOKUP($D42,REGOLITOS!$A:$A,REGOLITOS!G:G)</f>
        <v>Ciudad de México</v>
      </c>
      <c r="H42" s="48" t="str">
        <f t="array" ref="H42">XLOOKUP($D42,REGOLITOS!$A:$A,REGOLITOS!H:H)</f>
        <v>55 55 0087 0087</v>
      </c>
      <c r="I42" s="48" t="str">
        <f t="array" ref="I42">XLOOKUP($D42,REGOLITOS!$A:$A,REGOLITOS!I:I)</f>
        <v>usuario87@ejemplo.com</v>
      </c>
      <c r="J42" s="48" t="str">
        <f t="array" ref="J42">XLOOKUP($D42,REGOLITOS!$A:$A,REGOLITOS!J:J)</f>
        <v/>
      </c>
      <c r="K42" s="48" t="str">
        <f t="array" ref="K42">XLOOKUP($D42,REGOLITOS!$A:$A,REGOLITOS!K:K)</f>
        <v>Adulto Mayor</v>
      </c>
      <c r="L42" s="74"/>
      <c r="M42" s="5" t="s">
        <v>1078</v>
      </c>
      <c r="N42" s="5" t="s">
        <v>1080</v>
      </c>
      <c r="O42" s="5" t="s">
        <v>1078</v>
      </c>
      <c r="P42" s="5" t="s">
        <v>1078</v>
      </c>
      <c r="Q42" s="5" t="s">
        <v>1078</v>
      </c>
      <c r="X42" s="71">
        <f t="shared" si="1"/>
        <v>4</v>
      </c>
      <c r="Y42" s="5" t="b">
        <v>1</v>
      </c>
    </row>
    <row r="43">
      <c r="A43" s="10" t="s">
        <v>24</v>
      </c>
      <c r="B43" s="10">
        <f t="array" ref="B43">XLOOKUP(A43, CURSOS!A:A, CURSOS!B:B)</f>
        <v>4</v>
      </c>
      <c r="C43" s="11" t="str">
        <f t="array" ref="C43">XLOOKUP(A43, CURSOS!A:A, CURSOS!C:C)</f>
        <v>VAGABUNDOS DEL FIRMAMENTO</v>
      </c>
      <c r="D43" s="70" t="s">
        <v>285</v>
      </c>
      <c r="E43" s="48">
        <f t="array" ref="E43">XLOOKUP($D43,REGOLITOS!$A:$A,REGOLITOS!E:E)</f>
        <v>83</v>
      </c>
      <c r="F43" s="48" t="str">
        <f t="array" ref="F43">XLOOKUP($D43,REGOLITOS!$A:$A,REGOLITOS!F:F)</f>
        <v>Desconocido</v>
      </c>
      <c r="G43" s="48" t="str">
        <f t="array" ref="G43">XLOOKUP($D43,REGOLITOS!$A:$A,REGOLITOS!G:G)</f>
        <v>Desconocido</v>
      </c>
      <c r="H43" s="48" t="str">
        <f t="array" ref="H43">XLOOKUP($D43,REGOLITOS!$A:$A,REGOLITOS!H:H)</f>
        <v>55 55 0123 0123</v>
      </c>
      <c r="I43" s="48" t="str">
        <f t="array" ref="I43">XLOOKUP($D43,REGOLITOS!$A:$A,REGOLITOS!I:I)</f>
        <v>usuario123@ejemplo.com</v>
      </c>
      <c r="J43" s="48" t="str">
        <f t="array" ref="J43">XLOOKUP($D43,REGOLITOS!$A:$A,REGOLITOS!J:J)</f>
        <v/>
      </c>
      <c r="K43" s="48" t="str">
        <f t="array" ref="K43">XLOOKUP($D43,REGOLITOS!$A:$A,REGOLITOS!K:K)</f>
        <v>Adulto Mayor</v>
      </c>
      <c r="L43" s="74"/>
      <c r="M43" s="5" t="s">
        <v>1078</v>
      </c>
      <c r="N43" s="5" t="s">
        <v>1078</v>
      </c>
      <c r="O43" s="5" t="s">
        <v>1080</v>
      </c>
      <c r="P43" s="5" t="s">
        <v>1078</v>
      </c>
      <c r="Q43" s="5" t="s">
        <v>1080</v>
      </c>
      <c r="X43" s="71">
        <f t="shared" si="1"/>
        <v>3</v>
      </c>
      <c r="Y43" s="5" t="b">
        <v>0</v>
      </c>
    </row>
    <row r="44">
      <c r="A44" s="10" t="s">
        <v>24</v>
      </c>
      <c r="B44" s="10">
        <f t="array" ref="B44">XLOOKUP(A44, CURSOS!A:A, CURSOS!B:B)</f>
        <v>4</v>
      </c>
      <c r="C44" s="11" t="str">
        <f t="array" ref="C44">XLOOKUP(A44, CURSOS!A:A, CURSOS!C:C)</f>
        <v>VAGABUNDOS DEL FIRMAMENTO</v>
      </c>
      <c r="D44" s="70" t="s">
        <v>152</v>
      </c>
      <c r="E44" s="48">
        <f t="array" ref="E44">XLOOKUP($D44,REGOLITOS!$A:$A,REGOLITOS!E:E)</f>
        <v>50</v>
      </c>
      <c r="F44" s="48" t="str">
        <f t="array" ref="F44">XLOOKUP($D44,REGOLITOS!$A:$A,REGOLITOS!F:F)</f>
        <v>Estudiante</v>
      </c>
      <c r="G44" s="48" t="str">
        <f t="array" ref="G44">XLOOKUP($D44,REGOLITOS!$A:$A,REGOLITOS!G:G)</f>
        <v>Desconocido</v>
      </c>
      <c r="H44" s="48" t="str">
        <f t="array" ref="H44">XLOOKUP($D44,REGOLITOS!$A:$A,REGOLITOS!H:H)</f>
        <v>55 55 0031 0031</v>
      </c>
      <c r="I44" s="48" t="str">
        <f t="array" ref="I44">XLOOKUP($D44,REGOLITOS!$A:$A,REGOLITOS!I:I)</f>
        <v>usuario31@ejemplo.com</v>
      </c>
      <c r="J44" s="48" t="str">
        <f t="array" ref="J44">XLOOKUP($D44,REGOLITOS!$A:$A,REGOLITOS!J:J)</f>
        <v/>
      </c>
      <c r="K44" s="48" t="str">
        <f t="array" ref="K44">XLOOKUP($D44,REGOLITOS!$A:$A,REGOLITOS!K:K)</f>
        <v>Infancia</v>
      </c>
      <c r="L44" s="74"/>
      <c r="M44" s="5" t="s">
        <v>1078</v>
      </c>
      <c r="N44" s="5" t="s">
        <v>1078</v>
      </c>
      <c r="O44" s="5" t="s">
        <v>1080</v>
      </c>
      <c r="P44" s="5" t="s">
        <v>1078</v>
      </c>
      <c r="Q44" s="5" t="s">
        <v>1080</v>
      </c>
      <c r="X44" s="71">
        <f t="shared" si="1"/>
        <v>3</v>
      </c>
      <c r="Y44" s="5" t="b">
        <v>0</v>
      </c>
    </row>
    <row r="45">
      <c r="A45" s="10" t="s">
        <v>24</v>
      </c>
      <c r="B45" s="10">
        <f t="array" ref="B45">XLOOKUP(A45, CURSOS!A:A, CURSOS!B:B)</f>
        <v>4</v>
      </c>
      <c r="C45" s="11" t="str">
        <f t="array" ref="C45">XLOOKUP(A45, CURSOS!A:A, CURSOS!C:C)</f>
        <v>VAGABUNDOS DEL FIRMAMENTO</v>
      </c>
      <c r="D45" s="70" t="s">
        <v>349</v>
      </c>
      <c r="E45" s="48">
        <f t="array" ref="E45">XLOOKUP($D45,REGOLITOS!$A:$A,REGOLITOS!E:E)</f>
        <v>47</v>
      </c>
      <c r="F45" s="48" t="str">
        <f t="array" ref="F45">XLOOKUP($D45,REGOLITOS!$A:$A,REGOLITOS!F:F)</f>
        <v>Desconocido</v>
      </c>
      <c r="G45" s="48" t="str">
        <f t="array" ref="G45">XLOOKUP($D45,REGOLITOS!$A:$A,REGOLITOS!G:G)</f>
        <v>Estado de México</v>
      </c>
      <c r="H45" s="48" t="str">
        <f t="array" ref="H45">XLOOKUP($D45,REGOLITOS!$A:$A,REGOLITOS!H:H)</f>
        <v>55 55 0166 0166</v>
      </c>
      <c r="I45" s="48" t="str">
        <f t="array" ref="I45">XLOOKUP($D45,REGOLITOS!$A:$A,REGOLITOS!I:I)</f>
        <v>usuario166@ejemplo.com</v>
      </c>
      <c r="J45" s="48" t="str">
        <f t="array" ref="J45">XLOOKUP($D45,REGOLITOS!$A:$A,REGOLITOS!J:J)</f>
        <v/>
      </c>
      <c r="K45" s="48" t="str">
        <f t="array" ref="K45">XLOOKUP($D45,REGOLITOS!$A:$A,REGOLITOS!K:K)</f>
        <v>Adulto</v>
      </c>
      <c r="L45" s="48">
        <v>160.0</v>
      </c>
      <c r="M45" s="5" t="s">
        <v>1078</v>
      </c>
      <c r="N45" s="5" t="s">
        <v>1080</v>
      </c>
      <c r="O45" s="5" t="s">
        <v>1080</v>
      </c>
      <c r="P45" s="5" t="s">
        <v>1078</v>
      </c>
      <c r="Q45" s="5" t="s">
        <v>1080</v>
      </c>
      <c r="X45" s="71">
        <f t="shared" si="1"/>
        <v>2</v>
      </c>
      <c r="Y45" s="5" t="b">
        <v>0</v>
      </c>
    </row>
    <row r="46">
      <c r="A46" s="10" t="s">
        <v>24</v>
      </c>
      <c r="B46" s="10">
        <f t="array" ref="B46">XLOOKUP(A46, CURSOS!A:A, CURSOS!B:B)</f>
        <v>4</v>
      </c>
      <c r="C46" s="11" t="str">
        <f t="array" ref="C46">XLOOKUP(A46, CURSOS!A:A, CURSOS!C:C)</f>
        <v>VAGABUNDOS DEL FIRMAMENTO</v>
      </c>
      <c r="D46" s="70" t="s">
        <v>185</v>
      </c>
      <c r="E46" s="48">
        <f t="array" ref="E46">XLOOKUP($D46,REGOLITOS!$A:$A,REGOLITOS!E:E)</f>
        <v>55</v>
      </c>
      <c r="F46" s="48" t="str">
        <f t="array" ref="F46">XLOOKUP($D46,REGOLITOS!$A:$A,REGOLITOS!F:F)</f>
        <v>Desconocido</v>
      </c>
      <c r="G46" s="48" t="str">
        <f t="array" ref="G46">XLOOKUP($D46,REGOLITOS!$A:$A,REGOLITOS!G:G)</f>
        <v>Desconocido</v>
      </c>
      <c r="H46" s="48" t="str">
        <f t="array" ref="H46">XLOOKUP($D46,REGOLITOS!$A:$A,REGOLITOS!H:H)</f>
        <v>55 55 0053 0053</v>
      </c>
      <c r="I46" s="48" t="str">
        <f t="array" ref="I46">XLOOKUP($D46,REGOLITOS!$A:$A,REGOLITOS!I:I)</f>
        <v>usuario53@ejemplo.com</v>
      </c>
      <c r="J46" s="48" t="str">
        <f t="array" ref="J46">XLOOKUP($D46,REGOLITOS!$A:$A,REGOLITOS!J:J)</f>
        <v/>
      </c>
      <c r="K46" s="48" t="str">
        <f t="array" ref="K46">XLOOKUP($D46,REGOLITOS!$A:$A,REGOLITOS!K:K)</f>
        <v>Adulto</v>
      </c>
      <c r="L46" s="74"/>
      <c r="M46" s="5" t="s">
        <v>1078</v>
      </c>
      <c r="N46" s="5" t="s">
        <v>1078</v>
      </c>
      <c r="O46" s="5" t="s">
        <v>1080</v>
      </c>
      <c r="P46" s="5" t="s">
        <v>1080</v>
      </c>
      <c r="Q46" s="5" t="s">
        <v>1080</v>
      </c>
      <c r="X46" s="71">
        <f t="shared" si="1"/>
        <v>2</v>
      </c>
      <c r="Y46" s="5" t="b">
        <v>0</v>
      </c>
    </row>
    <row r="47">
      <c r="A47" s="10" t="s">
        <v>24</v>
      </c>
      <c r="B47" s="10">
        <f t="array" ref="B47">XLOOKUP(A47, CURSOS!A:A, CURSOS!B:B)</f>
        <v>4</v>
      </c>
      <c r="C47" s="11" t="str">
        <f t="array" ref="C47">XLOOKUP(A47, CURSOS!A:A, CURSOS!C:C)</f>
        <v>VAGABUNDOS DEL FIRMAMENTO</v>
      </c>
      <c r="D47" s="70" t="s">
        <v>372</v>
      </c>
      <c r="E47" s="48">
        <f t="array" ref="E47">XLOOKUP($D47,REGOLITOS!$A:$A,REGOLITOS!E:E)</f>
        <v>70</v>
      </c>
      <c r="F47" s="48" t="str">
        <f t="array" ref="F47">XLOOKUP($D47,REGOLITOS!$A:$A,REGOLITOS!F:F)</f>
        <v>Estudiante</v>
      </c>
      <c r="G47" s="48" t="str">
        <f t="array" ref="G47">XLOOKUP($D47,REGOLITOS!$A:$A,REGOLITOS!G:G)</f>
        <v>Desconocido</v>
      </c>
      <c r="H47" s="48" t="str">
        <f t="array" ref="H47">XLOOKUP($D47,REGOLITOS!$A:$A,REGOLITOS!H:H)</f>
        <v>55 55 0182 0182</v>
      </c>
      <c r="I47" s="48" t="str">
        <f t="array" ref="I47">XLOOKUP($D47,REGOLITOS!$A:$A,REGOLITOS!I:I)</f>
        <v>usuario182@ejemplo.com</v>
      </c>
      <c r="J47" s="48" t="str">
        <f t="array" ref="J47">XLOOKUP($D47,REGOLITOS!$A:$A,REGOLITOS!J:J)</f>
        <v/>
      </c>
      <c r="K47" s="48" t="str">
        <f t="array" ref="K47">XLOOKUP($D47,REGOLITOS!$A:$A,REGOLITOS!K:K)</f>
        <v>Adulto Mayor</v>
      </c>
      <c r="L47" s="74"/>
      <c r="M47" s="5" t="s">
        <v>1078</v>
      </c>
      <c r="N47" s="5" t="s">
        <v>1078</v>
      </c>
      <c r="O47" s="5" t="s">
        <v>1080</v>
      </c>
      <c r="P47" s="5" t="s">
        <v>1080</v>
      </c>
      <c r="Q47" s="5" t="s">
        <v>1080</v>
      </c>
      <c r="X47" s="71">
        <f t="shared" si="1"/>
        <v>2</v>
      </c>
      <c r="Y47" s="5" t="b">
        <v>0</v>
      </c>
    </row>
    <row r="48">
      <c r="A48" s="10" t="s">
        <v>24</v>
      </c>
      <c r="B48" s="10">
        <f t="array" ref="B48">XLOOKUP(A48, CURSOS!A:A, CURSOS!B:B)</f>
        <v>4</v>
      </c>
      <c r="C48" s="11" t="str">
        <f t="array" ref="C48">XLOOKUP(A48, CURSOS!A:A, CURSOS!C:C)</f>
        <v>VAGABUNDOS DEL FIRMAMENTO</v>
      </c>
      <c r="D48" s="70" t="s">
        <v>151</v>
      </c>
      <c r="E48" s="48">
        <f t="array" ref="E48">XLOOKUP($D48,REGOLITOS!$A:$A,REGOLITOS!E:E)</f>
        <v>35</v>
      </c>
      <c r="F48" s="48" t="str">
        <f t="array" ref="F48">XLOOKUP($D48,REGOLITOS!$A:$A,REGOLITOS!F:F)</f>
        <v>Hogar </v>
      </c>
      <c r="G48" s="48" t="str">
        <f t="array" ref="G48">XLOOKUP($D48,REGOLITOS!$A:$A,REGOLITOS!G:G)</f>
        <v>Quintana Roo</v>
      </c>
      <c r="H48" s="48" t="str">
        <f t="array" ref="H48">XLOOKUP($D48,REGOLITOS!$A:$A,REGOLITOS!H:H)</f>
        <v>55 55 0030 0030</v>
      </c>
      <c r="I48" s="48" t="str">
        <f t="array" ref="I48">XLOOKUP($D48,REGOLITOS!$A:$A,REGOLITOS!I:I)</f>
        <v>usuario30@ejemplo.com</v>
      </c>
      <c r="J48" s="48" t="str">
        <f t="array" ref="J48">XLOOKUP($D48,REGOLITOS!$A:$A,REGOLITOS!J:J)</f>
        <v/>
      </c>
      <c r="K48" s="48" t="str">
        <f t="array" ref="K48">XLOOKUP($D48,REGOLITOS!$A:$A,REGOLITOS!K:K)</f>
        <v>Adulto</v>
      </c>
      <c r="L48" s="74"/>
      <c r="M48" s="5" t="s">
        <v>1078</v>
      </c>
      <c r="N48" s="5" t="s">
        <v>1078</v>
      </c>
      <c r="O48" s="5" t="s">
        <v>1080</v>
      </c>
      <c r="P48" s="5" t="s">
        <v>1080</v>
      </c>
      <c r="Q48" s="5" t="s">
        <v>1080</v>
      </c>
      <c r="X48" s="71">
        <f t="shared" si="1"/>
        <v>2</v>
      </c>
      <c r="Y48" s="5" t="b">
        <v>0</v>
      </c>
    </row>
    <row r="49">
      <c r="A49" s="10" t="s">
        <v>24</v>
      </c>
      <c r="B49" s="10">
        <f t="array" ref="B49">XLOOKUP(A49, CURSOS!A:A, CURSOS!B:B)</f>
        <v>4</v>
      </c>
      <c r="C49" s="11" t="str">
        <f t="array" ref="C49">XLOOKUP(A49, CURSOS!A:A, CURSOS!C:C)</f>
        <v>VAGABUNDOS DEL FIRMAMENTO</v>
      </c>
      <c r="D49" s="70" t="s">
        <v>213</v>
      </c>
      <c r="E49" s="48">
        <f t="array" ref="E49">XLOOKUP($D49,REGOLITOS!$A:$A,REGOLITOS!E:E)</f>
        <v>73</v>
      </c>
      <c r="F49" s="48" t="str">
        <f t="array" ref="F49">XLOOKUP($D49,REGOLITOS!$A:$A,REGOLITOS!F:F)</f>
        <v>Estudiante</v>
      </c>
      <c r="G49" s="48" t="str">
        <f t="array" ref="G49">XLOOKUP($D49,REGOLITOS!$A:$A,REGOLITOS!G:G)</f>
        <v>Nuevo León</v>
      </c>
      <c r="H49" s="48" t="str">
        <f t="array" ref="H49">XLOOKUP($D49,REGOLITOS!$A:$A,REGOLITOS!H:H)</f>
        <v>55 55 0072 0072</v>
      </c>
      <c r="I49" s="48" t="str">
        <f t="array" ref="I49">XLOOKUP($D49,REGOLITOS!$A:$A,REGOLITOS!I:I)</f>
        <v>usuario72@ejemplo.com</v>
      </c>
      <c r="J49" s="48" t="str">
        <f t="array" ref="J49">XLOOKUP($D49,REGOLITOS!$A:$A,REGOLITOS!J:J)</f>
        <v/>
      </c>
      <c r="K49" s="48" t="str">
        <f t="array" ref="K49">XLOOKUP($D49,REGOLITOS!$A:$A,REGOLITOS!K:K)</f>
        <v>Infancia</v>
      </c>
      <c r="L49" s="48">
        <v>200.0</v>
      </c>
      <c r="M49" s="5" t="s">
        <v>1081</v>
      </c>
      <c r="N49" s="5" t="s">
        <v>1078</v>
      </c>
      <c r="O49" s="5" t="s">
        <v>1080</v>
      </c>
      <c r="P49" s="5" t="s">
        <v>1080</v>
      </c>
      <c r="Q49" s="5" t="s">
        <v>1080</v>
      </c>
      <c r="X49" s="71">
        <f t="shared" si="1"/>
        <v>2</v>
      </c>
      <c r="Y49" s="5" t="b">
        <v>0</v>
      </c>
    </row>
    <row r="50">
      <c r="A50" s="11" t="s">
        <v>24</v>
      </c>
      <c r="B50" s="11">
        <f t="array" ref="B50">XLOOKUP(A50, CURSOS!A:A, CURSOS!B:B)</f>
        <v>4</v>
      </c>
      <c r="C50" s="11" t="str">
        <f t="array" ref="C50">XLOOKUP(A50, CURSOS!A:A, CURSOS!C:C)</f>
        <v>VAGABUNDOS DEL FIRMAMENTO</v>
      </c>
      <c r="D50" s="70" t="s">
        <v>222</v>
      </c>
      <c r="E50" s="48">
        <f t="array" ref="E50">XLOOKUP($D50,REGOLITOS!$A:$A,REGOLITOS!E:E)</f>
        <v>10</v>
      </c>
      <c r="F50" s="48" t="str">
        <f t="array" ref="F50">XLOOKUP($D50,REGOLITOS!$A:$A,REGOLITOS!F:F)</f>
        <v>Estudiante</v>
      </c>
      <c r="G50" s="48" t="str">
        <f t="array" ref="G50">XLOOKUP($D50,REGOLITOS!$A:$A,REGOLITOS!G:G)</f>
        <v>Desconocido</v>
      </c>
      <c r="H50" s="48" t="str">
        <f t="array" ref="H50">XLOOKUP($D50,REGOLITOS!$A:$A,REGOLITOS!H:H)</f>
        <v>55 55 0078 0078</v>
      </c>
      <c r="I50" s="48" t="str">
        <f t="array" ref="I50">XLOOKUP($D50,REGOLITOS!$A:$A,REGOLITOS!I:I)</f>
        <v>usuario78@ejemplo.com</v>
      </c>
      <c r="J50" s="48" t="str">
        <f t="array" ref="J50">XLOOKUP($D50,REGOLITOS!$A:$A,REGOLITOS!J:J)</f>
        <v>Tutor_078</v>
      </c>
      <c r="K50" s="48" t="str">
        <f t="array" ref="K50">XLOOKUP($D50,REGOLITOS!$A:$A,REGOLITOS!K:K)</f>
        <v>Infancia</v>
      </c>
      <c r="L50" s="74"/>
      <c r="M50" s="5" t="s">
        <v>1078</v>
      </c>
      <c r="N50" s="5" t="s">
        <v>1080</v>
      </c>
      <c r="O50" s="5" t="s">
        <v>1080</v>
      </c>
      <c r="P50" s="5" t="s">
        <v>1080</v>
      </c>
      <c r="Q50" s="5" t="s">
        <v>1080</v>
      </c>
      <c r="X50" s="71">
        <f t="shared" si="1"/>
        <v>1</v>
      </c>
      <c r="Y50" s="5" t="b">
        <v>0</v>
      </c>
    </row>
    <row r="51">
      <c r="A51" s="31" t="s">
        <v>27</v>
      </c>
      <c r="B51" s="31">
        <f t="array" ref="B51">XLOOKUP(A51, CURSOS!A:A, CURSOS!B:B)</f>
        <v>5</v>
      </c>
      <c r="C51" s="12" t="str">
        <f t="array" ref="C51">XLOOKUP(A51, CURSOS!A:A, CURSOS!C:C)</f>
        <v>EL ROMPECABEZAS DEL CIELO</v>
      </c>
      <c r="D51" s="70" t="s">
        <v>102</v>
      </c>
      <c r="E51" s="48">
        <f t="array" ref="E51">XLOOKUP($D51,REGOLITOS!$A:$A,REGOLITOS!E:E)</f>
        <v>49</v>
      </c>
      <c r="F51" s="48" t="str">
        <f t="array" ref="F51">XLOOKUP($D51,REGOLITOS!$A:$A,REGOLITOS!F:F)</f>
        <v>Desconocido</v>
      </c>
      <c r="G51" s="48" t="str">
        <f t="array" ref="G51">XLOOKUP($D51,REGOLITOS!$A:$A,REGOLITOS!G:G)</f>
        <v>Veracruz</v>
      </c>
      <c r="H51" s="48" t="str">
        <f t="array" ref="H51">XLOOKUP($D51,REGOLITOS!$A:$A,REGOLITOS!H:H)</f>
        <v>55 55 0005 0005</v>
      </c>
      <c r="I51" s="48" t="str">
        <f t="array" ref="I51">XLOOKUP($D51,REGOLITOS!$A:$A,REGOLITOS!I:I)</f>
        <v>usuario5@ejemplo.com</v>
      </c>
      <c r="J51" s="48" t="str">
        <f t="array" ref="J51">XLOOKUP($D51,REGOLITOS!$A:$A,REGOLITOS!J:J)</f>
        <v/>
      </c>
      <c r="K51" s="48" t="str">
        <f t="array" ref="K51">XLOOKUP($D51,REGOLITOS!$A:$A,REGOLITOS!K:K)</f>
        <v>Adulto</v>
      </c>
      <c r="L51" s="48">
        <v>200.0</v>
      </c>
      <c r="M51" s="5" t="s">
        <v>1078</v>
      </c>
      <c r="N51" s="5" t="s">
        <v>1078</v>
      </c>
      <c r="O51" s="5" t="s">
        <v>1078</v>
      </c>
      <c r="P51" s="5" t="s">
        <v>1078</v>
      </c>
      <c r="Q51" s="5" t="s">
        <v>1080</v>
      </c>
      <c r="X51" s="71">
        <f t="shared" si="1"/>
        <v>4</v>
      </c>
      <c r="Y51" s="5" t="b">
        <v>1</v>
      </c>
    </row>
    <row r="52">
      <c r="A52" s="31" t="s">
        <v>27</v>
      </c>
      <c r="B52" s="31">
        <f t="array" ref="B52">XLOOKUP(A52, CURSOS!A:A, CURSOS!B:B)</f>
        <v>5</v>
      </c>
      <c r="C52" s="12" t="str">
        <f t="array" ref="C52">XLOOKUP(A52, CURSOS!A:A, CURSOS!C:C)</f>
        <v>EL ROMPECABEZAS DEL CIELO</v>
      </c>
      <c r="D52" s="70" t="s">
        <v>227</v>
      </c>
      <c r="E52" s="48">
        <f t="array" ref="E52">XLOOKUP($D52,REGOLITOS!$A:$A,REGOLITOS!E:E)</f>
        <v>66</v>
      </c>
      <c r="F52" s="48" t="str">
        <f t="array" ref="F52">XLOOKUP($D52,REGOLITOS!$A:$A,REGOLITOS!F:F)</f>
        <v>Operadora de CTP</v>
      </c>
      <c r="G52" s="48" t="str">
        <f t="array" ref="G52">XLOOKUP($D52,REGOLITOS!$A:$A,REGOLITOS!G:G)</f>
        <v>Ciudad de México</v>
      </c>
      <c r="H52" s="48" t="str">
        <f t="array" ref="H52">XLOOKUP($D52,REGOLITOS!$A:$A,REGOLITOS!H:H)</f>
        <v>55 55 0082 0082</v>
      </c>
      <c r="I52" s="48" t="str">
        <f t="array" ref="I52">XLOOKUP($D52,REGOLITOS!$A:$A,REGOLITOS!I:I)</f>
        <v>usuario82@ejemplo.com</v>
      </c>
      <c r="J52" s="48" t="str">
        <f t="array" ref="J52">XLOOKUP($D52,REGOLITOS!$A:$A,REGOLITOS!J:J)</f>
        <v/>
      </c>
      <c r="K52" s="48" t="str">
        <f t="array" ref="K52">XLOOKUP($D52,REGOLITOS!$A:$A,REGOLITOS!K:K)</f>
        <v>Adulto Mayor</v>
      </c>
      <c r="L52" s="48">
        <v>200.0</v>
      </c>
      <c r="M52" s="5" t="s">
        <v>1078</v>
      </c>
      <c r="N52" s="5" t="s">
        <v>1078</v>
      </c>
      <c r="O52" s="5" t="s">
        <v>1078</v>
      </c>
      <c r="P52" s="5" t="s">
        <v>1078</v>
      </c>
      <c r="Q52" s="5" t="s">
        <v>1078</v>
      </c>
      <c r="X52" s="71">
        <f t="shared" si="1"/>
        <v>5</v>
      </c>
      <c r="Y52" s="5" t="b">
        <v>1</v>
      </c>
    </row>
    <row r="53">
      <c r="A53" s="31" t="s">
        <v>27</v>
      </c>
      <c r="B53" s="31">
        <f t="array" ref="B53">XLOOKUP(A53, CURSOS!A:A, CURSOS!B:B)</f>
        <v>5</v>
      </c>
      <c r="C53" s="12" t="str">
        <f t="array" ref="C53">XLOOKUP(A53, CURSOS!A:A, CURSOS!C:C)</f>
        <v>EL ROMPECABEZAS DEL CIELO</v>
      </c>
      <c r="D53" s="70" t="s">
        <v>355</v>
      </c>
      <c r="E53" s="48">
        <f t="array" ref="E53">XLOOKUP($D53,REGOLITOS!$A:$A,REGOLITOS!E:E)</f>
        <v>45</v>
      </c>
      <c r="F53" s="48" t="str">
        <f t="array" ref="F53">XLOOKUP($D53,REGOLITOS!$A:$A,REGOLITOS!F:F)</f>
        <v>Estudiante</v>
      </c>
      <c r="G53" s="48" t="str">
        <f t="array" ref="G53">XLOOKUP($D53,REGOLITOS!$A:$A,REGOLITOS!G:G)</f>
        <v>Estado de México</v>
      </c>
      <c r="H53" s="48" t="str">
        <f t="array" ref="H53">XLOOKUP($D53,REGOLITOS!$A:$A,REGOLITOS!H:H)</f>
        <v>55 55 0170 0170</v>
      </c>
      <c r="I53" s="48" t="str">
        <f t="array" ref="I53">XLOOKUP($D53,REGOLITOS!$A:$A,REGOLITOS!I:I)</f>
        <v>usuario170@ejemplo.com</v>
      </c>
      <c r="J53" s="48" t="str">
        <f t="array" ref="J53">XLOOKUP($D53,REGOLITOS!$A:$A,REGOLITOS!J:J)</f>
        <v/>
      </c>
      <c r="K53" s="48" t="str">
        <f t="array" ref="K53">XLOOKUP($D53,REGOLITOS!$A:$A,REGOLITOS!K:K)</f>
        <v>Adulto</v>
      </c>
      <c r="L53" s="48">
        <v>160.0</v>
      </c>
      <c r="M53" s="5" t="s">
        <v>1078</v>
      </c>
      <c r="N53" s="5" t="s">
        <v>1078</v>
      </c>
      <c r="O53" s="5" t="s">
        <v>1078</v>
      </c>
      <c r="P53" s="5" t="s">
        <v>1078</v>
      </c>
      <c r="Q53" s="5" t="s">
        <v>1078</v>
      </c>
      <c r="X53" s="71">
        <f t="shared" si="1"/>
        <v>5</v>
      </c>
      <c r="Y53" s="5" t="b">
        <v>1</v>
      </c>
    </row>
    <row r="54">
      <c r="A54" s="31" t="s">
        <v>27</v>
      </c>
      <c r="B54" s="31">
        <f t="array" ref="B54">XLOOKUP(A54, CURSOS!A:A, CURSOS!B:B)</f>
        <v>5</v>
      </c>
      <c r="C54" s="12" t="str">
        <f t="array" ref="C54">XLOOKUP(A54, CURSOS!A:A, CURSOS!C:C)</f>
        <v>EL ROMPECABEZAS DEL CIELO</v>
      </c>
      <c r="D54" s="70" t="s">
        <v>172</v>
      </c>
      <c r="E54" s="48">
        <f t="array" ref="E54">XLOOKUP($D54,REGOLITOS!$A:$A,REGOLITOS!E:E)</f>
        <v>51</v>
      </c>
      <c r="F54" s="48" t="str">
        <f t="array" ref="F54">XLOOKUP($D54,REGOLITOS!$A:$A,REGOLITOS!F:F)</f>
        <v>Odontóloga</v>
      </c>
      <c r="G54" s="48" t="str">
        <f t="array" ref="G54">XLOOKUP($D54,REGOLITOS!$A:$A,REGOLITOS!G:G)</f>
        <v>Estado de México</v>
      </c>
      <c r="H54" s="48" t="str">
        <f t="array" ref="H54">XLOOKUP($D54,REGOLITOS!$A:$A,REGOLITOS!H:H)</f>
        <v>55 55 0044 0044</v>
      </c>
      <c r="I54" s="48" t="str">
        <f t="array" ref="I54">XLOOKUP($D54,REGOLITOS!$A:$A,REGOLITOS!I:I)</f>
        <v>usuario44@ejemplo.com</v>
      </c>
      <c r="J54" s="48" t="str">
        <f t="array" ref="J54">XLOOKUP($D54,REGOLITOS!$A:$A,REGOLITOS!J:J)</f>
        <v/>
      </c>
      <c r="K54" s="48" t="str">
        <f t="array" ref="K54">XLOOKUP($D54,REGOLITOS!$A:$A,REGOLITOS!K:K)</f>
        <v>Adulto</v>
      </c>
      <c r="L54" s="48" t="s">
        <v>1082</v>
      </c>
      <c r="M54" s="5" t="s">
        <v>1078</v>
      </c>
      <c r="N54" s="5" t="s">
        <v>1078</v>
      </c>
      <c r="O54" s="5" t="s">
        <v>1078</v>
      </c>
      <c r="P54" s="5" t="s">
        <v>1078</v>
      </c>
      <c r="Q54" s="5" t="s">
        <v>1078</v>
      </c>
      <c r="X54" s="71">
        <f t="shared" si="1"/>
        <v>5</v>
      </c>
      <c r="Y54" s="5" t="b">
        <v>1</v>
      </c>
    </row>
    <row r="55">
      <c r="A55" s="31" t="s">
        <v>27</v>
      </c>
      <c r="B55" s="31">
        <f t="array" ref="B55">XLOOKUP(A55, CURSOS!A:A, CURSOS!B:B)</f>
        <v>5</v>
      </c>
      <c r="C55" s="12" t="str">
        <f t="array" ref="C55">XLOOKUP(A55, CURSOS!A:A, CURSOS!C:C)</f>
        <v>EL ROMPECABEZAS DEL CIELO</v>
      </c>
      <c r="D55" s="70" t="s">
        <v>147</v>
      </c>
      <c r="E55" s="48">
        <f t="array" ref="E55">XLOOKUP($D55,REGOLITOS!$A:$A,REGOLITOS!E:E)</f>
        <v>15</v>
      </c>
      <c r="F55" s="48" t="str">
        <f t="array" ref="F55">XLOOKUP($D55,REGOLITOS!$A:$A,REGOLITOS!F:F)</f>
        <v>Ingeniería Civil</v>
      </c>
      <c r="G55" s="48" t="str">
        <f t="array" ref="G55">XLOOKUP($D55,REGOLITOS!$A:$A,REGOLITOS!G:G)</f>
        <v>Ciudad de México</v>
      </c>
      <c r="H55" s="48" t="str">
        <f t="array" ref="H55">XLOOKUP($D55,REGOLITOS!$A:$A,REGOLITOS!H:H)</f>
        <v>55 55 0028 0028</v>
      </c>
      <c r="I55" s="48" t="str">
        <f t="array" ref="I55">XLOOKUP($D55,REGOLITOS!$A:$A,REGOLITOS!I:I)</f>
        <v>usuario28@ejemplo.com</v>
      </c>
      <c r="J55" s="48" t="str">
        <f t="array" ref="J55">XLOOKUP($D55,REGOLITOS!$A:$A,REGOLITOS!J:J)</f>
        <v>Tutor_028</v>
      </c>
      <c r="K55" s="48" t="str">
        <f t="array" ref="K55">XLOOKUP($D55,REGOLITOS!$A:$A,REGOLITOS!K:K)</f>
        <v>Adolescente</v>
      </c>
      <c r="L55" s="48">
        <v>160.0</v>
      </c>
      <c r="M55" s="5" t="s">
        <v>1078</v>
      </c>
      <c r="N55" s="5" t="s">
        <v>1078</v>
      </c>
      <c r="O55" s="5" t="s">
        <v>1078</v>
      </c>
      <c r="P55" s="5" t="s">
        <v>1078</v>
      </c>
      <c r="Q55" s="5" t="s">
        <v>1078</v>
      </c>
      <c r="X55" s="71">
        <f t="shared" si="1"/>
        <v>5</v>
      </c>
      <c r="Y55" s="5" t="b">
        <v>1</v>
      </c>
    </row>
    <row r="56">
      <c r="A56" s="31" t="s">
        <v>27</v>
      </c>
      <c r="B56" s="31">
        <f t="array" ref="B56">XLOOKUP(A56, CURSOS!A:A, CURSOS!B:B)</f>
        <v>5</v>
      </c>
      <c r="C56" s="12" t="str">
        <f t="array" ref="C56">XLOOKUP(A56, CURSOS!A:A, CURSOS!C:C)</f>
        <v>EL ROMPECABEZAS DEL CIELO</v>
      </c>
      <c r="D56" s="70" t="s">
        <v>235</v>
      </c>
      <c r="E56" s="48">
        <f t="array" ref="E56">XLOOKUP($D56,REGOLITOS!$A:$A,REGOLITOS!E:E)</f>
        <v>88</v>
      </c>
      <c r="F56" s="48" t="str">
        <f t="array" ref="F56">XLOOKUP($D56,REGOLITOS!$A:$A,REGOLITOS!F:F)</f>
        <v>Desconocido</v>
      </c>
      <c r="G56" s="48" t="str">
        <f t="array" ref="G56">XLOOKUP($D56,REGOLITOS!$A:$A,REGOLITOS!G:G)</f>
        <v>Ciudad de México</v>
      </c>
      <c r="H56" s="48" t="str">
        <f t="array" ref="H56">XLOOKUP($D56,REGOLITOS!$A:$A,REGOLITOS!H:H)</f>
        <v>55 55 0087 0087</v>
      </c>
      <c r="I56" s="48" t="str">
        <f t="array" ref="I56">XLOOKUP($D56,REGOLITOS!$A:$A,REGOLITOS!I:I)</f>
        <v>usuario87@ejemplo.com</v>
      </c>
      <c r="J56" s="48" t="str">
        <f t="array" ref="J56">XLOOKUP($D56,REGOLITOS!$A:$A,REGOLITOS!J:J)</f>
        <v/>
      </c>
      <c r="K56" s="48" t="str">
        <f t="array" ref="K56">XLOOKUP($D56,REGOLITOS!$A:$A,REGOLITOS!K:K)</f>
        <v>Adulto Mayor</v>
      </c>
      <c r="L56" s="48">
        <v>160.0</v>
      </c>
      <c r="M56" s="5" t="s">
        <v>1078</v>
      </c>
      <c r="N56" s="5" t="s">
        <v>1078</v>
      </c>
      <c r="O56" s="5" t="s">
        <v>1078</v>
      </c>
      <c r="P56" s="5" t="s">
        <v>1078</v>
      </c>
      <c r="Q56" s="5" t="s">
        <v>1080</v>
      </c>
      <c r="X56" s="71">
        <f t="shared" si="1"/>
        <v>4</v>
      </c>
      <c r="Y56" s="5" t="b">
        <v>1</v>
      </c>
    </row>
    <row r="57">
      <c r="A57" s="31" t="s">
        <v>27</v>
      </c>
      <c r="B57" s="31">
        <f t="array" ref="B57">XLOOKUP(A57, CURSOS!A:A, CURSOS!B:B)</f>
        <v>5</v>
      </c>
      <c r="C57" s="12" t="str">
        <f t="array" ref="C57">XLOOKUP(A57, CURSOS!A:A, CURSOS!C:C)</f>
        <v>EL ROMPECABEZAS DEL CIELO</v>
      </c>
      <c r="D57" s="70" t="s">
        <v>258</v>
      </c>
      <c r="E57" s="48">
        <f t="array" ref="E57">XLOOKUP($D57,REGOLITOS!$A:$A,REGOLITOS!E:E)</f>
        <v>66</v>
      </c>
      <c r="F57" s="48" t="str">
        <f t="array" ref="F57">XLOOKUP($D57,REGOLITOS!$A:$A,REGOLITOS!F:F)</f>
        <v>Estudiante HS</v>
      </c>
      <c r="G57" s="48" t="str">
        <f t="array" ref="G57">XLOOKUP($D57,REGOLITOS!$A:$A,REGOLITOS!G:G)</f>
        <v>Jalisco</v>
      </c>
      <c r="H57" s="48" t="str">
        <f t="array" ref="H57">XLOOKUP($D57,REGOLITOS!$A:$A,REGOLITOS!H:H)</f>
        <v>55 55 0103 0103</v>
      </c>
      <c r="I57" s="48" t="str">
        <f t="array" ref="I57">XLOOKUP($D57,REGOLITOS!$A:$A,REGOLITOS!I:I)</f>
        <v>usuario103@ejemplo.com</v>
      </c>
      <c r="J57" s="48" t="str">
        <f t="array" ref="J57">XLOOKUP($D57,REGOLITOS!$A:$A,REGOLITOS!J:J)</f>
        <v/>
      </c>
      <c r="K57" s="48" t="str">
        <f t="array" ref="K57">XLOOKUP($D57,REGOLITOS!$A:$A,REGOLITOS!K:K)</f>
        <v>Adulto Mayor</v>
      </c>
      <c r="L57" s="48">
        <v>160.0</v>
      </c>
      <c r="M57" s="5" t="s">
        <v>1078</v>
      </c>
      <c r="N57" s="5" t="s">
        <v>1078</v>
      </c>
      <c r="O57" s="5" t="s">
        <v>1078</v>
      </c>
      <c r="P57" s="5" t="s">
        <v>1078</v>
      </c>
      <c r="Q57" s="5" t="s">
        <v>1078</v>
      </c>
      <c r="X57" s="71">
        <f t="shared" si="1"/>
        <v>5</v>
      </c>
      <c r="Y57" s="5" t="b">
        <v>1</v>
      </c>
    </row>
    <row r="58">
      <c r="A58" s="31" t="s">
        <v>27</v>
      </c>
      <c r="B58" s="31">
        <f t="array" ref="B58">XLOOKUP(A58, CURSOS!A:A, CURSOS!B:B)</f>
        <v>5</v>
      </c>
      <c r="C58" s="12" t="str">
        <f t="array" ref="C58">XLOOKUP(A58, CURSOS!A:A, CURSOS!C:C)</f>
        <v>EL ROMPECABEZAS DEL CIELO</v>
      </c>
      <c r="D58" s="70" t="s">
        <v>110</v>
      </c>
      <c r="E58" s="48">
        <f t="array" ref="E58">XLOOKUP($D58,REGOLITOS!$A:$A,REGOLITOS!E:E)</f>
        <v>75</v>
      </c>
      <c r="F58" s="48" t="str">
        <f t="array" ref="F58">XLOOKUP($D58,REGOLITOS!$A:$A,REGOLITOS!F:F)</f>
        <v>Investigadora</v>
      </c>
      <c r="G58" s="48" t="str">
        <f t="array" ref="G58">XLOOKUP($D58,REGOLITOS!$A:$A,REGOLITOS!G:G)</f>
        <v>Ciudad de México</v>
      </c>
      <c r="H58" s="48" t="str">
        <f t="array" ref="H58">XLOOKUP($D58,REGOLITOS!$A:$A,REGOLITOS!H:H)</f>
        <v>55 55 0008 0008</v>
      </c>
      <c r="I58" s="48" t="str">
        <f t="array" ref="I58">XLOOKUP($D58,REGOLITOS!$A:$A,REGOLITOS!I:I)</f>
        <v>usuario8@ejemplo.com</v>
      </c>
      <c r="J58" s="48" t="str">
        <f t="array" ref="J58">XLOOKUP($D58,REGOLITOS!$A:$A,REGOLITOS!J:J)</f>
        <v/>
      </c>
      <c r="K58" s="48" t="str">
        <f t="array" ref="K58">XLOOKUP($D58,REGOLITOS!$A:$A,REGOLITOS!K:K)</f>
        <v>Adulto Mayor</v>
      </c>
      <c r="L58" s="48">
        <v>200.0</v>
      </c>
      <c r="M58" s="5" t="s">
        <v>1078</v>
      </c>
      <c r="N58" s="5" t="s">
        <v>1078</v>
      </c>
      <c r="O58" s="5" t="s">
        <v>1078</v>
      </c>
      <c r="P58" s="5" t="s">
        <v>1078</v>
      </c>
      <c r="Q58" s="5" t="s">
        <v>1078</v>
      </c>
      <c r="X58" s="71">
        <f t="shared" si="1"/>
        <v>5</v>
      </c>
      <c r="Y58" s="5" t="b">
        <v>1</v>
      </c>
    </row>
    <row r="59">
      <c r="A59" s="31" t="s">
        <v>27</v>
      </c>
      <c r="B59" s="31">
        <f t="array" ref="B59">XLOOKUP(A59, CURSOS!A:A, CURSOS!B:B)</f>
        <v>5</v>
      </c>
      <c r="C59" s="12" t="str">
        <f t="array" ref="C59">XLOOKUP(A59, CURSOS!A:A, CURSOS!C:C)</f>
        <v>EL ROMPECABEZAS DEL CIELO</v>
      </c>
      <c r="D59" s="70" t="s">
        <v>292</v>
      </c>
      <c r="E59" s="48">
        <f t="array" ref="E59">XLOOKUP($D59,REGOLITOS!$A:$A,REGOLITOS!E:E)</f>
        <v>46</v>
      </c>
      <c r="F59" s="48" t="str">
        <f t="array" ref="F59">XLOOKUP($D59,REGOLITOS!$A:$A,REGOLITOS!F:F)</f>
        <v>Administración</v>
      </c>
      <c r="G59" s="48" t="str">
        <f t="array" ref="G59">XLOOKUP($D59,REGOLITOS!$A:$A,REGOLITOS!G:G)</f>
        <v>Ciudad de México</v>
      </c>
      <c r="H59" s="48" t="str">
        <f t="array" ref="H59">XLOOKUP($D59,REGOLITOS!$A:$A,REGOLITOS!H:H)</f>
        <v>55 55 0128 0128</v>
      </c>
      <c r="I59" s="48" t="str">
        <f t="array" ref="I59">XLOOKUP($D59,REGOLITOS!$A:$A,REGOLITOS!I:I)</f>
        <v>usuario128@ejemplo.com</v>
      </c>
      <c r="J59" s="48" t="str">
        <f t="array" ref="J59">XLOOKUP($D59,REGOLITOS!$A:$A,REGOLITOS!J:J)</f>
        <v/>
      </c>
      <c r="K59" s="48" t="str">
        <f t="array" ref="K59">XLOOKUP($D59,REGOLITOS!$A:$A,REGOLITOS!K:K)</f>
        <v>Adulto</v>
      </c>
      <c r="L59" s="48">
        <v>160.0</v>
      </c>
      <c r="M59" s="5" t="s">
        <v>1080</v>
      </c>
      <c r="N59" s="5" t="s">
        <v>1078</v>
      </c>
      <c r="O59" s="5" t="s">
        <v>1078</v>
      </c>
      <c r="P59" s="5" t="s">
        <v>1078</v>
      </c>
      <c r="Q59" s="5" t="s">
        <v>1078</v>
      </c>
      <c r="X59" s="71">
        <f t="shared" si="1"/>
        <v>4</v>
      </c>
      <c r="Y59" s="5" t="b">
        <v>1</v>
      </c>
    </row>
    <row r="60">
      <c r="A60" s="31" t="s">
        <v>27</v>
      </c>
      <c r="B60" s="31">
        <f t="array" ref="B60">XLOOKUP(A60, CURSOS!A:A, CURSOS!B:B)</f>
        <v>5</v>
      </c>
      <c r="C60" s="12" t="str">
        <f t="array" ref="C60">XLOOKUP(A60, CURSOS!A:A, CURSOS!C:C)</f>
        <v>EL ROMPECABEZAS DEL CIELO</v>
      </c>
      <c r="D60" s="70" t="s">
        <v>232</v>
      </c>
      <c r="E60" s="48">
        <f t="array" ref="E60">XLOOKUP($D60,REGOLITOS!$A:$A,REGOLITOS!E:E)</f>
        <v>18</v>
      </c>
      <c r="F60" s="48" t="str">
        <f t="array" ref="F60">XLOOKUP($D60,REGOLITOS!$A:$A,REGOLITOS!F:F)</f>
        <v>Estudiante</v>
      </c>
      <c r="G60" s="48" t="str">
        <f t="array" ref="G60">XLOOKUP($D60,REGOLITOS!$A:$A,REGOLITOS!G:G)</f>
        <v>Hidalgo</v>
      </c>
      <c r="H60" s="48" t="str">
        <f t="array" ref="H60">XLOOKUP($D60,REGOLITOS!$A:$A,REGOLITOS!H:H)</f>
        <v>55 55 0085 0085</v>
      </c>
      <c r="I60" s="48" t="str">
        <f t="array" ref="I60">XLOOKUP($D60,REGOLITOS!$A:$A,REGOLITOS!I:I)</f>
        <v>usuario85@ejemplo.com</v>
      </c>
      <c r="J60" s="48" t="str">
        <f t="array" ref="J60">XLOOKUP($D60,REGOLITOS!$A:$A,REGOLITOS!J:J)</f>
        <v>Tutor_085</v>
      </c>
      <c r="K60" s="48" t="str">
        <f t="array" ref="K60">XLOOKUP($D60,REGOLITOS!$A:$A,REGOLITOS!K:K)</f>
        <v>Jóven adulto</v>
      </c>
      <c r="L60" s="48">
        <v>160.0</v>
      </c>
      <c r="M60" s="5" t="s">
        <v>1078</v>
      </c>
      <c r="N60" s="5" t="s">
        <v>1080</v>
      </c>
      <c r="O60" s="5" t="s">
        <v>1078</v>
      </c>
      <c r="P60" s="5" t="s">
        <v>1078</v>
      </c>
      <c r="Q60" s="5" t="s">
        <v>1078</v>
      </c>
      <c r="X60" s="71">
        <f t="shared" si="1"/>
        <v>4</v>
      </c>
      <c r="Y60" s="5" t="b">
        <v>1</v>
      </c>
    </row>
    <row r="61">
      <c r="A61" s="31" t="s">
        <v>27</v>
      </c>
      <c r="B61" s="31">
        <f t="array" ref="B61">XLOOKUP(A61, CURSOS!A:A, CURSOS!B:B)</f>
        <v>5</v>
      </c>
      <c r="C61" s="12" t="str">
        <f t="array" ref="C61">XLOOKUP(A61, CURSOS!A:A, CURSOS!C:C)</f>
        <v>EL ROMPECABEZAS DEL CIELO</v>
      </c>
      <c r="D61" s="70" t="s">
        <v>206</v>
      </c>
      <c r="E61" s="48">
        <f t="array" ref="E61">XLOOKUP($D61,REGOLITOS!$A:$A,REGOLITOS!E:E)</f>
        <v>15</v>
      </c>
      <c r="F61" s="48" t="str">
        <f t="array" ref="F61">XLOOKUP($D61,REGOLITOS!$A:$A,REGOLITOS!F:F)</f>
        <v>Ingeniería Sistemas</v>
      </c>
      <c r="G61" s="48" t="str">
        <f t="array" ref="G61">XLOOKUP($D61,REGOLITOS!$A:$A,REGOLITOS!G:G)</f>
        <v>Morelos</v>
      </c>
      <c r="H61" s="48" t="str">
        <f t="array" ref="H61">XLOOKUP($D61,REGOLITOS!$A:$A,REGOLITOS!H:H)</f>
        <v>55 55 0068 0068</v>
      </c>
      <c r="I61" s="48" t="str">
        <f t="array" ref="I61">XLOOKUP($D61,REGOLITOS!$A:$A,REGOLITOS!I:I)</f>
        <v>usuario68@ejemplo.com</v>
      </c>
      <c r="J61" s="48" t="str">
        <f t="array" ref="J61">XLOOKUP($D61,REGOLITOS!$A:$A,REGOLITOS!J:J)</f>
        <v>Tutor_068</v>
      </c>
      <c r="K61" s="48" t="str">
        <f t="array" ref="K61">XLOOKUP($D61,REGOLITOS!$A:$A,REGOLITOS!K:K)</f>
        <v>Adolescente</v>
      </c>
      <c r="L61" s="48">
        <v>200.0</v>
      </c>
      <c r="M61" s="5" t="s">
        <v>1078</v>
      </c>
      <c r="N61" s="5" t="s">
        <v>1080</v>
      </c>
      <c r="O61" s="5" t="s">
        <v>1078</v>
      </c>
      <c r="P61" s="5" t="s">
        <v>1078</v>
      </c>
      <c r="Q61" s="5" t="s">
        <v>1078</v>
      </c>
      <c r="X61" s="71">
        <f t="shared" si="1"/>
        <v>4</v>
      </c>
      <c r="Y61" s="5" t="b">
        <v>1</v>
      </c>
    </row>
    <row r="62">
      <c r="A62" s="31" t="s">
        <v>27</v>
      </c>
      <c r="B62" s="31">
        <f t="array" ref="B62">XLOOKUP(A62, CURSOS!A:A, CURSOS!B:B)</f>
        <v>5</v>
      </c>
      <c r="C62" s="12" t="str">
        <f t="array" ref="C62">XLOOKUP(A62, CURSOS!A:A, CURSOS!C:C)</f>
        <v>EL ROMPECABEZAS DEL CIELO</v>
      </c>
      <c r="D62" s="70" t="s">
        <v>119</v>
      </c>
      <c r="E62" s="48">
        <f t="array" ref="E62">XLOOKUP($D62,REGOLITOS!$A:$A,REGOLITOS!E:E)</f>
        <v>81</v>
      </c>
      <c r="F62" s="48" t="str">
        <f t="array" ref="F62">XLOOKUP($D62,REGOLITOS!$A:$A,REGOLITOS!F:F)</f>
        <v>Estudiante</v>
      </c>
      <c r="G62" s="48" t="str">
        <f t="array" ref="G62">XLOOKUP($D62,REGOLITOS!$A:$A,REGOLITOS!G:G)</f>
        <v>Sinaloa</v>
      </c>
      <c r="H62" s="48" t="str">
        <f t="array" ref="H62">XLOOKUP($D62,REGOLITOS!$A:$A,REGOLITOS!H:H)</f>
        <v>55 55 0014 0014</v>
      </c>
      <c r="I62" s="48" t="str">
        <f t="array" ref="I62">XLOOKUP($D62,REGOLITOS!$A:$A,REGOLITOS!I:I)</f>
        <v>usuario14@ejemplo.com</v>
      </c>
      <c r="J62" s="48" t="str">
        <f t="array" ref="J62">XLOOKUP($D62,REGOLITOS!$A:$A,REGOLITOS!J:J)</f>
        <v/>
      </c>
      <c r="K62" s="48" t="str">
        <f t="array" ref="K62">XLOOKUP($D62,REGOLITOS!$A:$A,REGOLITOS!K:K)</f>
        <v>Adulto Mayor</v>
      </c>
      <c r="L62" s="48">
        <v>160.0</v>
      </c>
      <c r="M62" s="5" t="s">
        <v>1078</v>
      </c>
      <c r="N62" s="5" t="s">
        <v>1078</v>
      </c>
      <c r="O62" s="5" t="s">
        <v>1078</v>
      </c>
      <c r="P62" s="5" t="s">
        <v>1080</v>
      </c>
      <c r="Q62" s="5" t="s">
        <v>1078</v>
      </c>
      <c r="X62" s="71">
        <f t="shared" si="1"/>
        <v>4</v>
      </c>
      <c r="Y62" s="5" t="b">
        <v>1</v>
      </c>
    </row>
    <row r="63">
      <c r="A63" s="31" t="s">
        <v>27</v>
      </c>
      <c r="B63" s="31">
        <f t="array" ref="B63">XLOOKUP(A63, CURSOS!A:A, CURSOS!B:B)</f>
        <v>5</v>
      </c>
      <c r="C63" s="12" t="str">
        <f t="array" ref="C63">XLOOKUP(A63, CURSOS!A:A, CURSOS!C:C)</f>
        <v>EL ROMPECABEZAS DEL CIELO</v>
      </c>
      <c r="D63" s="70" t="s">
        <v>328</v>
      </c>
      <c r="E63" s="48">
        <f t="array" ref="E63">XLOOKUP($D63,REGOLITOS!$A:$A,REGOLITOS!E:E)</f>
        <v>45</v>
      </c>
      <c r="F63" s="48" t="str">
        <f t="array" ref="F63">XLOOKUP($D63,REGOLITOS!$A:$A,REGOLITOS!F:F)</f>
        <v>Desconocido</v>
      </c>
      <c r="G63" s="48" t="str">
        <f t="array" ref="G63">XLOOKUP($D63,REGOLITOS!$A:$A,REGOLITOS!G:G)</f>
        <v>México</v>
      </c>
      <c r="H63" s="48" t="str">
        <f t="array" ref="H63">XLOOKUP($D63,REGOLITOS!$A:$A,REGOLITOS!H:H)</f>
        <v>55 55 0151 0151</v>
      </c>
      <c r="I63" s="48" t="str">
        <f t="array" ref="I63">XLOOKUP($D63,REGOLITOS!$A:$A,REGOLITOS!I:I)</f>
        <v>usuario151@ejemplo.com</v>
      </c>
      <c r="J63" s="48" t="str">
        <f t="array" ref="J63">XLOOKUP($D63,REGOLITOS!$A:$A,REGOLITOS!J:J)</f>
        <v/>
      </c>
      <c r="K63" s="48" t="str">
        <f t="array" ref="K63">XLOOKUP($D63,REGOLITOS!$A:$A,REGOLITOS!K:K)</f>
        <v>Adulto</v>
      </c>
      <c r="L63" s="48">
        <v>200.0</v>
      </c>
      <c r="M63" s="5" t="s">
        <v>1080</v>
      </c>
      <c r="N63" s="5" t="s">
        <v>1078</v>
      </c>
      <c r="O63" s="5" t="s">
        <v>1078</v>
      </c>
      <c r="P63" s="5" t="s">
        <v>1078</v>
      </c>
      <c r="Q63" s="5" t="s">
        <v>1080</v>
      </c>
      <c r="X63" s="71">
        <f t="shared" si="1"/>
        <v>3</v>
      </c>
      <c r="Y63" s="5" t="b">
        <v>0</v>
      </c>
    </row>
    <row r="64">
      <c r="A64" s="31" t="s">
        <v>27</v>
      </c>
      <c r="B64" s="31">
        <f t="array" ref="B64">XLOOKUP(A64, CURSOS!A:A, CURSOS!B:B)</f>
        <v>5</v>
      </c>
      <c r="C64" s="12" t="str">
        <f t="array" ref="C64">XLOOKUP(A64, CURSOS!A:A, CURSOS!C:C)</f>
        <v>EL ROMPECABEZAS DEL CIELO</v>
      </c>
      <c r="D64" s="70" t="s">
        <v>349</v>
      </c>
      <c r="E64" s="48">
        <f t="array" ref="E64">XLOOKUP($D64,REGOLITOS!$A:$A,REGOLITOS!E:E)</f>
        <v>47</v>
      </c>
      <c r="F64" s="48" t="str">
        <f t="array" ref="F64">XLOOKUP($D64,REGOLITOS!$A:$A,REGOLITOS!F:F)</f>
        <v>Desconocido</v>
      </c>
      <c r="G64" s="48" t="str">
        <f t="array" ref="G64">XLOOKUP($D64,REGOLITOS!$A:$A,REGOLITOS!G:G)</f>
        <v>Estado de México</v>
      </c>
      <c r="H64" s="48" t="str">
        <f t="array" ref="H64">XLOOKUP($D64,REGOLITOS!$A:$A,REGOLITOS!H:H)</f>
        <v>55 55 0166 0166</v>
      </c>
      <c r="I64" s="48" t="str">
        <f t="array" ref="I64">XLOOKUP($D64,REGOLITOS!$A:$A,REGOLITOS!I:I)</f>
        <v>usuario166@ejemplo.com</v>
      </c>
      <c r="J64" s="48" t="str">
        <f t="array" ref="J64">XLOOKUP($D64,REGOLITOS!$A:$A,REGOLITOS!J:J)</f>
        <v/>
      </c>
      <c r="K64" s="48" t="str">
        <f t="array" ref="K64">XLOOKUP($D64,REGOLITOS!$A:$A,REGOLITOS!K:K)</f>
        <v>Adulto</v>
      </c>
      <c r="L64" s="48">
        <v>160.0</v>
      </c>
      <c r="M64" s="5" t="s">
        <v>1078</v>
      </c>
      <c r="N64" s="5" t="s">
        <v>1080</v>
      </c>
      <c r="O64" s="5" t="s">
        <v>1078</v>
      </c>
      <c r="P64" s="5" t="s">
        <v>1078</v>
      </c>
      <c r="Q64" s="5" t="s">
        <v>1080</v>
      </c>
      <c r="X64" s="71">
        <f t="shared" si="1"/>
        <v>3</v>
      </c>
      <c r="Y64" s="5" t="b">
        <v>0</v>
      </c>
    </row>
    <row r="65">
      <c r="A65" s="31" t="s">
        <v>27</v>
      </c>
      <c r="B65" s="31">
        <f t="array" ref="B65">XLOOKUP(A65, CURSOS!A:A, CURSOS!B:B)</f>
        <v>5</v>
      </c>
      <c r="C65" s="12" t="str">
        <f t="array" ref="C65">XLOOKUP(A65, CURSOS!A:A, CURSOS!C:C)</f>
        <v>EL ROMPECABEZAS DEL CIELO</v>
      </c>
      <c r="D65" s="70" t="s">
        <v>156</v>
      </c>
      <c r="E65" s="48">
        <f t="array" ref="E65">XLOOKUP($D65,REGOLITOS!$A:$A,REGOLITOS!E:E)</f>
        <v>48</v>
      </c>
      <c r="F65" s="48" t="str">
        <f t="array" ref="F65">XLOOKUP($D65,REGOLITOS!$A:$A,REGOLITOS!F:F)</f>
        <v>Desconocido</v>
      </c>
      <c r="G65" s="48" t="str">
        <f t="array" ref="G65">XLOOKUP($D65,REGOLITOS!$A:$A,REGOLITOS!G:G)</f>
        <v>Ciudad de México</v>
      </c>
      <c r="H65" s="48" t="str">
        <f t="array" ref="H65">XLOOKUP($D65,REGOLITOS!$A:$A,REGOLITOS!H:H)</f>
        <v>55 55 0034 0034</v>
      </c>
      <c r="I65" s="48" t="str">
        <f t="array" ref="I65">XLOOKUP($D65,REGOLITOS!$A:$A,REGOLITOS!I:I)</f>
        <v>usuario34@ejemplo.com</v>
      </c>
      <c r="J65" s="48" t="str">
        <f t="array" ref="J65">XLOOKUP($D65,REGOLITOS!$A:$A,REGOLITOS!J:J)</f>
        <v/>
      </c>
      <c r="K65" s="48" t="str">
        <f t="array" ref="K65">XLOOKUP($D65,REGOLITOS!$A:$A,REGOLITOS!K:K)</f>
        <v>Adulto</v>
      </c>
      <c r="L65" s="48">
        <v>200.0</v>
      </c>
      <c r="M65" s="5" t="s">
        <v>1078</v>
      </c>
      <c r="N65" s="5" t="s">
        <v>1078</v>
      </c>
      <c r="O65" s="5" t="s">
        <v>1078</v>
      </c>
      <c r="P65" s="5" t="s">
        <v>1080</v>
      </c>
      <c r="Q65" s="5" t="s">
        <v>1080</v>
      </c>
      <c r="X65" s="71">
        <f t="shared" si="1"/>
        <v>3</v>
      </c>
      <c r="Y65" s="5" t="b">
        <v>0</v>
      </c>
    </row>
    <row r="66">
      <c r="A66" s="31" t="s">
        <v>27</v>
      </c>
      <c r="B66" s="31">
        <f t="array" ref="B66">XLOOKUP(A66, CURSOS!A:A, CURSOS!B:B)</f>
        <v>5</v>
      </c>
      <c r="C66" s="12" t="str">
        <f t="array" ref="C66">XLOOKUP(A66, CURSOS!A:A, CURSOS!C:C)</f>
        <v>EL ROMPECABEZAS DEL CIELO</v>
      </c>
      <c r="D66" s="70" t="s">
        <v>361</v>
      </c>
      <c r="E66" s="48">
        <f t="array" ref="E66">XLOOKUP($D66,REGOLITOS!$A:$A,REGOLITOS!E:E)</f>
        <v>22</v>
      </c>
      <c r="F66" s="48" t="str">
        <f t="array" ref="F66">XLOOKUP($D66,REGOLITOS!$A:$A,REGOLITOS!F:F)</f>
        <v>Desconocido</v>
      </c>
      <c r="G66" s="48" t="str">
        <f t="array" ref="G66">XLOOKUP($D66,REGOLITOS!$A:$A,REGOLITOS!G:G)</f>
        <v>Desconocido</v>
      </c>
      <c r="H66" s="48" t="str">
        <f t="array" ref="H66">XLOOKUP($D66,REGOLITOS!$A:$A,REGOLITOS!H:H)</f>
        <v>55 55 0175 0175</v>
      </c>
      <c r="I66" s="48" t="str">
        <f t="array" ref="I66">XLOOKUP($D66,REGOLITOS!$A:$A,REGOLITOS!I:I)</f>
        <v>usuario175@ejemplo.com</v>
      </c>
      <c r="J66" s="48" t="str">
        <f t="array" ref="J66">XLOOKUP($D66,REGOLITOS!$A:$A,REGOLITOS!J:J)</f>
        <v/>
      </c>
      <c r="K66" s="48" t="str">
        <f t="array" ref="K66">XLOOKUP($D66,REGOLITOS!$A:$A,REGOLITOS!K:K)</f>
        <v>Jóven adulto</v>
      </c>
      <c r="L66" s="48">
        <v>200.0</v>
      </c>
      <c r="M66" s="5" t="s">
        <v>1080</v>
      </c>
      <c r="N66" s="5" t="s">
        <v>1078</v>
      </c>
      <c r="O66" s="5" t="s">
        <v>1080</v>
      </c>
      <c r="P66" s="5" t="s">
        <v>1078</v>
      </c>
      <c r="Q66" s="5" t="s">
        <v>1078</v>
      </c>
      <c r="X66" s="71">
        <f t="shared" si="1"/>
        <v>3</v>
      </c>
      <c r="Y66" s="5" t="b">
        <v>0</v>
      </c>
    </row>
    <row r="67">
      <c r="A67" s="31" t="s">
        <v>27</v>
      </c>
      <c r="B67" s="31">
        <f t="array" ref="B67">XLOOKUP(A67, CURSOS!A:A, CURSOS!B:B)</f>
        <v>5</v>
      </c>
      <c r="C67" s="12" t="str">
        <f t="array" ref="C67">XLOOKUP(A67, CURSOS!A:A, CURSOS!C:C)</f>
        <v>EL ROMPECABEZAS DEL CIELO</v>
      </c>
      <c r="D67" s="70" t="s">
        <v>289</v>
      </c>
      <c r="E67" s="48">
        <f t="array" ref="E67">XLOOKUP($D67,REGOLITOS!$A:$A,REGOLITOS!E:E)</f>
        <v>59</v>
      </c>
      <c r="F67" s="48" t="str">
        <f t="array" ref="F67">XLOOKUP($D67,REGOLITOS!$A:$A,REGOLITOS!F:F)</f>
        <v>Desconocido</v>
      </c>
      <c r="G67" s="48" t="str">
        <f t="array" ref="G67">XLOOKUP($D67,REGOLITOS!$A:$A,REGOLITOS!G:G)</f>
        <v>Veracruz</v>
      </c>
      <c r="H67" s="48" t="str">
        <f t="array" ref="H67">XLOOKUP($D67,REGOLITOS!$A:$A,REGOLITOS!H:H)</f>
        <v>55 55 0126 0126</v>
      </c>
      <c r="I67" s="48" t="str">
        <f t="array" ref="I67">XLOOKUP($D67,REGOLITOS!$A:$A,REGOLITOS!I:I)</f>
        <v>usuario126@ejemplo.com</v>
      </c>
      <c r="J67" s="48" t="str">
        <f t="array" ref="J67">XLOOKUP($D67,REGOLITOS!$A:$A,REGOLITOS!J:J)</f>
        <v/>
      </c>
      <c r="K67" s="48" t="str">
        <f t="array" ref="K67">XLOOKUP($D67,REGOLITOS!$A:$A,REGOLITOS!K:K)</f>
        <v>Adulto</v>
      </c>
      <c r="L67" s="48">
        <v>200.0</v>
      </c>
      <c r="M67" s="5" t="s">
        <v>1078</v>
      </c>
      <c r="N67" s="5" t="s">
        <v>1080</v>
      </c>
      <c r="O67" s="5" t="s">
        <v>1080</v>
      </c>
      <c r="P67" s="5" t="s">
        <v>1078</v>
      </c>
      <c r="Q67" s="5" t="s">
        <v>1080</v>
      </c>
      <c r="X67" s="71">
        <f t="shared" si="1"/>
        <v>2</v>
      </c>
      <c r="Y67" s="5" t="b">
        <v>0</v>
      </c>
    </row>
    <row r="68">
      <c r="A68" s="31" t="s">
        <v>27</v>
      </c>
      <c r="B68" s="31">
        <f t="array" ref="B68">XLOOKUP(A68, CURSOS!A:A, CURSOS!B:B)</f>
        <v>5</v>
      </c>
      <c r="C68" s="12" t="str">
        <f t="array" ref="C68">XLOOKUP(A68, CURSOS!A:A, CURSOS!C:C)</f>
        <v>EL ROMPECABEZAS DEL CIELO</v>
      </c>
      <c r="D68" s="70" t="s">
        <v>278</v>
      </c>
      <c r="E68" s="48">
        <f t="array" ref="E68">XLOOKUP($D68,REGOLITOS!$A:$A,REGOLITOS!E:E)</f>
        <v>41</v>
      </c>
      <c r="F68" s="48" t="str">
        <f t="array" ref="F68">XLOOKUP($D68,REGOLITOS!$A:$A,REGOLITOS!F:F)</f>
        <v>Desconocido</v>
      </c>
      <c r="G68" s="48" t="str">
        <f t="array" ref="G68">XLOOKUP($D68,REGOLITOS!$A:$A,REGOLITOS!G:G)</f>
        <v>Ciudad de México</v>
      </c>
      <c r="H68" s="48" t="str">
        <f t="array" ref="H68">XLOOKUP($D68,REGOLITOS!$A:$A,REGOLITOS!H:H)</f>
        <v>55 55 0117 0117</v>
      </c>
      <c r="I68" s="48" t="str">
        <f t="array" ref="I68">XLOOKUP($D68,REGOLITOS!$A:$A,REGOLITOS!I:I)</f>
        <v>usuario117@ejemplo.com</v>
      </c>
      <c r="J68" s="48" t="str">
        <f t="array" ref="J68">XLOOKUP($D68,REGOLITOS!$A:$A,REGOLITOS!J:J)</f>
        <v/>
      </c>
      <c r="K68" s="48" t="str">
        <f t="array" ref="K68">XLOOKUP($D68,REGOLITOS!$A:$A,REGOLITOS!K:K)</f>
        <v>Adulto</v>
      </c>
      <c r="L68" s="48">
        <v>200.0</v>
      </c>
      <c r="M68" s="5" t="s">
        <v>1078</v>
      </c>
      <c r="N68" s="5" t="s">
        <v>1080</v>
      </c>
      <c r="O68" s="5" t="s">
        <v>1078</v>
      </c>
      <c r="P68" s="5" t="s">
        <v>1080</v>
      </c>
      <c r="Q68" s="5" t="s">
        <v>1080</v>
      </c>
      <c r="X68" s="71">
        <f t="shared" si="1"/>
        <v>2</v>
      </c>
      <c r="Y68" s="5" t="b">
        <v>0</v>
      </c>
    </row>
    <row r="69">
      <c r="A69" s="31" t="s">
        <v>27</v>
      </c>
      <c r="B69" s="31">
        <f t="array" ref="B69">XLOOKUP(A69, CURSOS!A:A, CURSOS!B:B)</f>
        <v>5</v>
      </c>
      <c r="C69" s="12" t="str">
        <f t="array" ref="C69">XLOOKUP(A69, CURSOS!A:A, CURSOS!C:C)</f>
        <v>EL ROMPECABEZAS DEL CIELO</v>
      </c>
      <c r="D69" s="70" t="s">
        <v>102</v>
      </c>
      <c r="E69" s="48">
        <f t="array" ref="E69">XLOOKUP($D69,REGOLITOS!$A:$A,REGOLITOS!E:E)</f>
        <v>49</v>
      </c>
      <c r="F69" s="48" t="str">
        <f t="array" ref="F69">XLOOKUP($D69,REGOLITOS!$A:$A,REGOLITOS!F:F)</f>
        <v>Desconocido</v>
      </c>
      <c r="G69" s="48" t="str">
        <f t="array" ref="G69">XLOOKUP($D69,REGOLITOS!$A:$A,REGOLITOS!G:G)</f>
        <v>Veracruz</v>
      </c>
      <c r="H69" s="48" t="str">
        <f t="array" ref="H69">XLOOKUP($D69,REGOLITOS!$A:$A,REGOLITOS!H:H)</f>
        <v>55 55 0005 0005</v>
      </c>
      <c r="I69" s="48" t="str">
        <f t="array" ref="I69">XLOOKUP($D69,REGOLITOS!$A:$A,REGOLITOS!I:I)</f>
        <v>usuario5@ejemplo.com</v>
      </c>
      <c r="J69" s="48" t="str">
        <f t="array" ref="J69">XLOOKUP($D69,REGOLITOS!$A:$A,REGOLITOS!J:J)</f>
        <v/>
      </c>
      <c r="K69" s="48" t="str">
        <f t="array" ref="K69">XLOOKUP($D69,REGOLITOS!$A:$A,REGOLITOS!K:K)</f>
        <v>Adulto</v>
      </c>
      <c r="L69" s="48">
        <v>200.0</v>
      </c>
      <c r="M69" s="5" t="s">
        <v>1078</v>
      </c>
      <c r="N69" s="5" t="s">
        <v>1078</v>
      </c>
      <c r="O69" s="5" t="s">
        <v>1078</v>
      </c>
      <c r="P69" s="5" t="s">
        <v>1078</v>
      </c>
      <c r="Q69" s="5" t="s">
        <v>1080</v>
      </c>
      <c r="X69" s="71"/>
      <c r="Y69" s="5" t="b">
        <v>1</v>
      </c>
    </row>
    <row r="70">
      <c r="A70" s="31" t="s">
        <v>27</v>
      </c>
      <c r="B70" s="31">
        <f t="array" ref="B70">XLOOKUP(A70, CURSOS!A:A, CURSOS!B:B)</f>
        <v>5</v>
      </c>
      <c r="C70" s="12" t="str">
        <f t="array" ref="C70">XLOOKUP(A70, CURSOS!A:A, CURSOS!C:C)</f>
        <v>EL ROMPECABEZAS DEL CIELO</v>
      </c>
      <c r="D70" s="70" t="s">
        <v>373</v>
      </c>
      <c r="E70" s="48">
        <f t="array" ref="E70">XLOOKUP($D70,REGOLITOS!$A:$A,REGOLITOS!E:E)</f>
        <v>25</v>
      </c>
      <c r="F70" s="48" t="str">
        <f t="array" ref="F70">XLOOKUP($D70,REGOLITOS!$A:$A,REGOLITOS!F:F)</f>
        <v>Empleado</v>
      </c>
      <c r="G70" s="48" t="str">
        <f t="array" ref="G70">XLOOKUP($D70,REGOLITOS!$A:$A,REGOLITOS!G:G)</f>
        <v>Querétaro</v>
      </c>
      <c r="H70" s="48" t="str">
        <f t="array" ref="H70">XLOOKUP($D70,REGOLITOS!$A:$A,REGOLITOS!H:H)</f>
        <v>55 55 0183 0183</v>
      </c>
      <c r="I70" s="48" t="str">
        <f t="array" ref="I70">XLOOKUP($D70,REGOLITOS!$A:$A,REGOLITOS!I:I)</f>
        <v>usuario183@ejemplo.com</v>
      </c>
      <c r="J70" s="48" t="str">
        <f t="array" ref="J70">XLOOKUP($D70,REGOLITOS!$A:$A,REGOLITOS!J:J)</f>
        <v/>
      </c>
      <c r="K70" s="48" t="str">
        <f t="array" ref="K70">XLOOKUP($D70,REGOLITOS!$A:$A,REGOLITOS!K:K)</f>
        <v>Jóven adulto</v>
      </c>
      <c r="L70" s="48">
        <v>200.0</v>
      </c>
      <c r="M70" s="5" t="s">
        <v>1078</v>
      </c>
      <c r="N70" s="5" t="s">
        <v>1080</v>
      </c>
      <c r="O70" s="5" t="s">
        <v>1078</v>
      </c>
      <c r="P70" s="5" t="s">
        <v>1080</v>
      </c>
      <c r="Q70" s="5" t="s">
        <v>1080</v>
      </c>
      <c r="X70" s="71"/>
      <c r="Y70" s="5" t="b">
        <v>0</v>
      </c>
    </row>
    <row r="71">
      <c r="A71" s="31" t="s">
        <v>27</v>
      </c>
      <c r="B71" s="31">
        <f t="array" ref="B71">XLOOKUP(A71, CURSOS!A:A, CURSOS!B:B)</f>
        <v>5</v>
      </c>
      <c r="C71" s="12" t="str">
        <f t="array" ref="C71">XLOOKUP(A71, CURSOS!A:A, CURSOS!C:C)</f>
        <v>EL ROMPECABEZAS DEL CIELO</v>
      </c>
      <c r="D71" s="70" t="s">
        <v>151</v>
      </c>
      <c r="E71" s="48">
        <f t="array" ref="E71">XLOOKUP($D71,REGOLITOS!$A:$A,REGOLITOS!E:E)</f>
        <v>35</v>
      </c>
      <c r="F71" s="48" t="str">
        <f t="array" ref="F71">XLOOKUP($D71,REGOLITOS!$A:$A,REGOLITOS!F:F)</f>
        <v>Hogar </v>
      </c>
      <c r="G71" s="48" t="str">
        <f t="array" ref="G71">XLOOKUP($D71,REGOLITOS!$A:$A,REGOLITOS!G:G)</f>
        <v>Quintana Roo</v>
      </c>
      <c r="H71" s="48" t="str">
        <f t="array" ref="H71">XLOOKUP($D71,REGOLITOS!$A:$A,REGOLITOS!H:H)</f>
        <v>55 55 0030 0030</v>
      </c>
      <c r="I71" s="48" t="str">
        <f t="array" ref="I71">XLOOKUP($D71,REGOLITOS!$A:$A,REGOLITOS!I:I)</f>
        <v>usuario30@ejemplo.com</v>
      </c>
      <c r="J71" s="48" t="str">
        <f t="array" ref="J71">XLOOKUP($D71,REGOLITOS!$A:$A,REGOLITOS!J:J)</f>
        <v/>
      </c>
      <c r="K71" s="48" t="str">
        <f t="array" ref="K71">XLOOKUP($D71,REGOLITOS!$A:$A,REGOLITOS!K:K)</f>
        <v>Adulto</v>
      </c>
      <c r="L71" s="48">
        <v>200.0</v>
      </c>
      <c r="M71" s="5" t="s">
        <v>1078</v>
      </c>
      <c r="N71" s="5" t="s">
        <v>1080</v>
      </c>
      <c r="O71" s="5" t="s">
        <v>1078</v>
      </c>
      <c r="P71" s="5" t="s">
        <v>1080</v>
      </c>
      <c r="Q71" s="5" t="s">
        <v>1078</v>
      </c>
      <c r="X71" s="71"/>
      <c r="Y71" s="5" t="b">
        <v>0</v>
      </c>
    </row>
    <row r="72">
      <c r="A72" s="31" t="s">
        <v>27</v>
      </c>
      <c r="B72" s="31">
        <f t="array" ref="B72">XLOOKUP(A72, CURSOS!A:A, CURSOS!B:B)</f>
        <v>5</v>
      </c>
      <c r="C72" s="12" t="str">
        <f t="array" ref="C72">XLOOKUP(A72, CURSOS!A:A, CURSOS!C:C)</f>
        <v>EL ROMPECABEZAS DEL CIELO</v>
      </c>
      <c r="D72" s="70" t="s">
        <v>374</v>
      </c>
      <c r="E72" s="48">
        <f t="array" ref="E72">XLOOKUP($D72,REGOLITOS!$A:$A,REGOLITOS!E:E)</f>
        <v>11</v>
      </c>
      <c r="F72" s="48" t="str">
        <f t="array" ref="F72">XLOOKUP($D72,REGOLITOS!$A:$A,REGOLITOS!F:F)</f>
        <v>Docente</v>
      </c>
      <c r="G72" s="48" t="str">
        <f t="array" ref="G72">XLOOKUP($D72,REGOLITOS!$A:$A,REGOLITOS!G:G)</f>
        <v>Yucatán</v>
      </c>
      <c r="H72" s="48" t="str">
        <f t="array" ref="H72">XLOOKUP($D72,REGOLITOS!$A:$A,REGOLITOS!H:H)</f>
        <v>55 55 0184 0184</v>
      </c>
      <c r="I72" s="48" t="str">
        <f t="array" ref="I72">XLOOKUP($D72,REGOLITOS!$A:$A,REGOLITOS!I:I)</f>
        <v>usuario184@ejemplo.com</v>
      </c>
      <c r="J72" s="48" t="str">
        <f t="array" ref="J72">XLOOKUP($D72,REGOLITOS!$A:$A,REGOLITOS!J:J)</f>
        <v>Tutor_184</v>
      </c>
      <c r="K72" s="48" t="str">
        <f t="array" ref="K72">XLOOKUP($D72,REGOLITOS!$A:$A,REGOLITOS!K:K)</f>
        <v>Infancia</v>
      </c>
      <c r="L72" s="48">
        <v>200.0</v>
      </c>
      <c r="M72" s="5" t="s">
        <v>1078</v>
      </c>
      <c r="N72" s="5" t="s">
        <v>1078</v>
      </c>
      <c r="O72" s="5" t="s">
        <v>1080</v>
      </c>
      <c r="P72" s="5" t="s">
        <v>1080</v>
      </c>
      <c r="Q72" s="5" t="s">
        <v>1080</v>
      </c>
      <c r="X72" s="71"/>
      <c r="Y72" s="5" t="b">
        <v>0</v>
      </c>
    </row>
    <row r="73">
      <c r="A73" s="31" t="s">
        <v>27</v>
      </c>
      <c r="B73" s="31">
        <f t="array" ref="B73">XLOOKUP(A73, CURSOS!A:A, CURSOS!B:B)</f>
        <v>5</v>
      </c>
      <c r="C73" s="12" t="str">
        <f t="array" ref="C73">XLOOKUP(A73, CURSOS!A:A, CURSOS!C:C)</f>
        <v>EL ROMPECABEZAS DEL CIELO</v>
      </c>
      <c r="D73" s="70" t="s">
        <v>375</v>
      </c>
      <c r="E73" s="48">
        <f t="array" ref="E73">XLOOKUP($D73,REGOLITOS!$A:$A,REGOLITOS!E:E)</f>
        <v>14</v>
      </c>
      <c r="F73" s="48" t="str">
        <f t="array" ref="F73">XLOOKUP($D73,REGOLITOS!$A:$A,REGOLITOS!F:F)</f>
        <v>Desconocido</v>
      </c>
      <c r="G73" s="48" t="str">
        <f t="array" ref="G73">XLOOKUP($D73,REGOLITOS!$A:$A,REGOLITOS!G:G)</f>
        <v>Tabasco</v>
      </c>
      <c r="H73" s="48" t="str">
        <f t="array" ref="H73">XLOOKUP($D73,REGOLITOS!$A:$A,REGOLITOS!H:H)</f>
        <v>55 55 0185 0185</v>
      </c>
      <c r="I73" s="48" t="str">
        <f t="array" ref="I73">XLOOKUP($D73,REGOLITOS!$A:$A,REGOLITOS!I:I)</f>
        <v>usuario185@ejemplo.com</v>
      </c>
      <c r="J73" s="48" t="str">
        <f t="array" ref="J73">XLOOKUP($D73,REGOLITOS!$A:$A,REGOLITOS!J:J)</f>
        <v>Tutor_185</v>
      </c>
      <c r="K73" s="48" t="str">
        <f t="array" ref="K73">XLOOKUP($D73,REGOLITOS!$A:$A,REGOLITOS!K:K)</f>
        <v>Adolescente</v>
      </c>
      <c r="L73" s="48">
        <v>200.0</v>
      </c>
      <c r="M73" s="5" t="s">
        <v>1078</v>
      </c>
      <c r="N73" s="5" t="s">
        <v>1078</v>
      </c>
      <c r="O73" s="5" t="s">
        <v>1080</v>
      </c>
      <c r="P73" s="5" t="s">
        <v>1080</v>
      </c>
      <c r="Q73" s="5" t="s">
        <v>1080</v>
      </c>
      <c r="X73" s="71"/>
      <c r="Y73" s="5" t="b">
        <v>0</v>
      </c>
    </row>
    <row r="74">
      <c r="A74" s="31" t="s">
        <v>27</v>
      </c>
      <c r="B74" s="31">
        <f t="array" ref="B74">XLOOKUP(A74, CURSOS!A:A, CURSOS!B:B)</f>
        <v>5</v>
      </c>
      <c r="C74" s="12" t="str">
        <f t="array" ref="C74">XLOOKUP(A74, CURSOS!A:A, CURSOS!C:C)</f>
        <v>EL ROMPECABEZAS DEL CIELO</v>
      </c>
      <c r="D74" s="70" t="s">
        <v>311</v>
      </c>
      <c r="E74" s="48">
        <f t="array" ref="E74">XLOOKUP($D74,REGOLITOS!$A:$A,REGOLITOS!E:E)</f>
        <v>23</v>
      </c>
      <c r="F74" s="48" t="str">
        <f t="array" ref="F74">XLOOKUP($D74,REGOLITOS!$A:$A,REGOLITOS!F:F)</f>
        <v>Estudiante</v>
      </c>
      <c r="G74" s="48" t="str">
        <f t="array" ref="G74">XLOOKUP($D74,REGOLITOS!$A:$A,REGOLITOS!G:G)</f>
        <v>Desconocido</v>
      </c>
      <c r="H74" s="48" t="str">
        <f t="array" ref="H74">XLOOKUP($D74,REGOLITOS!$A:$A,REGOLITOS!H:H)</f>
        <v>55 55 0139 0139</v>
      </c>
      <c r="I74" s="48" t="str">
        <f t="array" ref="I74">XLOOKUP($D74,REGOLITOS!$A:$A,REGOLITOS!I:I)</f>
        <v>usuario139@ejemplo.com</v>
      </c>
      <c r="J74" s="48" t="str">
        <f t="array" ref="J74">XLOOKUP($D74,REGOLITOS!$A:$A,REGOLITOS!J:J)</f>
        <v/>
      </c>
      <c r="K74" s="48" t="str">
        <f t="array" ref="K74">XLOOKUP($D74,REGOLITOS!$A:$A,REGOLITOS!K:K)</f>
        <v>Jóven adulto</v>
      </c>
      <c r="L74" s="48">
        <v>160.0</v>
      </c>
      <c r="M74" s="5" t="s">
        <v>1080</v>
      </c>
      <c r="N74" s="5" t="s">
        <v>1078</v>
      </c>
      <c r="O74" s="5" t="s">
        <v>1080</v>
      </c>
      <c r="P74" s="5" t="s">
        <v>1080</v>
      </c>
      <c r="Q74" s="5" t="s">
        <v>1080</v>
      </c>
      <c r="X74" s="71"/>
      <c r="Y74" s="5" t="b">
        <v>0</v>
      </c>
    </row>
    <row r="75">
      <c r="A75" s="31" t="s">
        <v>27</v>
      </c>
      <c r="B75" s="31">
        <f t="array" ref="B75">XLOOKUP(A75, CURSOS!A:A, CURSOS!B:B)</f>
        <v>5</v>
      </c>
      <c r="C75" s="12" t="str">
        <f t="array" ref="C75">XLOOKUP(A75, CURSOS!A:A, CURSOS!C:C)</f>
        <v>EL ROMPECABEZAS DEL CIELO</v>
      </c>
      <c r="D75" s="70" t="s">
        <v>376</v>
      </c>
      <c r="E75" s="48">
        <f t="array" ref="E75">XLOOKUP($D75,REGOLITOS!$A:$A,REGOLITOS!E:E)</f>
        <v>35</v>
      </c>
      <c r="F75" s="48" t="str">
        <f t="array" ref="F75">XLOOKUP($D75,REGOLITOS!$A:$A,REGOLITOS!F:F)</f>
        <v>Ingeniero</v>
      </c>
      <c r="G75" s="48" t="str">
        <f t="array" ref="G75">XLOOKUP($D75,REGOLITOS!$A:$A,REGOLITOS!G:G)</f>
        <v>Tamaulipas</v>
      </c>
      <c r="H75" s="48" t="str">
        <f t="array" ref="H75">XLOOKUP($D75,REGOLITOS!$A:$A,REGOLITOS!H:H)</f>
        <v>55 55 0186 0186</v>
      </c>
      <c r="I75" s="48" t="str">
        <f t="array" ref="I75">XLOOKUP($D75,REGOLITOS!$A:$A,REGOLITOS!I:I)</f>
        <v>usuario186@ejemplo.com</v>
      </c>
      <c r="J75" s="48" t="str">
        <f t="array" ref="J75">XLOOKUP($D75,REGOLITOS!$A:$A,REGOLITOS!J:J)</f>
        <v/>
      </c>
      <c r="K75" s="48" t="str">
        <f t="array" ref="K75">XLOOKUP($D75,REGOLITOS!$A:$A,REGOLITOS!K:K)</f>
        <v>Adulto</v>
      </c>
      <c r="L75" s="48">
        <v>200.0</v>
      </c>
      <c r="M75" s="5" t="s">
        <v>1078</v>
      </c>
      <c r="N75" s="5" t="s">
        <v>1080</v>
      </c>
      <c r="O75" s="5" t="s">
        <v>1080</v>
      </c>
      <c r="P75" s="5" t="s">
        <v>1080</v>
      </c>
      <c r="Q75" s="5" t="s">
        <v>1080</v>
      </c>
      <c r="X75" s="71"/>
      <c r="Y75" s="5" t="b">
        <v>0</v>
      </c>
    </row>
    <row r="76">
      <c r="A76" s="5" t="s">
        <v>31</v>
      </c>
      <c r="B76" s="5">
        <f t="array" ref="B76">XLOOKUP(A76, CURSOS!A:A, CURSOS!B:B)</f>
        <v>6</v>
      </c>
      <c r="C76" s="75" t="str">
        <f t="array" ref="C76">XLOOKUP(A76, CURSOS!A:A, CURSOS!C:C)</f>
        <v>¿CÓMO ENCONTRAR TESOROS EN EL CIELO?</v>
      </c>
      <c r="D76" s="70" t="s">
        <v>159</v>
      </c>
      <c r="E76" s="48">
        <f t="array" ref="E76">XLOOKUP($D76,REGOLITOS!$A:$A,REGOLITOS!E:E)</f>
        <v>92</v>
      </c>
      <c r="F76" s="48" t="str">
        <f t="array" ref="F76">XLOOKUP($D76,REGOLITOS!$A:$A,REGOLITOS!F:F)</f>
        <v>Estudiante </v>
      </c>
      <c r="G76" s="48" t="str">
        <f t="array" ref="G76">XLOOKUP($D76,REGOLITOS!$A:$A,REGOLITOS!G:G)</f>
        <v>Estado de México</v>
      </c>
      <c r="H76" s="48" t="str">
        <f t="array" ref="H76">XLOOKUP($D76,REGOLITOS!$A:$A,REGOLITOS!H:H)</f>
        <v>55 55 0037 0037</v>
      </c>
      <c r="I76" s="48" t="str">
        <f t="array" ref="I76">XLOOKUP($D76,REGOLITOS!$A:$A,REGOLITOS!I:I)</f>
        <v>usuario37@ejemplo.com</v>
      </c>
      <c r="J76" s="48" t="str">
        <f t="array" ref="J76">XLOOKUP($D76,REGOLITOS!$A:$A,REGOLITOS!J:J)</f>
        <v/>
      </c>
      <c r="K76" s="48" t="str">
        <f t="array" ref="K76">XLOOKUP($D76,REGOLITOS!$A:$A,REGOLITOS!K:K)</f>
        <v>Adulto Mayor</v>
      </c>
      <c r="L76" s="48">
        <v>280.0</v>
      </c>
      <c r="M76" s="5" t="s">
        <v>1078</v>
      </c>
      <c r="N76" s="5" t="s">
        <v>1078</v>
      </c>
      <c r="O76" s="5" t="s">
        <v>1078</v>
      </c>
      <c r="P76" s="5" t="s">
        <v>1078</v>
      </c>
      <c r="Q76" s="5" t="s">
        <v>1078</v>
      </c>
      <c r="X76" s="71">
        <f t="shared" ref="X76:X181" si="2">(COUNTIF(M76:W76, "Asistió")+COUNTIF(M76:W76, "Asíncrono"))</f>
        <v>5</v>
      </c>
      <c r="Y76" s="5" t="b">
        <v>1</v>
      </c>
    </row>
    <row r="77">
      <c r="A77" s="5" t="s">
        <v>31</v>
      </c>
      <c r="B77" s="5">
        <f t="array" ref="B77">XLOOKUP(A77, CURSOS!A:A, CURSOS!B:B)</f>
        <v>6</v>
      </c>
      <c r="C77" s="75" t="str">
        <f t="array" ref="C77">XLOOKUP(A77, CURSOS!A:A, CURSOS!C:C)</f>
        <v>¿CÓMO ENCONTRAR TESOROS EN EL CIELO?</v>
      </c>
      <c r="D77" s="70" t="s">
        <v>350</v>
      </c>
      <c r="E77" s="48">
        <f t="array" ref="E77">XLOOKUP($D77,REGOLITOS!$A:$A,REGOLITOS!E:E)</f>
        <v>28</v>
      </c>
      <c r="F77" s="48" t="str">
        <f t="array" ref="F77">XLOOKUP($D77,REGOLITOS!$A:$A,REGOLITOS!F:F)</f>
        <v>Estudiante</v>
      </c>
      <c r="G77" s="48" t="str">
        <f t="array" ref="G77">XLOOKUP($D77,REGOLITOS!$A:$A,REGOLITOS!G:G)</f>
        <v>México</v>
      </c>
      <c r="H77" s="48" t="str">
        <f t="array" ref="H77">XLOOKUP($D77,REGOLITOS!$A:$A,REGOLITOS!H:H)</f>
        <v>55 55 0167 0167</v>
      </c>
      <c r="I77" s="48" t="str">
        <f t="array" ref="I77">XLOOKUP($D77,REGOLITOS!$A:$A,REGOLITOS!I:I)</f>
        <v>usuario167@ejemplo.com</v>
      </c>
      <c r="J77" s="48" t="str">
        <f t="array" ref="J77">XLOOKUP($D77,REGOLITOS!$A:$A,REGOLITOS!J:J)</f>
        <v/>
      </c>
      <c r="K77" s="48" t="str">
        <f t="array" ref="K77">XLOOKUP($D77,REGOLITOS!$A:$A,REGOLITOS!K:K)</f>
        <v>Jóven adulto</v>
      </c>
      <c r="L77" s="48" t="s">
        <v>1082</v>
      </c>
      <c r="M77" s="5" t="s">
        <v>1078</v>
      </c>
      <c r="N77" s="5" t="s">
        <v>1078</v>
      </c>
      <c r="O77" s="5" t="s">
        <v>1078</v>
      </c>
      <c r="P77" s="5" t="s">
        <v>1078</v>
      </c>
      <c r="Q77" s="5" t="s">
        <v>1078</v>
      </c>
      <c r="X77" s="71">
        <f t="shared" si="2"/>
        <v>5</v>
      </c>
      <c r="Y77" s="5" t="b">
        <v>1</v>
      </c>
    </row>
    <row r="78">
      <c r="A78" s="5" t="s">
        <v>31</v>
      </c>
      <c r="B78" s="5">
        <f t="array" ref="B78">XLOOKUP(A78, CURSOS!A:A, CURSOS!B:B)</f>
        <v>6</v>
      </c>
      <c r="C78" s="75" t="str">
        <f t="array" ref="C78">XLOOKUP(A78, CURSOS!A:A, CURSOS!C:C)</f>
        <v>¿CÓMO ENCONTRAR TESOROS EN EL CIELO?</v>
      </c>
      <c r="D78" s="70" t="s">
        <v>355</v>
      </c>
      <c r="E78" s="48">
        <f t="array" ref="E78">XLOOKUP($D78,REGOLITOS!$A:$A,REGOLITOS!E:E)</f>
        <v>45</v>
      </c>
      <c r="F78" s="48" t="str">
        <f t="array" ref="F78">XLOOKUP($D78,REGOLITOS!$A:$A,REGOLITOS!F:F)</f>
        <v>Estudiante</v>
      </c>
      <c r="G78" s="48" t="str">
        <f t="array" ref="G78">XLOOKUP($D78,REGOLITOS!$A:$A,REGOLITOS!G:G)</f>
        <v>Estado de México</v>
      </c>
      <c r="H78" s="48" t="str">
        <f t="array" ref="H78">XLOOKUP($D78,REGOLITOS!$A:$A,REGOLITOS!H:H)</f>
        <v>55 55 0170 0170</v>
      </c>
      <c r="I78" s="48" t="str">
        <f t="array" ref="I78">XLOOKUP($D78,REGOLITOS!$A:$A,REGOLITOS!I:I)</f>
        <v>usuario170@ejemplo.com</v>
      </c>
      <c r="J78" s="48" t="str">
        <f t="array" ref="J78">XLOOKUP($D78,REGOLITOS!$A:$A,REGOLITOS!J:J)</f>
        <v/>
      </c>
      <c r="K78" s="48" t="str">
        <f t="array" ref="K78">XLOOKUP($D78,REGOLITOS!$A:$A,REGOLITOS!K:K)</f>
        <v>Adulto</v>
      </c>
      <c r="L78" s="48">
        <v>280.0</v>
      </c>
      <c r="M78" s="5" t="s">
        <v>1078</v>
      </c>
      <c r="N78" s="5" t="s">
        <v>1078</v>
      </c>
      <c r="O78" s="5" t="s">
        <v>1078</v>
      </c>
      <c r="P78" s="5" t="s">
        <v>1078</v>
      </c>
      <c r="Q78" s="5" t="s">
        <v>1078</v>
      </c>
      <c r="X78" s="71">
        <f t="shared" si="2"/>
        <v>5</v>
      </c>
      <c r="Y78" s="5" t="b">
        <v>1</v>
      </c>
    </row>
    <row r="79">
      <c r="A79" s="5" t="s">
        <v>31</v>
      </c>
      <c r="B79" s="5">
        <f t="array" ref="B79">XLOOKUP(A79, CURSOS!A:A, CURSOS!B:B)</f>
        <v>6</v>
      </c>
      <c r="C79" s="75" t="str">
        <f t="array" ref="C79">XLOOKUP(A79, CURSOS!A:A, CURSOS!C:C)</f>
        <v>¿CÓMO ENCONTRAR TESOROS EN EL CIELO?</v>
      </c>
      <c r="D79" s="70" t="s">
        <v>172</v>
      </c>
      <c r="E79" s="48">
        <f t="array" ref="E79">XLOOKUP($D79,REGOLITOS!$A:$A,REGOLITOS!E:E)</f>
        <v>51</v>
      </c>
      <c r="F79" s="48" t="str">
        <f t="array" ref="F79">XLOOKUP($D79,REGOLITOS!$A:$A,REGOLITOS!F:F)</f>
        <v>Odontóloga</v>
      </c>
      <c r="G79" s="48" t="str">
        <f t="array" ref="G79">XLOOKUP($D79,REGOLITOS!$A:$A,REGOLITOS!G:G)</f>
        <v>Estado de México</v>
      </c>
      <c r="H79" s="48" t="str">
        <f t="array" ref="H79">XLOOKUP($D79,REGOLITOS!$A:$A,REGOLITOS!H:H)</f>
        <v>55 55 0044 0044</v>
      </c>
      <c r="I79" s="48" t="str">
        <f t="array" ref="I79">XLOOKUP($D79,REGOLITOS!$A:$A,REGOLITOS!I:I)</f>
        <v>usuario44@ejemplo.com</v>
      </c>
      <c r="J79" s="48" t="str">
        <f t="array" ref="J79">XLOOKUP($D79,REGOLITOS!$A:$A,REGOLITOS!J:J)</f>
        <v/>
      </c>
      <c r="K79" s="48" t="str">
        <f t="array" ref="K79">XLOOKUP($D79,REGOLITOS!$A:$A,REGOLITOS!K:K)</f>
        <v>Adulto</v>
      </c>
      <c r="L79" s="48" t="s">
        <v>1082</v>
      </c>
      <c r="M79" s="5" t="s">
        <v>1078</v>
      </c>
      <c r="N79" s="5" t="s">
        <v>1078</v>
      </c>
      <c r="O79" s="5" t="s">
        <v>1078</v>
      </c>
      <c r="P79" s="5" t="s">
        <v>1078</v>
      </c>
      <c r="Q79" s="5" t="s">
        <v>1078</v>
      </c>
      <c r="X79" s="71">
        <f t="shared" si="2"/>
        <v>5</v>
      </c>
      <c r="Y79" s="5" t="b">
        <v>1</v>
      </c>
    </row>
    <row r="80">
      <c r="A80" s="5" t="s">
        <v>31</v>
      </c>
      <c r="B80" s="5">
        <f t="array" ref="B80">XLOOKUP(A80, CURSOS!A:A, CURSOS!B:B)</f>
        <v>6</v>
      </c>
      <c r="C80" s="75" t="str">
        <f t="array" ref="C80">XLOOKUP(A80, CURSOS!A:A, CURSOS!C:C)</f>
        <v>¿CÓMO ENCONTRAR TESOROS EN EL CIELO?</v>
      </c>
      <c r="D80" s="70" t="s">
        <v>110</v>
      </c>
      <c r="E80" s="48">
        <f t="array" ref="E80">XLOOKUP($D80,REGOLITOS!$A:$A,REGOLITOS!E:E)</f>
        <v>75</v>
      </c>
      <c r="F80" s="48" t="str">
        <f t="array" ref="F80">XLOOKUP($D80,REGOLITOS!$A:$A,REGOLITOS!F:F)</f>
        <v>Investigadora</v>
      </c>
      <c r="G80" s="48" t="str">
        <f t="array" ref="G80">XLOOKUP($D80,REGOLITOS!$A:$A,REGOLITOS!G:G)</f>
        <v>Ciudad de México</v>
      </c>
      <c r="H80" s="48" t="str">
        <f t="array" ref="H80">XLOOKUP($D80,REGOLITOS!$A:$A,REGOLITOS!H:H)</f>
        <v>55 55 0008 0008</v>
      </c>
      <c r="I80" s="48" t="str">
        <f t="array" ref="I80">XLOOKUP($D80,REGOLITOS!$A:$A,REGOLITOS!I:I)</f>
        <v>usuario8@ejemplo.com</v>
      </c>
      <c r="J80" s="48" t="str">
        <f t="array" ref="J80">XLOOKUP($D80,REGOLITOS!$A:$A,REGOLITOS!J:J)</f>
        <v/>
      </c>
      <c r="K80" s="48" t="str">
        <f t="array" ref="K80">XLOOKUP($D80,REGOLITOS!$A:$A,REGOLITOS!K:K)</f>
        <v>Adulto Mayor</v>
      </c>
      <c r="L80" s="48">
        <v>200.0</v>
      </c>
      <c r="M80" s="5" t="s">
        <v>1078</v>
      </c>
      <c r="N80" s="5" t="s">
        <v>1080</v>
      </c>
      <c r="O80" s="5" t="s">
        <v>1078</v>
      </c>
      <c r="P80" s="5" t="s">
        <v>1078</v>
      </c>
      <c r="Q80" s="5" t="s">
        <v>1078</v>
      </c>
      <c r="X80" s="71">
        <f t="shared" si="2"/>
        <v>4</v>
      </c>
      <c r="Y80" s="5" t="b">
        <v>1</v>
      </c>
    </row>
    <row r="81">
      <c r="A81" s="5" t="s">
        <v>31</v>
      </c>
      <c r="B81" s="5">
        <f t="array" ref="B81">XLOOKUP(A81, CURSOS!A:A, CURSOS!B:B)</f>
        <v>6</v>
      </c>
      <c r="C81" s="75" t="str">
        <f t="array" ref="C81">XLOOKUP(A81, CURSOS!A:A, CURSOS!C:C)</f>
        <v>¿CÓMO ENCONTRAR TESOROS EN EL CIELO?</v>
      </c>
      <c r="D81" s="70" t="s">
        <v>258</v>
      </c>
      <c r="E81" s="48">
        <f t="array" ref="E81">XLOOKUP($D81,REGOLITOS!$A:$A,REGOLITOS!E:E)</f>
        <v>66</v>
      </c>
      <c r="F81" s="48" t="str">
        <f t="array" ref="F81">XLOOKUP($D81,REGOLITOS!$A:$A,REGOLITOS!F:F)</f>
        <v>Estudiante HS</v>
      </c>
      <c r="G81" s="48" t="str">
        <f t="array" ref="G81">XLOOKUP($D81,REGOLITOS!$A:$A,REGOLITOS!G:G)</f>
        <v>Jalisco</v>
      </c>
      <c r="H81" s="48" t="str">
        <f t="array" ref="H81">XLOOKUP($D81,REGOLITOS!$A:$A,REGOLITOS!H:H)</f>
        <v>55 55 0103 0103</v>
      </c>
      <c r="I81" s="48" t="str">
        <f t="array" ref="I81">XLOOKUP($D81,REGOLITOS!$A:$A,REGOLITOS!I:I)</f>
        <v>usuario103@ejemplo.com</v>
      </c>
      <c r="J81" s="48" t="str">
        <f t="array" ref="J81">XLOOKUP($D81,REGOLITOS!$A:$A,REGOLITOS!J:J)</f>
        <v/>
      </c>
      <c r="K81" s="48" t="str">
        <f t="array" ref="K81">XLOOKUP($D81,REGOLITOS!$A:$A,REGOLITOS!K:K)</f>
        <v>Adulto Mayor</v>
      </c>
      <c r="L81" s="48">
        <v>160.0</v>
      </c>
      <c r="M81" s="5" t="s">
        <v>1078</v>
      </c>
      <c r="N81" s="5" t="s">
        <v>1078</v>
      </c>
      <c r="O81" s="5" t="s">
        <v>1078</v>
      </c>
      <c r="P81" s="5" t="s">
        <v>1078</v>
      </c>
      <c r="Q81" s="5" t="s">
        <v>1078</v>
      </c>
      <c r="X81" s="71">
        <f t="shared" si="2"/>
        <v>5</v>
      </c>
      <c r="Y81" s="5" t="b">
        <v>1</v>
      </c>
    </row>
    <row r="82">
      <c r="A82" s="5" t="s">
        <v>31</v>
      </c>
      <c r="B82" s="5">
        <f t="array" ref="B82">XLOOKUP(A82, CURSOS!A:A, CURSOS!B:B)</f>
        <v>6</v>
      </c>
      <c r="C82" s="75" t="str">
        <f t="array" ref="C82">XLOOKUP(A82, CURSOS!A:A, CURSOS!C:C)</f>
        <v>¿CÓMO ENCONTRAR TESOROS EN EL CIELO?</v>
      </c>
      <c r="D82" s="70" t="s">
        <v>147</v>
      </c>
      <c r="E82" s="48">
        <f t="array" ref="E82">XLOOKUP($D82,REGOLITOS!$A:$A,REGOLITOS!E:E)</f>
        <v>15</v>
      </c>
      <c r="F82" s="48" t="str">
        <f t="array" ref="F82">XLOOKUP($D82,REGOLITOS!$A:$A,REGOLITOS!F:F)</f>
        <v>Ingeniería Civil</v>
      </c>
      <c r="G82" s="48" t="str">
        <f t="array" ref="G82">XLOOKUP($D82,REGOLITOS!$A:$A,REGOLITOS!G:G)</f>
        <v>Ciudad de México</v>
      </c>
      <c r="H82" s="48" t="str">
        <f t="array" ref="H82">XLOOKUP($D82,REGOLITOS!$A:$A,REGOLITOS!H:H)</f>
        <v>55 55 0028 0028</v>
      </c>
      <c r="I82" s="48" t="str">
        <f t="array" ref="I82">XLOOKUP($D82,REGOLITOS!$A:$A,REGOLITOS!I:I)</f>
        <v>usuario28@ejemplo.com</v>
      </c>
      <c r="J82" s="48" t="str">
        <f t="array" ref="J82">XLOOKUP($D82,REGOLITOS!$A:$A,REGOLITOS!J:J)</f>
        <v>Tutor_028</v>
      </c>
      <c r="K82" s="48" t="str">
        <f t="array" ref="K82">XLOOKUP($D82,REGOLITOS!$A:$A,REGOLITOS!K:K)</f>
        <v>Adolescente</v>
      </c>
      <c r="L82" s="48">
        <v>160.0</v>
      </c>
      <c r="M82" s="5" t="s">
        <v>1078</v>
      </c>
      <c r="N82" s="5" t="s">
        <v>1078</v>
      </c>
      <c r="O82" s="5" t="s">
        <v>1078</v>
      </c>
      <c r="P82" s="5" t="s">
        <v>1078</v>
      </c>
      <c r="Q82" s="5" t="s">
        <v>1078</v>
      </c>
      <c r="X82" s="71">
        <f t="shared" si="2"/>
        <v>5</v>
      </c>
      <c r="Y82" s="5" t="b">
        <v>1</v>
      </c>
    </row>
    <row r="83">
      <c r="A83" s="5" t="s">
        <v>31</v>
      </c>
      <c r="B83" s="5">
        <f t="array" ref="B83">XLOOKUP(A83, CURSOS!A:A, CURSOS!B:B)</f>
        <v>6</v>
      </c>
      <c r="C83" s="75" t="str">
        <f t="array" ref="C83">XLOOKUP(A83, CURSOS!A:A, CURSOS!C:C)</f>
        <v>¿CÓMO ENCONTRAR TESOROS EN EL CIELO?</v>
      </c>
      <c r="D83" s="70" t="s">
        <v>227</v>
      </c>
      <c r="E83" s="48">
        <f t="array" ref="E83">XLOOKUP($D83,REGOLITOS!$A:$A,REGOLITOS!E:E)</f>
        <v>66</v>
      </c>
      <c r="F83" s="48" t="str">
        <f t="array" ref="F83">XLOOKUP($D83,REGOLITOS!$A:$A,REGOLITOS!F:F)</f>
        <v>Operadora de CTP</v>
      </c>
      <c r="G83" s="48" t="str">
        <f t="array" ref="G83">XLOOKUP($D83,REGOLITOS!$A:$A,REGOLITOS!G:G)</f>
        <v>Ciudad de México</v>
      </c>
      <c r="H83" s="48" t="str">
        <f t="array" ref="H83">XLOOKUP($D83,REGOLITOS!$A:$A,REGOLITOS!H:H)</f>
        <v>55 55 0082 0082</v>
      </c>
      <c r="I83" s="48" t="str">
        <f t="array" ref="I83">XLOOKUP($D83,REGOLITOS!$A:$A,REGOLITOS!I:I)</f>
        <v>usuario82@ejemplo.com</v>
      </c>
      <c r="J83" s="48" t="str">
        <f t="array" ref="J83">XLOOKUP($D83,REGOLITOS!$A:$A,REGOLITOS!J:J)</f>
        <v/>
      </c>
      <c r="K83" s="48" t="str">
        <f t="array" ref="K83">XLOOKUP($D83,REGOLITOS!$A:$A,REGOLITOS!K:K)</f>
        <v>Adulto Mayor</v>
      </c>
      <c r="L83" s="48">
        <v>160.0</v>
      </c>
      <c r="M83" s="5" t="s">
        <v>1078</v>
      </c>
      <c r="N83" s="5" t="s">
        <v>1078</v>
      </c>
      <c r="O83" s="5" t="s">
        <v>1078</v>
      </c>
      <c r="P83" s="5" t="s">
        <v>1078</v>
      </c>
      <c r="Q83" s="5" t="s">
        <v>1078</v>
      </c>
      <c r="X83" s="71">
        <f t="shared" si="2"/>
        <v>5</v>
      </c>
      <c r="Y83" s="5" t="b">
        <v>1</v>
      </c>
    </row>
    <row r="84">
      <c r="A84" s="5" t="s">
        <v>31</v>
      </c>
      <c r="B84" s="5">
        <f t="array" ref="B84">XLOOKUP(A84, CURSOS!A:A, CURSOS!B:B)</f>
        <v>6</v>
      </c>
      <c r="C84" s="75" t="str">
        <f t="array" ref="C84">XLOOKUP(A84, CURSOS!A:A, CURSOS!C:C)</f>
        <v>¿CÓMO ENCONTRAR TESOROS EN EL CIELO?</v>
      </c>
      <c r="D84" s="70" t="s">
        <v>248</v>
      </c>
      <c r="E84" s="48">
        <f t="array" ref="E84">XLOOKUP($D84,REGOLITOS!$A:$A,REGOLITOS!E:E)</f>
        <v>67</v>
      </c>
      <c r="F84" s="48" t="str">
        <f t="array" ref="F84">XLOOKUP($D84,REGOLITOS!$A:$A,REGOLITOS!F:F)</f>
        <v>Cocinero</v>
      </c>
      <c r="G84" s="48" t="str">
        <f t="array" ref="G84">XLOOKUP($D84,REGOLITOS!$A:$A,REGOLITOS!G:G)</f>
        <v>Guanajuato</v>
      </c>
      <c r="H84" s="48" t="str">
        <f t="array" ref="H84">XLOOKUP($D84,REGOLITOS!$A:$A,REGOLITOS!H:H)</f>
        <v>55 55 0095 0095</v>
      </c>
      <c r="I84" s="48" t="str">
        <f t="array" ref="I84">XLOOKUP($D84,REGOLITOS!$A:$A,REGOLITOS!I:I)</f>
        <v>usuario95@ejemplo.com</v>
      </c>
      <c r="J84" s="48" t="str">
        <f t="array" ref="J84">XLOOKUP($D84,REGOLITOS!$A:$A,REGOLITOS!J:J)</f>
        <v/>
      </c>
      <c r="K84" s="48" t="str">
        <f t="array" ref="K84">XLOOKUP($D84,REGOLITOS!$A:$A,REGOLITOS!K:K)</f>
        <v>Adulto Mayor</v>
      </c>
      <c r="L84" s="48">
        <v>200.0</v>
      </c>
      <c r="M84" s="5" t="s">
        <v>1078</v>
      </c>
      <c r="N84" s="5" t="s">
        <v>1078</v>
      </c>
      <c r="O84" s="5" t="s">
        <v>1078</v>
      </c>
      <c r="P84" s="5" t="s">
        <v>1078</v>
      </c>
      <c r="Q84" s="5" t="s">
        <v>1078</v>
      </c>
      <c r="X84" s="71">
        <f t="shared" si="2"/>
        <v>5</v>
      </c>
      <c r="Y84" s="5" t="b">
        <v>1</v>
      </c>
    </row>
    <row r="85">
      <c r="A85" s="5" t="s">
        <v>31</v>
      </c>
      <c r="B85" s="5">
        <f t="array" ref="B85">XLOOKUP(A85, CURSOS!A:A, CURSOS!B:B)</f>
        <v>6</v>
      </c>
      <c r="C85" s="75" t="str">
        <f t="array" ref="C85">XLOOKUP(A85, CURSOS!A:A, CURSOS!C:C)</f>
        <v>¿CÓMO ENCONTRAR TESOROS EN EL CIELO?</v>
      </c>
      <c r="D85" s="70" t="s">
        <v>370</v>
      </c>
      <c r="E85" s="48">
        <f t="array" ref="E85">XLOOKUP($D85,REGOLITOS!$A:$A,REGOLITOS!E:E)</f>
        <v>53</v>
      </c>
      <c r="F85" s="48" t="str">
        <f t="array" ref="F85">XLOOKUP($D85,REGOLITOS!$A:$A,REGOLITOS!F:F)</f>
        <v>Diseñadora</v>
      </c>
      <c r="G85" s="48" t="str">
        <f t="array" ref="G85">XLOOKUP($D85,REGOLITOS!$A:$A,REGOLITOS!G:G)</f>
        <v>Estado de México</v>
      </c>
      <c r="H85" s="48" t="str">
        <f t="array" ref="H85">XLOOKUP($D85,REGOLITOS!$A:$A,REGOLITOS!H:H)</f>
        <v>55 55 0181 0181</v>
      </c>
      <c r="I85" s="48" t="str">
        <f t="array" ref="I85">XLOOKUP($D85,REGOLITOS!$A:$A,REGOLITOS!I:I)</f>
        <v>usuario181@ejemplo.com</v>
      </c>
      <c r="J85" s="48" t="str">
        <f t="array" ref="J85">XLOOKUP($D85,REGOLITOS!$A:$A,REGOLITOS!J:J)</f>
        <v/>
      </c>
      <c r="K85" s="48" t="str">
        <f t="array" ref="K85">XLOOKUP($D85,REGOLITOS!$A:$A,REGOLITOS!K:K)</f>
        <v>Adulto</v>
      </c>
      <c r="L85" s="48">
        <v>350.0</v>
      </c>
      <c r="M85" s="5" t="s">
        <v>1078</v>
      </c>
      <c r="N85" s="5" t="s">
        <v>1078</v>
      </c>
      <c r="O85" s="5" t="s">
        <v>1078</v>
      </c>
      <c r="P85" s="5" t="s">
        <v>1078</v>
      </c>
      <c r="Q85" s="5" t="s">
        <v>1080</v>
      </c>
      <c r="X85" s="71">
        <f t="shared" si="2"/>
        <v>4</v>
      </c>
      <c r="Y85" s="5" t="b">
        <v>1</v>
      </c>
    </row>
    <row r="86">
      <c r="A86" s="5" t="s">
        <v>31</v>
      </c>
      <c r="B86" s="5">
        <f t="array" ref="B86">XLOOKUP(A86, CURSOS!A:A, CURSOS!B:B)</f>
        <v>6</v>
      </c>
      <c r="C86" s="75" t="str">
        <f t="array" ref="C86">XLOOKUP(A86, CURSOS!A:A, CURSOS!C:C)</f>
        <v>¿CÓMO ENCONTRAR TESOROS EN EL CIELO?</v>
      </c>
      <c r="D86" s="70" t="s">
        <v>304</v>
      </c>
      <c r="E86" s="48">
        <f t="array" ref="E86">XLOOKUP($D86,REGOLITOS!$A:$A,REGOLITOS!E:E)</f>
        <v>48</v>
      </c>
      <c r="F86" s="48" t="str">
        <f t="array" ref="F86">XLOOKUP($D86,REGOLITOS!$A:$A,REGOLITOS!F:F)</f>
        <v>Empleado</v>
      </c>
      <c r="G86" s="48" t="str">
        <f t="array" ref="G86">XLOOKUP($D86,REGOLITOS!$A:$A,REGOLITOS!G:G)</f>
        <v>Estado de México</v>
      </c>
      <c r="H86" s="48" t="str">
        <f t="array" ref="H86">XLOOKUP($D86,REGOLITOS!$A:$A,REGOLITOS!H:H)</f>
        <v>55 55 0134 0134</v>
      </c>
      <c r="I86" s="48" t="str">
        <f t="array" ref="I86">XLOOKUP($D86,REGOLITOS!$A:$A,REGOLITOS!I:I)</f>
        <v>usuario134@ejemplo.com</v>
      </c>
      <c r="J86" s="48" t="str">
        <f t="array" ref="J86">XLOOKUP($D86,REGOLITOS!$A:$A,REGOLITOS!J:J)</f>
        <v/>
      </c>
      <c r="K86" s="48" t="str">
        <f t="array" ref="K86">XLOOKUP($D86,REGOLITOS!$A:$A,REGOLITOS!K:K)</f>
        <v>Adulto</v>
      </c>
      <c r="L86" s="48" t="s">
        <v>1083</v>
      </c>
      <c r="M86" s="5" t="s">
        <v>1078</v>
      </c>
      <c r="N86" s="5" t="s">
        <v>1078</v>
      </c>
      <c r="O86" s="5" t="s">
        <v>1078</v>
      </c>
      <c r="P86" s="5" t="s">
        <v>1078</v>
      </c>
      <c r="Q86" s="5" t="s">
        <v>1078</v>
      </c>
      <c r="X86" s="71">
        <f t="shared" si="2"/>
        <v>5</v>
      </c>
      <c r="Y86" s="5" t="b">
        <v>1</v>
      </c>
    </row>
    <row r="87">
      <c r="A87" s="5" t="s">
        <v>31</v>
      </c>
      <c r="B87" s="5">
        <f t="array" ref="B87">XLOOKUP(A87, CURSOS!A:A, CURSOS!B:B)</f>
        <v>6</v>
      </c>
      <c r="C87" s="75" t="str">
        <f t="array" ref="C87">XLOOKUP(A87, CURSOS!A:A, CURSOS!C:C)</f>
        <v>¿CÓMO ENCONTRAR TESOROS EN EL CIELO?</v>
      </c>
      <c r="D87" s="70" t="s">
        <v>283</v>
      </c>
      <c r="E87" s="48">
        <f t="array" ref="E87">XLOOKUP($D87,REGOLITOS!$A:$A,REGOLITOS!E:E)</f>
        <v>91</v>
      </c>
      <c r="F87" s="48" t="str">
        <f t="array" ref="F87">XLOOKUP($D87,REGOLITOS!$A:$A,REGOLITOS!F:F)</f>
        <v>Ingeniería Sistemas</v>
      </c>
      <c r="G87" s="48" t="str">
        <f t="array" ref="G87">XLOOKUP($D87,REGOLITOS!$A:$A,REGOLITOS!G:G)</f>
        <v>Ciudad de México</v>
      </c>
      <c r="H87" s="48" t="str">
        <f t="array" ref="H87">XLOOKUP($D87,REGOLITOS!$A:$A,REGOLITOS!H:H)</f>
        <v>55 55 0121 0121</v>
      </c>
      <c r="I87" s="48" t="str">
        <f t="array" ref="I87">XLOOKUP($D87,REGOLITOS!$A:$A,REGOLITOS!I:I)</f>
        <v>usuario121@ejemplo.com</v>
      </c>
      <c r="J87" s="48" t="str">
        <f t="array" ref="J87">XLOOKUP($D87,REGOLITOS!$A:$A,REGOLITOS!J:J)</f>
        <v/>
      </c>
      <c r="K87" s="48" t="str">
        <f t="array" ref="K87">XLOOKUP($D87,REGOLITOS!$A:$A,REGOLITOS!K:K)</f>
        <v>Adulto Mayor</v>
      </c>
      <c r="L87" s="48">
        <v>200.0</v>
      </c>
      <c r="M87" s="5" t="s">
        <v>1078</v>
      </c>
      <c r="N87" s="5" t="s">
        <v>1078</v>
      </c>
      <c r="O87" s="5" t="s">
        <v>1078</v>
      </c>
      <c r="P87" s="5" t="s">
        <v>1078</v>
      </c>
      <c r="Q87" s="5" t="s">
        <v>1080</v>
      </c>
      <c r="X87" s="71">
        <f t="shared" si="2"/>
        <v>4</v>
      </c>
      <c r="Y87" s="5" t="b">
        <v>1</v>
      </c>
    </row>
    <row r="88">
      <c r="A88" s="5" t="s">
        <v>31</v>
      </c>
      <c r="B88" s="5">
        <f t="array" ref="B88">XLOOKUP(A88, CURSOS!A:A, CURSOS!B:B)</f>
        <v>6</v>
      </c>
      <c r="C88" s="75" t="str">
        <f t="array" ref="C88">XLOOKUP(A88, CURSOS!A:A, CURSOS!C:C)</f>
        <v>¿CÓMO ENCONTRAR TESOROS EN EL CIELO?</v>
      </c>
      <c r="D88" s="70" t="s">
        <v>253</v>
      </c>
      <c r="E88" s="48">
        <f t="array" ref="E88">XLOOKUP($D88,REGOLITOS!$A:$A,REGOLITOS!E:E)</f>
        <v>57</v>
      </c>
      <c r="F88" s="48" t="str">
        <f t="array" ref="F88">XLOOKUP($D88,REGOLITOS!$A:$A,REGOLITOS!F:F)</f>
        <v>Empleado</v>
      </c>
      <c r="G88" s="48" t="str">
        <f t="array" ref="G88">XLOOKUP($D88,REGOLITOS!$A:$A,REGOLITOS!G:G)</f>
        <v>Ciudad de México</v>
      </c>
      <c r="H88" s="48" t="str">
        <f t="array" ref="H88">XLOOKUP($D88,REGOLITOS!$A:$A,REGOLITOS!H:H)</f>
        <v>55 55 0098 0098</v>
      </c>
      <c r="I88" s="48" t="str">
        <f t="array" ref="I88">XLOOKUP($D88,REGOLITOS!$A:$A,REGOLITOS!I:I)</f>
        <v>usuario98@ejemplo.com</v>
      </c>
      <c r="J88" s="48" t="str">
        <f t="array" ref="J88">XLOOKUP($D88,REGOLITOS!$A:$A,REGOLITOS!J:J)</f>
        <v/>
      </c>
      <c r="K88" s="48" t="str">
        <f t="array" ref="K88">XLOOKUP($D88,REGOLITOS!$A:$A,REGOLITOS!K:K)</f>
        <v>Adulto</v>
      </c>
      <c r="L88" s="48">
        <v>200.0</v>
      </c>
      <c r="M88" s="5" t="s">
        <v>1078</v>
      </c>
      <c r="N88" s="5" t="s">
        <v>1078</v>
      </c>
      <c r="O88" s="5" t="s">
        <v>1078</v>
      </c>
      <c r="P88" s="5" t="s">
        <v>1078</v>
      </c>
      <c r="Q88" s="5" t="s">
        <v>1078</v>
      </c>
      <c r="X88" s="71">
        <f t="shared" si="2"/>
        <v>5</v>
      </c>
      <c r="Y88" s="5" t="b">
        <v>1</v>
      </c>
    </row>
    <row r="89">
      <c r="A89" s="5" t="s">
        <v>31</v>
      </c>
      <c r="B89" s="5">
        <f t="array" ref="B89">XLOOKUP(A89, CURSOS!A:A, CURSOS!B:B)</f>
        <v>6</v>
      </c>
      <c r="C89" s="75" t="str">
        <f t="array" ref="C89">XLOOKUP(A89, CURSOS!A:A, CURSOS!C:C)</f>
        <v>¿CÓMO ENCONTRAR TESOROS EN EL CIELO?</v>
      </c>
      <c r="D89" s="70" t="s">
        <v>296</v>
      </c>
      <c r="E89" s="48">
        <f t="array" ref="E89">XLOOKUP($D89,REGOLITOS!$A:$A,REGOLITOS!E:E)</f>
        <v>48</v>
      </c>
      <c r="F89" s="48" t="str">
        <f t="array" ref="F89">XLOOKUP($D89,REGOLITOS!$A:$A,REGOLITOS!F:F)</f>
        <v>Negocio en hogar</v>
      </c>
      <c r="G89" s="48" t="str">
        <f t="array" ref="G89">XLOOKUP($D89,REGOLITOS!$A:$A,REGOLITOS!G:G)</f>
        <v>Ciudad de México</v>
      </c>
      <c r="H89" s="48" t="str">
        <f t="array" ref="H89">XLOOKUP($D89,REGOLITOS!$A:$A,REGOLITOS!H:H)</f>
        <v>55 55 0130 0130</v>
      </c>
      <c r="I89" s="48" t="str">
        <f t="array" ref="I89">XLOOKUP($D89,REGOLITOS!$A:$A,REGOLITOS!I:I)</f>
        <v>usuario130@ejemplo.com</v>
      </c>
      <c r="J89" s="48" t="str">
        <f t="array" ref="J89">XLOOKUP($D89,REGOLITOS!$A:$A,REGOLITOS!J:J)</f>
        <v/>
      </c>
      <c r="K89" s="48" t="str">
        <f t="array" ref="K89">XLOOKUP($D89,REGOLITOS!$A:$A,REGOLITOS!K:K)</f>
        <v>Adulto</v>
      </c>
      <c r="L89" s="48">
        <v>380.0</v>
      </c>
      <c r="M89" s="5" t="s">
        <v>1078</v>
      </c>
      <c r="N89" s="5" t="s">
        <v>1078</v>
      </c>
      <c r="O89" s="5" t="s">
        <v>1078</v>
      </c>
      <c r="P89" s="5" t="s">
        <v>1078</v>
      </c>
      <c r="Q89" s="5" t="s">
        <v>1078</v>
      </c>
      <c r="X89" s="71">
        <f t="shared" si="2"/>
        <v>5</v>
      </c>
      <c r="Y89" s="5" t="b">
        <v>1</v>
      </c>
    </row>
    <row r="90">
      <c r="A90" s="5" t="s">
        <v>31</v>
      </c>
      <c r="B90" s="5">
        <f t="array" ref="B90">XLOOKUP(A90, CURSOS!A:A, CURSOS!B:B)</f>
        <v>6</v>
      </c>
      <c r="C90" s="75" t="str">
        <f t="array" ref="C90">XLOOKUP(A90, CURSOS!A:A, CURSOS!C:C)</f>
        <v>¿CÓMO ENCONTRAR TESOROS EN EL CIELO?</v>
      </c>
      <c r="D90" s="70" t="s">
        <v>281</v>
      </c>
      <c r="E90" s="48">
        <f t="array" ref="E90">XLOOKUP($D90,REGOLITOS!$A:$A,REGOLITOS!E:E)</f>
        <v>70</v>
      </c>
      <c r="F90" s="48" t="str">
        <f t="array" ref="F90">XLOOKUP($D90,REGOLITOS!$A:$A,REGOLITOS!F:F)</f>
        <v>Arquitecto</v>
      </c>
      <c r="G90" s="48" t="str">
        <f t="array" ref="G90">XLOOKUP($D90,REGOLITOS!$A:$A,REGOLITOS!G:G)</f>
        <v>Ciudad de México</v>
      </c>
      <c r="H90" s="48" t="str">
        <f t="array" ref="H90">XLOOKUP($D90,REGOLITOS!$A:$A,REGOLITOS!H:H)</f>
        <v>55 55 0120 0120</v>
      </c>
      <c r="I90" s="48" t="str">
        <f t="array" ref="I90">XLOOKUP($D90,REGOLITOS!$A:$A,REGOLITOS!I:I)</f>
        <v>usuario120@ejemplo.com</v>
      </c>
      <c r="J90" s="48" t="str">
        <f t="array" ref="J90">XLOOKUP($D90,REGOLITOS!$A:$A,REGOLITOS!J:J)</f>
        <v/>
      </c>
      <c r="K90" s="48" t="str">
        <f t="array" ref="K90">XLOOKUP($D90,REGOLITOS!$A:$A,REGOLITOS!K:K)</f>
        <v>Adulto Mayor</v>
      </c>
      <c r="L90" s="48" t="s">
        <v>1084</v>
      </c>
      <c r="M90" s="5" t="s">
        <v>1078</v>
      </c>
      <c r="N90" s="5" t="s">
        <v>1078</v>
      </c>
      <c r="O90" s="5" t="s">
        <v>1078</v>
      </c>
      <c r="P90" s="5" t="s">
        <v>1078</v>
      </c>
      <c r="Q90" s="5" t="s">
        <v>1078</v>
      </c>
      <c r="X90" s="71">
        <f t="shared" si="2"/>
        <v>5</v>
      </c>
      <c r="Y90" s="5" t="b">
        <v>1</v>
      </c>
    </row>
    <row r="91">
      <c r="A91" s="5" t="s">
        <v>31</v>
      </c>
      <c r="B91" s="5">
        <f t="array" ref="B91">XLOOKUP(A91, CURSOS!A:A, CURSOS!B:B)</f>
        <v>6</v>
      </c>
      <c r="C91" s="75" t="str">
        <f t="array" ref="C91">XLOOKUP(A91, CURSOS!A:A, CURSOS!C:C)</f>
        <v>¿CÓMO ENCONTRAR TESOROS EN EL CIELO?</v>
      </c>
      <c r="D91" s="70" t="s">
        <v>204</v>
      </c>
      <c r="E91" s="48">
        <f t="array" ref="E91">XLOOKUP($D91,REGOLITOS!$A:$A,REGOLITOS!E:E)</f>
        <v>62</v>
      </c>
      <c r="F91" s="48" t="str">
        <f t="array" ref="F91">XLOOKUP($D91,REGOLITOS!$A:$A,REGOLITOS!F:F)</f>
        <v>Ingeniería Civil</v>
      </c>
      <c r="G91" s="48" t="str">
        <f t="array" ref="G91">XLOOKUP($D91,REGOLITOS!$A:$A,REGOLITOS!G:G)</f>
        <v>Ciudad de México</v>
      </c>
      <c r="H91" s="48" t="str">
        <f t="array" ref="H91">XLOOKUP($D91,REGOLITOS!$A:$A,REGOLITOS!H:H)</f>
        <v>55 55 0066 0066</v>
      </c>
      <c r="I91" s="48" t="str">
        <f t="array" ref="I91">XLOOKUP($D91,REGOLITOS!$A:$A,REGOLITOS!I:I)</f>
        <v>usuario66@ejemplo.com</v>
      </c>
      <c r="J91" s="48" t="str">
        <f t="array" ref="J91">XLOOKUP($D91,REGOLITOS!$A:$A,REGOLITOS!J:J)</f>
        <v/>
      </c>
      <c r="K91" s="48" t="str">
        <f t="array" ref="K91">XLOOKUP($D91,REGOLITOS!$A:$A,REGOLITOS!K:K)</f>
        <v>Adulto Mayor</v>
      </c>
      <c r="L91" s="48">
        <v>200.0</v>
      </c>
      <c r="M91" s="5" t="s">
        <v>1078</v>
      </c>
      <c r="N91" s="5" t="s">
        <v>1078</v>
      </c>
      <c r="O91" s="5" t="s">
        <v>1078</v>
      </c>
      <c r="P91" s="5" t="s">
        <v>1078</v>
      </c>
      <c r="Q91" s="5" t="s">
        <v>1078</v>
      </c>
      <c r="X91" s="71">
        <f t="shared" si="2"/>
        <v>5</v>
      </c>
      <c r="Y91" s="5" t="b">
        <v>1</v>
      </c>
    </row>
    <row r="92">
      <c r="A92" s="5" t="s">
        <v>31</v>
      </c>
      <c r="B92" s="5">
        <f t="array" ref="B92">XLOOKUP(A92, CURSOS!A:A, CURSOS!B:B)</f>
        <v>6</v>
      </c>
      <c r="C92" s="75" t="str">
        <f t="array" ref="C92">XLOOKUP(A92, CURSOS!A:A, CURSOS!C:C)</f>
        <v>¿CÓMO ENCONTRAR TESOROS EN EL CIELO?</v>
      </c>
      <c r="D92" s="70" t="s">
        <v>366</v>
      </c>
      <c r="E92" s="48">
        <f t="array" ref="E92">XLOOKUP($D92,REGOLITOS!$A:$A,REGOLITOS!E:E)</f>
        <v>57</v>
      </c>
      <c r="F92" s="48" t="str">
        <f t="array" ref="F92">XLOOKUP($D92,REGOLITOS!$A:$A,REGOLITOS!F:F)</f>
        <v>Docente</v>
      </c>
      <c r="G92" s="48" t="str">
        <f t="array" ref="G92">XLOOKUP($D92,REGOLITOS!$A:$A,REGOLITOS!G:G)</f>
        <v>Puebla</v>
      </c>
      <c r="H92" s="48" t="str">
        <f t="array" ref="H92">XLOOKUP($D92,REGOLITOS!$A:$A,REGOLITOS!H:H)</f>
        <v>55 55 0179 0179</v>
      </c>
      <c r="I92" s="48" t="str">
        <f t="array" ref="I92">XLOOKUP($D92,REGOLITOS!$A:$A,REGOLITOS!I:I)</f>
        <v>usuario179@ejemplo.com</v>
      </c>
      <c r="J92" s="48" t="str">
        <f t="array" ref="J92">XLOOKUP($D92,REGOLITOS!$A:$A,REGOLITOS!J:J)</f>
        <v/>
      </c>
      <c r="K92" s="48" t="str">
        <f t="array" ref="K92">XLOOKUP($D92,REGOLITOS!$A:$A,REGOLITOS!K:K)</f>
        <v>Adulto</v>
      </c>
      <c r="L92" s="48">
        <v>200.0</v>
      </c>
      <c r="M92" s="5" t="s">
        <v>1078</v>
      </c>
      <c r="N92" s="5" t="s">
        <v>1080</v>
      </c>
      <c r="O92" s="5" t="s">
        <v>1078</v>
      </c>
      <c r="P92" s="5" t="s">
        <v>1078</v>
      </c>
      <c r="Q92" s="5" t="s">
        <v>1078</v>
      </c>
      <c r="X92" s="71">
        <f t="shared" si="2"/>
        <v>4</v>
      </c>
      <c r="Y92" s="5" t="b">
        <v>1</v>
      </c>
    </row>
    <row r="93">
      <c r="A93" s="5" t="s">
        <v>31</v>
      </c>
      <c r="B93" s="5">
        <f t="array" ref="B93">XLOOKUP(A93, CURSOS!A:A, CURSOS!B:B)</f>
        <v>6</v>
      </c>
      <c r="C93" s="75" t="str">
        <f t="array" ref="C93">XLOOKUP(A93, CURSOS!A:A, CURSOS!C:C)</f>
        <v>¿CÓMO ENCONTRAR TESOROS EN EL CIELO?</v>
      </c>
      <c r="D93" s="70" t="s">
        <v>232</v>
      </c>
      <c r="E93" s="48">
        <f t="array" ref="E93">XLOOKUP($D93,REGOLITOS!$A:$A,REGOLITOS!E:E)</f>
        <v>18</v>
      </c>
      <c r="F93" s="48" t="str">
        <f t="array" ref="F93">XLOOKUP($D93,REGOLITOS!$A:$A,REGOLITOS!F:F)</f>
        <v>Estudiante</v>
      </c>
      <c r="G93" s="48" t="str">
        <f t="array" ref="G93">XLOOKUP($D93,REGOLITOS!$A:$A,REGOLITOS!G:G)</f>
        <v>Hidalgo</v>
      </c>
      <c r="H93" s="48" t="str">
        <f t="array" ref="H93">XLOOKUP($D93,REGOLITOS!$A:$A,REGOLITOS!H:H)</f>
        <v>55 55 0085 0085</v>
      </c>
      <c r="I93" s="48" t="str">
        <f t="array" ref="I93">XLOOKUP($D93,REGOLITOS!$A:$A,REGOLITOS!I:I)</f>
        <v>usuario85@ejemplo.com</v>
      </c>
      <c r="J93" s="48" t="str">
        <f t="array" ref="J93">XLOOKUP($D93,REGOLITOS!$A:$A,REGOLITOS!J:J)</f>
        <v>Tutor_085</v>
      </c>
      <c r="K93" s="48" t="str">
        <f t="array" ref="K93">XLOOKUP($D93,REGOLITOS!$A:$A,REGOLITOS!K:K)</f>
        <v>Jóven adulto</v>
      </c>
      <c r="L93" s="48">
        <v>160.0</v>
      </c>
      <c r="M93" s="5" t="s">
        <v>1078</v>
      </c>
      <c r="N93" s="5" t="s">
        <v>1078</v>
      </c>
      <c r="O93" s="5" t="s">
        <v>1078</v>
      </c>
      <c r="P93" s="5" t="s">
        <v>1078</v>
      </c>
      <c r="Q93" s="5" t="s">
        <v>1078</v>
      </c>
      <c r="X93" s="71">
        <f t="shared" si="2"/>
        <v>5</v>
      </c>
      <c r="Y93" s="5" t="b">
        <v>1</v>
      </c>
    </row>
    <row r="94">
      <c r="A94" s="5" t="s">
        <v>31</v>
      </c>
      <c r="B94" s="5">
        <f t="array" ref="B94">XLOOKUP(A94, CURSOS!A:A, CURSOS!B:B)</f>
        <v>6</v>
      </c>
      <c r="C94" s="75" t="str">
        <f t="array" ref="C94">XLOOKUP(A94, CURSOS!A:A, CURSOS!C:C)</f>
        <v>¿CÓMO ENCONTRAR TESOROS EN EL CIELO?</v>
      </c>
      <c r="D94" s="70" t="s">
        <v>246</v>
      </c>
      <c r="E94" s="48">
        <f t="array" ref="E94">XLOOKUP($D94,REGOLITOS!$A:$A,REGOLITOS!E:E)</f>
        <v>17</v>
      </c>
      <c r="F94" s="48" t="str">
        <f t="array" ref="F94">XLOOKUP($D94,REGOLITOS!$A:$A,REGOLITOS!F:F)</f>
        <v>Jubilado</v>
      </c>
      <c r="G94" s="48" t="str">
        <f t="array" ref="G94">XLOOKUP($D94,REGOLITOS!$A:$A,REGOLITOS!G:G)</f>
        <v>Desconocido</v>
      </c>
      <c r="H94" s="48" t="str">
        <f t="array" ref="H94">XLOOKUP($D94,REGOLITOS!$A:$A,REGOLITOS!H:H)</f>
        <v>55 55 0094 0094</v>
      </c>
      <c r="I94" s="48" t="str">
        <f t="array" ref="I94">XLOOKUP($D94,REGOLITOS!$A:$A,REGOLITOS!I:I)</f>
        <v>usuario94@ejemplo.com</v>
      </c>
      <c r="J94" s="48" t="str">
        <f t="array" ref="J94">XLOOKUP($D94,REGOLITOS!$A:$A,REGOLITOS!J:J)</f>
        <v>Tutor_094</v>
      </c>
      <c r="K94" s="48" t="str">
        <f t="array" ref="K94">XLOOKUP($D94,REGOLITOS!$A:$A,REGOLITOS!K:K)</f>
        <v>Adolescente</v>
      </c>
      <c r="L94" s="48">
        <v>160.0</v>
      </c>
      <c r="M94" s="5" t="s">
        <v>1078</v>
      </c>
      <c r="N94" s="5" t="s">
        <v>1078</v>
      </c>
      <c r="O94" s="5" t="s">
        <v>1078</v>
      </c>
      <c r="P94" s="5" t="s">
        <v>1078</v>
      </c>
      <c r="Q94" s="5" t="s">
        <v>1078</v>
      </c>
      <c r="X94" s="71">
        <f t="shared" si="2"/>
        <v>5</v>
      </c>
      <c r="Y94" s="5" t="b">
        <v>1</v>
      </c>
    </row>
    <row r="95">
      <c r="A95" s="5" t="s">
        <v>31</v>
      </c>
      <c r="B95" s="5">
        <f t="array" ref="B95">XLOOKUP(A95, CURSOS!A:A, CURSOS!B:B)</f>
        <v>6</v>
      </c>
      <c r="C95" s="75" t="str">
        <f t="array" ref="C95">XLOOKUP(A95, CURSOS!A:A, CURSOS!C:C)</f>
        <v>¿CÓMO ENCONTRAR TESOROS EN EL CIELO?</v>
      </c>
      <c r="D95" s="70" t="s">
        <v>225</v>
      </c>
      <c r="E95" s="48">
        <f t="array" ref="E95">XLOOKUP($D95,REGOLITOS!$A:$A,REGOLITOS!E:E)</f>
        <v>88</v>
      </c>
      <c r="F95" s="48" t="str">
        <f t="array" ref="F95">XLOOKUP($D95,REGOLITOS!$A:$A,REGOLITOS!F:F)</f>
        <v>Docente</v>
      </c>
      <c r="G95" s="48" t="str">
        <f t="array" ref="G95">XLOOKUP($D95,REGOLITOS!$A:$A,REGOLITOS!G:G)</f>
        <v>Desconocido</v>
      </c>
      <c r="H95" s="48" t="str">
        <f t="array" ref="H95">XLOOKUP($D95,REGOLITOS!$A:$A,REGOLITOS!H:H)</f>
        <v>55 55 0080 0080</v>
      </c>
      <c r="I95" s="48" t="str">
        <f t="array" ref="I95">XLOOKUP($D95,REGOLITOS!$A:$A,REGOLITOS!I:I)</f>
        <v>usuario80@ejemplo.com</v>
      </c>
      <c r="J95" s="48" t="str">
        <f t="array" ref="J95">XLOOKUP($D95,REGOLITOS!$A:$A,REGOLITOS!J:J)</f>
        <v/>
      </c>
      <c r="K95" s="48" t="str">
        <f t="array" ref="K95">XLOOKUP($D95,REGOLITOS!$A:$A,REGOLITOS!K:K)</f>
        <v>Adulto Mayor</v>
      </c>
      <c r="L95" s="48">
        <v>200.0</v>
      </c>
      <c r="M95" s="5" t="s">
        <v>1078</v>
      </c>
      <c r="N95" s="5" t="s">
        <v>1078</v>
      </c>
      <c r="O95" s="5" t="s">
        <v>1078</v>
      </c>
      <c r="P95" s="5" t="s">
        <v>1078</v>
      </c>
      <c r="Q95" s="5" t="s">
        <v>1078</v>
      </c>
      <c r="X95" s="71">
        <f t="shared" si="2"/>
        <v>5</v>
      </c>
      <c r="Y95" s="5" t="b">
        <v>1</v>
      </c>
    </row>
    <row r="96">
      <c r="A96" s="5" t="s">
        <v>31</v>
      </c>
      <c r="B96" s="5">
        <f t="array" ref="B96">XLOOKUP(A96, CURSOS!A:A, CURSOS!B:B)</f>
        <v>6</v>
      </c>
      <c r="C96" s="75" t="str">
        <f t="array" ref="C96">XLOOKUP(A96, CURSOS!A:A, CURSOS!C:C)</f>
        <v>¿CÓMO ENCONTRAR TESOROS EN EL CIELO?</v>
      </c>
      <c r="D96" s="70" t="s">
        <v>201</v>
      </c>
      <c r="E96" s="48">
        <f t="array" ref="E96">XLOOKUP($D96,REGOLITOS!$A:$A,REGOLITOS!E:E)</f>
        <v>14</v>
      </c>
      <c r="F96" s="48" t="str">
        <f t="array" ref="F96">XLOOKUP($D96,REGOLITOS!$A:$A,REGOLITOS!F:F)</f>
        <v>Estudiante</v>
      </c>
      <c r="G96" s="48" t="str">
        <f t="array" ref="G96">XLOOKUP($D96,REGOLITOS!$A:$A,REGOLITOS!G:G)</f>
        <v>Ciudad de México</v>
      </c>
      <c r="H96" s="48" t="str">
        <f t="array" ref="H96">XLOOKUP($D96,REGOLITOS!$A:$A,REGOLITOS!H:H)</f>
        <v>55 55 0064 0064</v>
      </c>
      <c r="I96" s="48" t="str">
        <f t="array" ref="I96">XLOOKUP($D96,REGOLITOS!$A:$A,REGOLITOS!I:I)</f>
        <v>usuario64@ejemplo.com</v>
      </c>
      <c r="J96" s="48" t="str">
        <f t="array" ref="J96">XLOOKUP($D96,REGOLITOS!$A:$A,REGOLITOS!J:J)</f>
        <v>Tutor_064</v>
      </c>
      <c r="K96" s="48" t="str">
        <f t="array" ref="K96">XLOOKUP($D96,REGOLITOS!$A:$A,REGOLITOS!K:K)</f>
        <v>Adolescente</v>
      </c>
      <c r="L96" s="48">
        <v>200.0</v>
      </c>
      <c r="M96" s="5" t="s">
        <v>1080</v>
      </c>
      <c r="N96" s="5" t="s">
        <v>1078</v>
      </c>
      <c r="O96" s="5" t="s">
        <v>1078</v>
      </c>
      <c r="P96" s="5" t="s">
        <v>1078</v>
      </c>
      <c r="Q96" s="5" t="s">
        <v>1078</v>
      </c>
      <c r="X96" s="71">
        <f t="shared" si="2"/>
        <v>4</v>
      </c>
      <c r="Y96" s="5" t="b">
        <v>1</v>
      </c>
    </row>
    <row r="97">
      <c r="A97" s="5" t="s">
        <v>31</v>
      </c>
      <c r="B97" s="5">
        <f t="array" ref="B97">XLOOKUP(A97, CURSOS!A:A, CURSOS!B:B)</f>
        <v>6</v>
      </c>
      <c r="C97" s="75" t="str">
        <f t="array" ref="C97">XLOOKUP(A97, CURSOS!A:A, CURSOS!C:C)</f>
        <v>¿CÓMO ENCONTRAR TESOROS EN EL CIELO?</v>
      </c>
      <c r="D97" s="70" t="s">
        <v>206</v>
      </c>
      <c r="E97" s="48">
        <f t="array" ref="E97">XLOOKUP($D97,REGOLITOS!$A:$A,REGOLITOS!E:E)</f>
        <v>15</v>
      </c>
      <c r="F97" s="48" t="str">
        <f t="array" ref="F97">XLOOKUP($D97,REGOLITOS!$A:$A,REGOLITOS!F:F)</f>
        <v>Ingeniería Sistemas</v>
      </c>
      <c r="G97" s="48" t="str">
        <f t="array" ref="G97">XLOOKUP($D97,REGOLITOS!$A:$A,REGOLITOS!G:G)</f>
        <v>Morelos</v>
      </c>
      <c r="H97" s="48" t="str">
        <f t="array" ref="H97">XLOOKUP($D97,REGOLITOS!$A:$A,REGOLITOS!H:H)</f>
        <v>55 55 0068 0068</v>
      </c>
      <c r="I97" s="48" t="str">
        <f t="array" ref="I97">XLOOKUP($D97,REGOLITOS!$A:$A,REGOLITOS!I:I)</f>
        <v>usuario68@ejemplo.com</v>
      </c>
      <c r="J97" s="48" t="str">
        <f t="array" ref="J97">XLOOKUP($D97,REGOLITOS!$A:$A,REGOLITOS!J:J)</f>
        <v>Tutor_068</v>
      </c>
      <c r="K97" s="48" t="str">
        <f t="array" ref="K97">XLOOKUP($D97,REGOLITOS!$A:$A,REGOLITOS!K:K)</f>
        <v>Adolescente</v>
      </c>
      <c r="L97" s="48">
        <v>200.0</v>
      </c>
      <c r="M97" s="5" t="s">
        <v>1080</v>
      </c>
      <c r="N97" s="5" t="s">
        <v>1078</v>
      </c>
      <c r="O97" s="5" t="s">
        <v>1078</v>
      </c>
      <c r="P97" s="5" t="s">
        <v>1078</v>
      </c>
      <c r="Q97" s="5" t="s">
        <v>1078</v>
      </c>
      <c r="X97" s="71">
        <f t="shared" si="2"/>
        <v>4</v>
      </c>
      <c r="Y97" s="5" t="b">
        <v>1</v>
      </c>
    </row>
    <row r="98">
      <c r="A98" s="5" t="s">
        <v>31</v>
      </c>
      <c r="B98" s="5">
        <f t="array" ref="B98">XLOOKUP(A98, CURSOS!A:A, CURSOS!B:B)</f>
        <v>6</v>
      </c>
      <c r="C98" s="75" t="str">
        <f t="array" ref="C98">XLOOKUP(A98, CURSOS!A:A, CURSOS!C:C)</f>
        <v>¿CÓMO ENCONTRAR TESOROS EN EL CIELO?</v>
      </c>
      <c r="D98" s="70" t="s">
        <v>184</v>
      </c>
      <c r="E98" s="48">
        <f t="array" ref="E98">XLOOKUP($D98,REGOLITOS!$A:$A,REGOLITOS!E:E)</f>
        <v>84</v>
      </c>
      <c r="F98" s="48" t="str">
        <f t="array" ref="F98">XLOOKUP($D98,REGOLITOS!$A:$A,REGOLITOS!F:F)</f>
        <v>Estudiante</v>
      </c>
      <c r="G98" s="48" t="str">
        <f t="array" ref="G98">XLOOKUP($D98,REGOLITOS!$A:$A,REGOLITOS!G:G)</f>
        <v>Estado de México</v>
      </c>
      <c r="H98" s="48" t="str">
        <f t="array" ref="H98">XLOOKUP($D98,REGOLITOS!$A:$A,REGOLITOS!H:H)</f>
        <v>55 55 0052 0052</v>
      </c>
      <c r="I98" s="48" t="str">
        <f t="array" ref="I98">XLOOKUP($D98,REGOLITOS!$A:$A,REGOLITOS!I:I)</f>
        <v>usuario52@ejemplo.com</v>
      </c>
      <c r="J98" s="48" t="str">
        <f t="array" ref="J98">XLOOKUP($D98,REGOLITOS!$A:$A,REGOLITOS!J:J)</f>
        <v/>
      </c>
      <c r="K98" s="48" t="str">
        <f t="array" ref="K98">XLOOKUP($D98,REGOLITOS!$A:$A,REGOLITOS!K:K)</f>
        <v>Adulto Mayor</v>
      </c>
      <c r="L98" s="76" t="s">
        <v>1079</v>
      </c>
      <c r="M98" s="5" t="s">
        <v>1078</v>
      </c>
      <c r="N98" s="5" t="s">
        <v>1080</v>
      </c>
      <c r="O98" s="5" t="s">
        <v>1078</v>
      </c>
      <c r="P98" s="5" t="s">
        <v>1078</v>
      </c>
      <c r="Q98" s="5" t="s">
        <v>1078</v>
      </c>
      <c r="X98" s="71">
        <f t="shared" si="2"/>
        <v>4</v>
      </c>
      <c r="Y98" s="5" t="b">
        <v>1</v>
      </c>
    </row>
    <row r="99">
      <c r="A99" s="5" t="s">
        <v>31</v>
      </c>
      <c r="B99" s="5">
        <f t="array" ref="B99">XLOOKUP(A99, CURSOS!A:A, CURSOS!B:B)</f>
        <v>6</v>
      </c>
      <c r="C99" s="75" t="str">
        <f t="array" ref="C99">XLOOKUP(A99, CURSOS!A:A, CURSOS!C:C)</f>
        <v>¿CÓMO ENCONTRAR TESOROS EN EL CIELO?</v>
      </c>
      <c r="D99" s="70" t="s">
        <v>354</v>
      </c>
      <c r="E99" s="48">
        <f t="array" ref="E99">XLOOKUP($D99,REGOLITOS!$A:$A,REGOLITOS!E:E)</f>
        <v>53</v>
      </c>
      <c r="F99" s="48" t="str">
        <f t="array" ref="F99">XLOOKUP($D99,REGOLITOS!$A:$A,REGOLITOS!F:F)</f>
        <v>Estudiante</v>
      </c>
      <c r="G99" s="48" t="str">
        <f t="array" ref="G99">XLOOKUP($D99,REGOLITOS!$A:$A,REGOLITOS!G:G)</f>
        <v>Ciudad de México</v>
      </c>
      <c r="H99" s="48" t="str">
        <f t="array" ref="H99">XLOOKUP($D99,REGOLITOS!$A:$A,REGOLITOS!H:H)</f>
        <v>55 55 0169 0169</v>
      </c>
      <c r="I99" s="48" t="str">
        <f t="array" ref="I99">XLOOKUP($D99,REGOLITOS!$A:$A,REGOLITOS!I:I)</f>
        <v>usuario169@ejemplo.com</v>
      </c>
      <c r="J99" s="48" t="str">
        <f t="array" ref="J99">XLOOKUP($D99,REGOLITOS!$A:$A,REGOLITOS!J:J)</f>
        <v/>
      </c>
      <c r="K99" s="48" t="str">
        <f t="array" ref="K99">XLOOKUP($D99,REGOLITOS!$A:$A,REGOLITOS!K:K)</f>
        <v>Adulto</v>
      </c>
      <c r="L99" s="76" t="s">
        <v>1079</v>
      </c>
      <c r="M99" s="5" t="s">
        <v>1078</v>
      </c>
      <c r="N99" s="5" t="s">
        <v>1078</v>
      </c>
      <c r="O99" s="5" t="s">
        <v>1078</v>
      </c>
      <c r="P99" s="5" t="s">
        <v>1078</v>
      </c>
      <c r="Q99" s="5" t="s">
        <v>1078</v>
      </c>
      <c r="X99" s="71">
        <f t="shared" si="2"/>
        <v>5</v>
      </c>
      <c r="Y99" s="5" t="b">
        <v>1</v>
      </c>
    </row>
    <row r="100">
      <c r="A100" s="5" t="s">
        <v>31</v>
      </c>
      <c r="B100" s="5">
        <f t="array" ref="B100">XLOOKUP(A100, CURSOS!A:A, CURSOS!B:B)</f>
        <v>6</v>
      </c>
      <c r="C100" s="75" t="str">
        <f t="array" ref="C100">XLOOKUP(A100, CURSOS!A:A, CURSOS!C:C)</f>
        <v>¿CÓMO ENCONTRAR TESOROS EN EL CIELO?</v>
      </c>
      <c r="D100" s="70" t="s">
        <v>368</v>
      </c>
      <c r="E100" s="48">
        <f t="array" ref="E100">XLOOKUP($D100,REGOLITOS!$A:$A,REGOLITOS!E:E)</f>
        <v>15</v>
      </c>
      <c r="F100" s="48" t="str">
        <f t="array" ref="F100">XLOOKUP($D100,REGOLITOS!$A:$A,REGOLITOS!F:F)</f>
        <v>Construcción</v>
      </c>
      <c r="G100" s="48" t="str">
        <f t="array" ref="G100">XLOOKUP($D100,REGOLITOS!$A:$A,REGOLITOS!G:G)</f>
        <v>Hidalgo</v>
      </c>
      <c r="H100" s="48" t="str">
        <f t="array" ref="H100">XLOOKUP($D100,REGOLITOS!$A:$A,REGOLITOS!H:H)</f>
        <v>55 55 0180 0180</v>
      </c>
      <c r="I100" s="48" t="str">
        <f t="array" ref="I100">XLOOKUP($D100,REGOLITOS!$A:$A,REGOLITOS!I:I)</f>
        <v>usuario180@ejemplo.com</v>
      </c>
      <c r="J100" s="48" t="str">
        <f t="array" ref="J100">XLOOKUP($D100,REGOLITOS!$A:$A,REGOLITOS!J:J)</f>
        <v>Tutor_180</v>
      </c>
      <c r="K100" s="48" t="str">
        <f t="array" ref="K100">XLOOKUP($D100,REGOLITOS!$A:$A,REGOLITOS!K:K)</f>
        <v>Adolescente</v>
      </c>
      <c r="L100" s="48">
        <v>200.0</v>
      </c>
      <c r="M100" s="5" t="s">
        <v>1078</v>
      </c>
      <c r="N100" s="5" t="s">
        <v>1080</v>
      </c>
      <c r="O100" s="5" t="s">
        <v>1078</v>
      </c>
      <c r="P100" s="5" t="s">
        <v>1078</v>
      </c>
      <c r="Q100" s="5" t="s">
        <v>1080</v>
      </c>
      <c r="X100" s="71">
        <f t="shared" si="2"/>
        <v>3</v>
      </c>
      <c r="Y100" s="5" t="b">
        <v>0</v>
      </c>
    </row>
    <row r="101">
      <c r="A101" s="5" t="s">
        <v>31</v>
      </c>
      <c r="B101" s="5">
        <f t="array" ref="B101">XLOOKUP(A101, CURSOS!A:A, CURSOS!B:B)</f>
        <v>6</v>
      </c>
      <c r="C101" s="75" t="str">
        <f t="array" ref="C101">XLOOKUP(A101, CURSOS!A:A, CURSOS!C:C)</f>
        <v>¿CÓMO ENCONTRAR TESOROS EN EL CIELO?</v>
      </c>
      <c r="D101" s="70" t="s">
        <v>359</v>
      </c>
      <c r="E101" s="48">
        <f t="array" ref="E101">XLOOKUP($D101,REGOLITOS!$A:$A,REGOLITOS!E:E)</f>
        <v>8</v>
      </c>
      <c r="F101" s="48" t="str">
        <f t="array" ref="F101">XLOOKUP($D101,REGOLITOS!$A:$A,REGOLITOS!F:F)</f>
        <v>Ingeniero</v>
      </c>
      <c r="G101" s="48" t="str">
        <f t="array" ref="G101">XLOOKUP($D101,REGOLITOS!$A:$A,REGOLITOS!G:G)</f>
        <v>México</v>
      </c>
      <c r="H101" s="48" t="str">
        <f t="array" ref="H101">XLOOKUP($D101,REGOLITOS!$A:$A,REGOLITOS!H:H)</f>
        <v>55 55 0174 0174</v>
      </c>
      <c r="I101" s="48" t="str">
        <f t="array" ref="I101">XLOOKUP($D101,REGOLITOS!$A:$A,REGOLITOS!I:I)</f>
        <v>usuario174@ejemplo.com</v>
      </c>
      <c r="J101" s="48" t="str">
        <f t="array" ref="J101">XLOOKUP($D101,REGOLITOS!$A:$A,REGOLITOS!J:J)</f>
        <v>Tutor_174</v>
      </c>
      <c r="K101" s="48" t="str">
        <f t="array" ref="K101">XLOOKUP($D101,REGOLITOS!$A:$A,REGOLITOS!K:K)</f>
        <v>Infancia</v>
      </c>
      <c r="L101" s="48">
        <v>200.0</v>
      </c>
      <c r="M101" s="5" t="s">
        <v>1078</v>
      </c>
      <c r="N101" s="5" t="s">
        <v>1078</v>
      </c>
      <c r="O101" s="5" t="s">
        <v>1080</v>
      </c>
      <c r="P101" s="5" t="s">
        <v>1080</v>
      </c>
      <c r="Q101" s="5" t="s">
        <v>1080</v>
      </c>
      <c r="X101" s="71">
        <f t="shared" si="2"/>
        <v>2</v>
      </c>
      <c r="Y101" s="5" t="b">
        <v>0</v>
      </c>
    </row>
    <row r="102">
      <c r="A102" s="5" t="s">
        <v>31</v>
      </c>
      <c r="B102" s="5">
        <f t="array" ref="B102">XLOOKUP(A102, CURSOS!A:A, CURSOS!B:B)</f>
        <v>6</v>
      </c>
      <c r="C102" s="75" t="str">
        <f t="array" ref="C102">XLOOKUP(A102, CURSOS!A:A, CURSOS!C:C)</f>
        <v>¿CÓMO ENCONTRAR TESOROS EN EL CIELO?</v>
      </c>
      <c r="D102" s="70" t="s">
        <v>161</v>
      </c>
      <c r="E102" s="48">
        <f t="array" ref="E102">XLOOKUP($D102,REGOLITOS!$A:$A,REGOLITOS!E:E)</f>
        <v>13</v>
      </c>
      <c r="F102" s="48" t="str">
        <f t="array" ref="F102">XLOOKUP($D102,REGOLITOS!$A:$A,REGOLITOS!F:F)</f>
        <v>Ama de casa</v>
      </c>
      <c r="G102" s="48" t="str">
        <f t="array" ref="G102">XLOOKUP($D102,REGOLITOS!$A:$A,REGOLITOS!G:G)</f>
        <v>Estado de México.</v>
      </c>
      <c r="H102" s="48" t="str">
        <f t="array" ref="H102">XLOOKUP($D102,REGOLITOS!$A:$A,REGOLITOS!H:H)</f>
        <v>55 55 0039 0039</v>
      </c>
      <c r="I102" s="48" t="str">
        <f t="array" ref="I102">XLOOKUP($D102,REGOLITOS!$A:$A,REGOLITOS!I:I)</f>
        <v>usuario39@ejemplo.com</v>
      </c>
      <c r="J102" s="48" t="str">
        <f t="array" ref="J102">XLOOKUP($D102,REGOLITOS!$A:$A,REGOLITOS!J:J)</f>
        <v>Tutor_039</v>
      </c>
      <c r="K102" s="48" t="str">
        <f t="array" ref="K102">XLOOKUP($D102,REGOLITOS!$A:$A,REGOLITOS!K:K)</f>
        <v>Adolescente</v>
      </c>
      <c r="L102" s="48">
        <v>200.0</v>
      </c>
      <c r="M102" s="5" t="s">
        <v>1078</v>
      </c>
      <c r="N102" s="5" t="s">
        <v>1080</v>
      </c>
      <c r="O102" s="5" t="s">
        <v>1080</v>
      </c>
      <c r="P102" s="5" t="s">
        <v>1080</v>
      </c>
      <c r="Q102" s="5" t="s">
        <v>1080</v>
      </c>
      <c r="X102" s="71">
        <f t="shared" si="2"/>
        <v>1</v>
      </c>
      <c r="Y102" s="5" t="b">
        <v>0</v>
      </c>
    </row>
    <row r="103">
      <c r="A103" s="30" t="s">
        <v>35</v>
      </c>
      <c r="B103" s="30">
        <f t="array" ref="B103">XLOOKUP(A103, CURSOS!A:A, CURSOS!B:B)</f>
        <v>7</v>
      </c>
      <c r="C103" s="13" t="str">
        <f t="array" ref="C103">XLOOKUP(A103, CURSOS!A:A, CURSOS!C:C)</f>
        <v>MONTAJE Y MANEJO DE TELESCOPIOS</v>
      </c>
      <c r="D103" s="70" t="s">
        <v>246</v>
      </c>
      <c r="E103" s="48">
        <f t="array" ref="E103">XLOOKUP($D103,REGOLITOS!$A:$A,REGOLITOS!E:E)</f>
        <v>17</v>
      </c>
      <c r="F103" s="48" t="str">
        <f t="array" ref="F103">XLOOKUP($D103,REGOLITOS!$A:$A,REGOLITOS!F:F)</f>
        <v>Jubilado</v>
      </c>
      <c r="G103" s="48" t="str">
        <f t="array" ref="G103">XLOOKUP($D103,REGOLITOS!$A:$A,REGOLITOS!G:G)</f>
        <v>Desconocido</v>
      </c>
      <c r="H103" s="48" t="str">
        <f t="array" ref="H103">XLOOKUP($D103,REGOLITOS!$A:$A,REGOLITOS!H:H)</f>
        <v>55 55 0094 0094</v>
      </c>
      <c r="I103" s="48" t="str">
        <f t="array" ref="I103">XLOOKUP($D103,REGOLITOS!$A:$A,REGOLITOS!I:I)</f>
        <v>usuario94@ejemplo.com</v>
      </c>
      <c r="J103" s="48" t="str">
        <f t="array" ref="J103">XLOOKUP($D103,REGOLITOS!$A:$A,REGOLITOS!J:J)</f>
        <v>Tutor_094</v>
      </c>
      <c r="K103" s="48" t="str">
        <f t="array" ref="K103">XLOOKUP($D103,REGOLITOS!$A:$A,REGOLITOS!K:K)</f>
        <v>Adolescente</v>
      </c>
      <c r="L103" s="48">
        <v>100.0</v>
      </c>
      <c r="M103" s="5" t="s">
        <v>1078</v>
      </c>
      <c r="N103" s="5" t="s">
        <v>1078</v>
      </c>
      <c r="O103" s="5" t="s">
        <v>1078</v>
      </c>
      <c r="P103" s="5"/>
      <c r="Q103" s="5"/>
      <c r="X103" s="71">
        <f t="shared" si="2"/>
        <v>3</v>
      </c>
      <c r="Y103" s="5" t="b">
        <v>1</v>
      </c>
    </row>
    <row r="104">
      <c r="A104" s="30" t="s">
        <v>35</v>
      </c>
      <c r="B104" s="30">
        <f t="array" ref="B104">XLOOKUP(A104, CURSOS!A:A, CURSOS!B:B)</f>
        <v>7</v>
      </c>
      <c r="C104" s="13" t="str">
        <f t="array" ref="C104">XLOOKUP(A104, CURSOS!A:A, CURSOS!C:C)</f>
        <v>MONTAJE Y MANEJO DE TELESCOPIOS</v>
      </c>
      <c r="D104" s="70" t="s">
        <v>368</v>
      </c>
      <c r="E104" s="48">
        <f t="array" ref="E104">XLOOKUP($D104,REGOLITOS!$A:$A,REGOLITOS!E:E)</f>
        <v>15</v>
      </c>
      <c r="F104" s="48" t="str">
        <f t="array" ref="F104">XLOOKUP($D104,REGOLITOS!$A:$A,REGOLITOS!F:F)</f>
        <v>Construcción</v>
      </c>
      <c r="G104" s="48" t="str">
        <f t="array" ref="G104">XLOOKUP($D104,REGOLITOS!$A:$A,REGOLITOS!G:G)</f>
        <v>Hidalgo</v>
      </c>
      <c r="H104" s="48" t="str">
        <f t="array" ref="H104">XLOOKUP($D104,REGOLITOS!$A:$A,REGOLITOS!H:H)</f>
        <v>55 55 0180 0180</v>
      </c>
      <c r="I104" s="48" t="str">
        <f t="array" ref="I104">XLOOKUP($D104,REGOLITOS!$A:$A,REGOLITOS!I:I)</f>
        <v>usuario180@ejemplo.com</v>
      </c>
      <c r="J104" s="48" t="str">
        <f t="array" ref="J104">XLOOKUP($D104,REGOLITOS!$A:$A,REGOLITOS!J:J)</f>
        <v>Tutor_180</v>
      </c>
      <c r="K104" s="48" t="str">
        <f t="array" ref="K104">XLOOKUP($D104,REGOLITOS!$A:$A,REGOLITOS!K:K)</f>
        <v>Adolescente</v>
      </c>
      <c r="L104" s="48">
        <v>100.0</v>
      </c>
      <c r="M104" s="5" t="s">
        <v>1078</v>
      </c>
      <c r="N104" s="5" t="s">
        <v>1078</v>
      </c>
      <c r="O104" s="5" t="s">
        <v>1078</v>
      </c>
      <c r="P104" s="5"/>
      <c r="Q104" s="5"/>
      <c r="X104" s="71">
        <f t="shared" si="2"/>
        <v>3</v>
      </c>
      <c r="Y104" s="5" t="b">
        <v>1</v>
      </c>
    </row>
    <row r="105">
      <c r="A105" s="30" t="s">
        <v>35</v>
      </c>
      <c r="B105" s="30">
        <f t="array" ref="B105">XLOOKUP(A105, CURSOS!A:A, CURSOS!B:B)</f>
        <v>7</v>
      </c>
      <c r="C105" s="13" t="str">
        <f t="array" ref="C105">XLOOKUP(A105, CURSOS!A:A, CURSOS!C:C)</f>
        <v>MONTAJE Y MANEJO DE TELESCOPIOS</v>
      </c>
      <c r="D105" s="70" t="s">
        <v>312</v>
      </c>
      <c r="E105" s="48">
        <f t="array" ref="E105">XLOOKUP($D105,REGOLITOS!$A:$A,REGOLITOS!E:E)</f>
        <v>29</v>
      </c>
      <c r="F105" s="48" t="str">
        <f t="array" ref="F105">XLOOKUP($D105,REGOLITOS!$A:$A,REGOLITOS!F:F)</f>
        <v>Estudiante</v>
      </c>
      <c r="G105" s="48" t="str">
        <f t="array" ref="G105">XLOOKUP($D105,REGOLITOS!$A:$A,REGOLITOS!G:G)</f>
        <v>Oaxaca</v>
      </c>
      <c r="H105" s="48" t="str">
        <f t="array" ref="H105">XLOOKUP($D105,REGOLITOS!$A:$A,REGOLITOS!H:H)</f>
        <v>55 55 0140 0140</v>
      </c>
      <c r="I105" s="48" t="str">
        <f t="array" ref="I105">XLOOKUP($D105,REGOLITOS!$A:$A,REGOLITOS!I:I)</f>
        <v>usuario140@ejemplo.com</v>
      </c>
      <c r="J105" s="48" t="str">
        <f t="array" ref="J105">XLOOKUP($D105,REGOLITOS!$A:$A,REGOLITOS!J:J)</f>
        <v/>
      </c>
      <c r="K105" s="48" t="str">
        <f t="array" ref="K105">XLOOKUP($D105,REGOLITOS!$A:$A,REGOLITOS!K:K)</f>
        <v>Jóven adulto</v>
      </c>
      <c r="L105" s="48">
        <v>100.0</v>
      </c>
      <c r="M105" s="5" t="s">
        <v>1078</v>
      </c>
      <c r="N105" s="5" t="s">
        <v>1078</v>
      </c>
      <c r="O105" s="5" t="s">
        <v>1078</v>
      </c>
      <c r="P105" s="5"/>
      <c r="Q105" s="5"/>
      <c r="X105" s="71">
        <f t="shared" si="2"/>
        <v>3</v>
      </c>
      <c r="Y105" s="5" t="b">
        <v>1</v>
      </c>
    </row>
    <row r="106">
      <c r="A106" s="30" t="s">
        <v>35</v>
      </c>
      <c r="B106" s="30">
        <f t="array" ref="B106">XLOOKUP(A106, CURSOS!A:A, CURSOS!B:B)</f>
        <v>7</v>
      </c>
      <c r="C106" s="13" t="str">
        <f t="array" ref="C106">XLOOKUP(A106, CURSOS!A:A, CURSOS!C:C)</f>
        <v>MONTAJE Y MANEJO DE TELESCOPIOS</v>
      </c>
      <c r="D106" s="70" t="s">
        <v>321</v>
      </c>
      <c r="E106" s="48">
        <f t="array" ref="E106">XLOOKUP($D106,REGOLITOS!$A:$A,REGOLITOS!E:E)</f>
        <v>81</v>
      </c>
      <c r="F106" s="48" t="str">
        <f t="array" ref="F106">XLOOKUP($D106,REGOLITOS!$A:$A,REGOLITOS!F:F)</f>
        <v>Arquitecta</v>
      </c>
      <c r="G106" s="48" t="str">
        <f t="array" ref="G106">XLOOKUP($D106,REGOLITOS!$A:$A,REGOLITOS!G:G)</f>
        <v>Ciudad de México</v>
      </c>
      <c r="H106" s="48" t="str">
        <f t="array" ref="H106">XLOOKUP($D106,REGOLITOS!$A:$A,REGOLITOS!H:H)</f>
        <v>55 55 0147 0147</v>
      </c>
      <c r="I106" s="48" t="str">
        <f t="array" ref="I106">XLOOKUP($D106,REGOLITOS!$A:$A,REGOLITOS!I:I)</f>
        <v>usuario147@ejemplo.com</v>
      </c>
      <c r="J106" s="48" t="str">
        <f t="array" ref="J106">XLOOKUP($D106,REGOLITOS!$A:$A,REGOLITOS!J:J)</f>
        <v/>
      </c>
      <c r="K106" s="48" t="str">
        <f t="array" ref="K106">XLOOKUP($D106,REGOLITOS!$A:$A,REGOLITOS!K:K)</f>
        <v>Adulto Mayor</v>
      </c>
      <c r="L106" s="48">
        <v>120.0</v>
      </c>
      <c r="M106" s="5" t="s">
        <v>1078</v>
      </c>
      <c r="N106" s="5" t="s">
        <v>1078</v>
      </c>
      <c r="O106" s="5" t="s">
        <v>1078</v>
      </c>
      <c r="P106" s="5"/>
      <c r="Q106" s="5"/>
      <c r="X106" s="71">
        <f t="shared" si="2"/>
        <v>3</v>
      </c>
      <c r="Y106" s="5" t="b">
        <v>1</v>
      </c>
    </row>
    <row r="107">
      <c r="A107" s="30" t="s">
        <v>35</v>
      </c>
      <c r="B107" s="30">
        <f t="array" ref="B107">XLOOKUP(A107, CURSOS!A:A, CURSOS!B:B)</f>
        <v>7</v>
      </c>
      <c r="C107" s="13" t="str">
        <f t="array" ref="C107">XLOOKUP(A107, CURSOS!A:A, CURSOS!C:C)</f>
        <v>MONTAJE Y MANEJO DE TELESCOPIOS</v>
      </c>
      <c r="D107" s="70" t="s">
        <v>229</v>
      </c>
      <c r="E107" s="48">
        <f t="array" ref="E107">XLOOKUP($D107,REGOLITOS!$A:$A,REGOLITOS!E:E)</f>
        <v>44</v>
      </c>
      <c r="F107" s="48" t="str">
        <f t="array" ref="F107">XLOOKUP($D107,REGOLITOS!$A:$A,REGOLITOS!F:F)</f>
        <v>Cinefotógrafa</v>
      </c>
      <c r="G107" s="48" t="str">
        <f t="array" ref="G107">XLOOKUP($D107,REGOLITOS!$A:$A,REGOLITOS!G:G)</f>
        <v>Ciudad de México</v>
      </c>
      <c r="H107" s="48" t="str">
        <f t="array" ref="H107">XLOOKUP($D107,REGOLITOS!$A:$A,REGOLITOS!H:H)</f>
        <v>55 55 0083 0083</v>
      </c>
      <c r="I107" s="48" t="str">
        <f t="array" ref="I107">XLOOKUP($D107,REGOLITOS!$A:$A,REGOLITOS!I:I)</f>
        <v>usuario83@ejemplo.com</v>
      </c>
      <c r="J107" s="48" t="str">
        <f t="array" ref="J107">XLOOKUP($D107,REGOLITOS!$A:$A,REGOLITOS!J:J)</f>
        <v/>
      </c>
      <c r="K107" s="48" t="str">
        <f t="array" ref="K107">XLOOKUP($D107,REGOLITOS!$A:$A,REGOLITOS!K:K)</f>
        <v>Adulto</v>
      </c>
      <c r="L107" s="48">
        <v>120.0</v>
      </c>
      <c r="M107" s="5" t="s">
        <v>1078</v>
      </c>
      <c r="N107" s="5" t="s">
        <v>1078</v>
      </c>
      <c r="O107" s="5" t="s">
        <v>1078</v>
      </c>
      <c r="P107" s="5"/>
      <c r="Q107" s="5"/>
      <c r="X107" s="71">
        <f t="shared" si="2"/>
        <v>3</v>
      </c>
      <c r="Y107" s="5" t="b">
        <v>1</v>
      </c>
    </row>
    <row r="108">
      <c r="A108" s="30" t="s">
        <v>35</v>
      </c>
      <c r="B108" s="30">
        <f t="array" ref="B108">XLOOKUP(A108, CURSOS!A:A, CURSOS!B:B)</f>
        <v>7</v>
      </c>
      <c r="C108" s="13" t="str">
        <f t="array" ref="C108">XLOOKUP(A108, CURSOS!A:A, CURSOS!C:C)</f>
        <v>MONTAJE Y MANEJO DE TELESCOPIOS</v>
      </c>
      <c r="D108" s="70" t="s">
        <v>232</v>
      </c>
      <c r="E108" s="48">
        <f t="array" ref="E108">XLOOKUP($D108,REGOLITOS!$A:$A,REGOLITOS!E:E)</f>
        <v>18</v>
      </c>
      <c r="F108" s="48" t="str">
        <f t="array" ref="F108">XLOOKUP($D108,REGOLITOS!$A:$A,REGOLITOS!F:F)</f>
        <v>Estudiante</v>
      </c>
      <c r="G108" s="48" t="str">
        <f t="array" ref="G108">XLOOKUP($D108,REGOLITOS!$A:$A,REGOLITOS!G:G)</f>
        <v>Hidalgo</v>
      </c>
      <c r="H108" s="48" t="str">
        <f t="array" ref="H108">XLOOKUP($D108,REGOLITOS!$A:$A,REGOLITOS!H:H)</f>
        <v>55 55 0085 0085</v>
      </c>
      <c r="I108" s="48" t="str">
        <f t="array" ref="I108">XLOOKUP($D108,REGOLITOS!$A:$A,REGOLITOS!I:I)</f>
        <v>usuario85@ejemplo.com</v>
      </c>
      <c r="J108" s="48" t="str">
        <f t="array" ref="J108">XLOOKUP($D108,REGOLITOS!$A:$A,REGOLITOS!J:J)</f>
        <v>Tutor_085</v>
      </c>
      <c r="K108" s="48" t="str">
        <f t="array" ref="K108">XLOOKUP($D108,REGOLITOS!$A:$A,REGOLITOS!K:K)</f>
        <v>Jóven adulto</v>
      </c>
      <c r="L108" s="48">
        <v>120.0</v>
      </c>
      <c r="M108" s="5" t="s">
        <v>1081</v>
      </c>
      <c r="N108" s="5" t="s">
        <v>1078</v>
      </c>
      <c r="O108" s="5" t="s">
        <v>1078</v>
      </c>
      <c r="P108" s="5"/>
      <c r="Q108" s="5"/>
      <c r="X108" s="71">
        <f t="shared" si="2"/>
        <v>3</v>
      </c>
      <c r="Y108" s="5" t="b">
        <v>1</v>
      </c>
    </row>
    <row r="109">
      <c r="A109" s="30" t="s">
        <v>35</v>
      </c>
      <c r="B109" s="30">
        <f t="array" ref="B109">XLOOKUP(A109, CURSOS!A:A, CURSOS!B:B)</f>
        <v>7</v>
      </c>
      <c r="C109" s="13" t="str">
        <f t="array" ref="C109">XLOOKUP(A109, CURSOS!A:A, CURSOS!C:C)</f>
        <v>MONTAJE Y MANEJO DE TELESCOPIOS</v>
      </c>
      <c r="D109" s="70" t="s">
        <v>98</v>
      </c>
      <c r="E109" s="48">
        <f t="array" ref="E109">XLOOKUP($D109,REGOLITOS!$A:$A,REGOLITOS!E:E)</f>
        <v>16</v>
      </c>
      <c r="F109" s="48" t="str">
        <f t="array" ref="F109">XLOOKUP($D109,REGOLITOS!$A:$A,REGOLITOS!F:F)</f>
        <v>Servidor público</v>
      </c>
      <c r="G109" s="48" t="str">
        <f t="array" ref="G109">XLOOKUP($D109,REGOLITOS!$A:$A,REGOLITOS!G:G)</f>
        <v>Ciudad de México</v>
      </c>
      <c r="H109" s="48" t="str">
        <f t="array" ref="H109">XLOOKUP($D109,REGOLITOS!$A:$A,REGOLITOS!H:H)</f>
        <v>55 55 0003 0003</v>
      </c>
      <c r="I109" s="48" t="str">
        <f t="array" ref="I109">XLOOKUP($D109,REGOLITOS!$A:$A,REGOLITOS!I:I)</f>
        <v>usuario3@ejemplo.com</v>
      </c>
      <c r="J109" s="48" t="str">
        <f t="array" ref="J109">XLOOKUP($D109,REGOLITOS!$A:$A,REGOLITOS!J:J)</f>
        <v>Tutor_003</v>
      </c>
      <c r="K109" s="48" t="str">
        <f t="array" ref="K109">XLOOKUP($D109,REGOLITOS!$A:$A,REGOLITOS!K:K)</f>
        <v>Adolescente</v>
      </c>
      <c r="L109" s="48">
        <v>120.0</v>
      </c>
      <c r="M109" s="5" t="s">
        <v>1080</v>
      </c>
      <c r="N109" s="5" t="s">
        <v>1078</v>
      </c>
      <c r="O109" s="5" t="s">
        <v>1078</v>
      </c>
      <c r="P109" s="5"/>
      <c r="Q109" s="5"/>
      <c r="X109" s="71">
        <f t="shared" si="2"/>
        <v>2</v>
      </c>
      <c r="Y109" s="5" t="b">
        <v>1</v>
      </c>
    </row>
    <row r="110">
      <c r="A110" s="30" t="s">
        <v>35</v>
      </c>
      <c r="B110" s="30">
        <f t="array" ref="B110">XLOOKUP(A110, CURSOS!A:A, CURSOS!B:B)</f>
        <v>7</v>
      </c>
      <c r="C110" s="13" t="str">
        <f t="array" ref="C110">XLOOKUP(A110, CURSOS!A:A, CURSOS!C:C)</f>
        <v>MONTAJE Y MANEJO DE TELESCOPIOS</v>
      </c>
      <c r="D110" s="70" t="s">
        <v>227</v>
      </c>
      <c r="E110" s="48">
        <f t="array" ref="E110">XLOOKUP($D110,REGOLITOS!$A:$A,REGOLITOS!E:E)</f>
        <v>66</v>
      </c>
      <c r="F110" s="48" t="str">
        <f t="array" ref="F110">XLOOKUP($D110,REGOLITOS!$A:$A,REGOLITOS!F:F)</f>
        <v>Operadora de CTP</v>
      </c>
      <c r="G110" s="48" t="str">
        <f t="array" ref="G110">XLOOKUP($D110,REGOLITOS!$A:$A,REGOLITOS!G:G)</f>
        <v>Ciudad de México</v>
      </c>
      <c r="H110" s="48" t="str">
        <f t="array" ref="H110">XLOOKUP($D110,REGOLITOS!$A:$A,REGOLITOS!H:H)</f>
        <v>55 55 0082 0082</v>
      </c>
      <c r="I110" s="48" t="str">
        <f t="array" ref="I110">XLOOKUP($D110,REGOLITOS!$A:$A,REGOLITOS!I:I)</f>
        <v>usuario82@ejemplo.com</v>
      </c>
      <c r="J110" s="48" t="str">
        <f t="array" ref="J110">XLOOKUP($D110,REGOLITOS!$A:$A,REGOLITOS!J:J)</f>
        <v/>
      </c>
      <c r="K110" s="48" t="str">
        <f t="array" ref="K110">XLOOKUP($D110,REGOLITOS!$A:$A,REGOLITOS!K:K)</f>
        <v>Adulto Mayor</v>
      </c>
      <c r="L110" s="48">
        <v>100.0</v>
      </c>
      <c r="M110" s="5" t="s">
        <v>1080</v>
      </c>
      <c r="N110" s="5" t="s">
        <v>1078</v>
      </c>
      <c r="O110" s="5" t="s">
        <v>1078</v>
      </c>
      <c r="P110" s="5"/>
      <c r="Q110" s="5"/>
      <c r="X110" s="71">
        <f t="shared" si="2"/>
        <v>2</v>
      </c>
      <c r="Y110" s="5" t="b">
        <v>1</v>
      </c>
    </row>
    <row r="111">
      <c r="A111" s="30" t="s">
        <v>35</v>
      </c>
      <c r="B111" s="30">
        <f t="array" ref="B111">XLOOKUP(A111, CURSOS!A:A, CURSOS!B:B)</f>
        <v>7</v>
      </c>
      <c r="C111" s="13" t="str">
        <f t="array" ref="C111">XLOOKUP(A111, CURSOS!A:A, CURSOS!C:C)</f>
        <v>MONTAJE Y MANEJO DE TELESCOPIOS</v>
      </c>
      <c r="D111" s="70" t="s">
        <v>366</v>
      </c>
      <c r="E111" s="48">
        <f t="array" ref="E111">XLOOKUP($D111,REGOLITOS!$A:$A,REGOLITOS!E:E)</f>
        <v>57</v>
      </c>
      <c r="F111" s="48" t="str">
        <f t="array" ref="F111">XLOOKUP($D111,REGOLITOS!$A:$A,REGOLITOS!F:F)</f>
        <v>Docente</v>
      </c>
      <c r="G111" s="48" t="str">
        <f t="array" ref="G111">XLOOKUP($D111,REGOLITOS!$A:$A,REGOLITOS!G:G)</f>
        <v>Puebla</v>
      </c>
      <c r="H111" s="48" t="str">
        <f t="array" ref="H111">XLOOKUP($D111,REGOLITOS!$A:$A,REGOLITOS!H:H)</f>
        <v>55 55 0179 0179</v>
      </c>
      <c r="I111" s="48" t="str">
        <f t="array" ref="I111">XLOOKUP($D111,REGOLITOS!$A:$A,REGOLITOS!I:I)</f>
        <v>usuario179@ejemplo.com</v>
      </c>
      <c r="J111" s="48" t="str">
        <f t="array" ref="J111">XLOOKUP($D111,REGOLITOS!$A:$A,REGOLITOS!J:J)</f>
        <v/>
      </c>
      <c r="K111" s="48" t="str">
        <f t="array" ref="K111">XLOOKUP($D111,REGOLITOS!$A:$A,REGOLITOS!K:K)</f>
        <v>Adulto</v>
      </c>
      <c r="L111" s="48">
        <v>120.0</v>
      </c>
      <c r="M111" s="5" t="s">
        <v>1078</v>
      </c>
      <c r="N111" s="5" t="s">
        <v>1080</v>
      </c>
      <c r="O111" s="5" t="s">
        <v>1078</v>
      </c>
      <c r="P111" s="5"/>
      <c r="Q111" s="5"/>
      <c r="X111" s="71">
        <f t="shared" si="2"/>
        <v>2</v>
      </c>
      <c r="Y111" s="5" t="b">
        <v>1</v>
      </c>
    </row>
    <row r="112">
      <c r="A112" s="30" t="s">
        <v>35</v>
      </c>
      <c r="B112" s="30">
        <f t="array" ref="B112">XLOOKUP(A112, CURSOS!A:A, CURSOS!B:B)</f>
        <v>7</v>
      </c>
      <c r="C112" s="13" t="str">
        <f t="array" ref="C112">XLOOKUP(A112, CURSOS!A:A, CURSOS!C:C)</f>
        <v>MONTAJE Y MANEJO DE TELESCOPIOS</v>
      </c>
      <c r="D112" s="70" t="s">
        <v>370</v>
      </c>
      <c r="E112" s="48">
        <f t="array" ref="E112">XLOOKUP($D112,REGOLITOS!$A:$A,REGOLITOS!E:E)</f>
        <v>53</v>
      </c>
      <c r="F112" s="48" t="str">
        <f t="array" ref="F112">XLOOKUP($D112,REGOLITOS!$A:$A,REGOLITOS!F:F)</f>
        <v>Diseñadora</v>
      </c>
      <c r="G112" s="48" t="str">
        <f t="array" ref="G112">XLOOKUP($D112,REGOLITOS!$A:$A,REGOLITOS!G:G)</f>
        <v>Estado de México</v>
      </c>
      <c r="H112" s="48" t="str">
        <f t="array" ref="H112">XLOOKUP($D112,REGOLITOS!$A:$A,REGOLITOS!H:H)</f>
        <v>55 55 0181 0181</v>
      </c>
      <c r="I112" s="48" t="str">
        <f t="array" ref="I112">XLOOKUP($D112,REGOLITOS!$A:$A,REGOLITOS!I:I)</f>
        <v>usuario181@ejemplo.com</v>
      </c>
      <c r="J112" s="48" t="str">
        <f t="array" ref="J112">XLOOKUP($D112,REGOLITOS!$A:$A,REGOLITOS!J:J)</f>
        <v/>
      </c>
      <c r="K112" s="48" t="str">
        <f t="array" ref="K112">XLOOKUP($D112,REGOLITOS!$A:$A,REGOLITOS!K:K)</f>
        <v>Adulto</v>
      </c>
      <c r="L112" s="48">
        <v>100.0</v>
      </c>
      <c r="M112" s="5" t="s">
        <v>1078</v>
      </c>
      <c r="N112" s="5" t="s">
        <v>1080</v>
      </c>
      <c r="O112" s="5" t="s">
        <v>1078</v>
      </c>
      <c r="P112" s="5"/>
      <c r="Q112" s="5"/>
      <c r="X112" s="71">
        <f t="shared" si="2"/>
        <v>2</v>
      </c>
      <c r="Y112" s="5" t="b">
        <v>1</v>
      </c>
    </row>
    <row r="113">
      <c r="A113" s="30" t="s">
        <v>35</v>
      </c>
      <c r="B113" s="30">
        <f t="array" ref="B113">XLOOKUP(A113, CURSOS!A:A, CURSOS!B:B)</f>
        <v>7</v>
      </c>
      <c r="C113" s="13" t="str">
        <f t="array" ref="C113">XLOOKUP(A113, CURSOS!A:A, CURSOS!C:C)</f>
        <v>MONTAJE Y MANEJO DE TELESCOPIOS</v>
      </c>
      <c r="D113" s="70" t="s">
        <v>304</v>
      </c>
      <c r="E113" s="48">
        <f t="array" ref="E113">XLOOKUP($D113,REGOLITOS!$A:$A,REGOLITOS!E:E)</f>
        <v>48</v>
      </c>
      <c r="F113" s="48" t="str">
        <f t="array" ref="F113">XLOOKUP($D113,REGOLITOS!$A:$A,REGOLITOS!F:F)</f>
        <v>Empleado</v>
      </c>
      <c r="G113" s="48" t="str">
        <f t="array" ref="G113">XLOOKUP($D113,REGOLITOS!$A:$A,REGOLITOS!G:G)</f>
        <v>Estado de México</v>
      </c>
      <c r="H113" s="48" t="str">
        <f t="array" ref="H113">XLOOKUP($D113,REGOLITOS!$A:$A,REGOLITOS!H:H)</f>
        <v>55 55 0134 0134</v>
      </c>
      <c r="I113" s="48" t="str">
        <f t="array" ref="I113">XLOOKUP($D113,REGOLITOS!$A:$A,REGOLITOS!I:I)</f>
        <v>usuario134@ejemplo.com</v>
      </c>
      <c r="J113" s="48" t="str">
        <f t="array" ref="J113">XLOOKUP($D113,REGOLITOS!$A:$A,REGOLITOS!J:J)</f>
        <v/>
      </c>
      <c r="K113" s="48" t="str">
        <f t="array" ref="K113">XLOOKUP($D113,REGOLITOS!$A:$A,REGOLITOS!K:K)</f>
        <v>Adulto</v>
      </c>
      <c r="L113" s="48">
        <v>100.0</v>
      </c>
      <c r="M113" s="5" t="s">
        <v>1078</v>
      </c>
      <c r="N113" s="5" t="s">
        <v>1080</v>
      </c>
      <c r="O113" s="5" t="s">
        <v>1078</v>
      </c>
      <c r="P113" s="5"/>
      <c r="Q113" s="5"/>
      <c r="X113" s="71">
        <f t="shared" si="2"/>
        <v>2</v>
      </c>
      <c r="Y113" s="5" t="b">
        <v>1</v>
      </c>
    </row>
    <row r="114">
      <c r="A114" s="30" t="s">
        <v>35</v>
      </c>
      <c r="B114" s="30">
        <f t="array" ref="B114">XLOOKUP(A114, CURSOS!A:A, CURSOS!B:B)</f>
        <v>7</v>
      </c>
      <c r="C114" s="13" t="str">
        <f t="array" ref="C114">XLOOKUP(A114, CURSOS!A:A, CURSOS!C:C)</f>
        <v>MONTAJE Y MANEJO DE TELESCOPIOS</v>
      </c>
      <c r="D114" s="70" t="s">
        <v>313</v>
      </c>
      <c r="E114" s="48">
        <f t="array" ref="E114">XLOOKUP($D114,REGOLITOS!$A:$A,REGOLITOS!E:E)</f>
        <v>37</v>
      </c>
      <c r="F114" s="48" t="str">
        <f t="array" ref="F114">XLOOKUP($D114,REGOLITOS!$A:$A,REGOLITOS!F:F)</f>
        <v>Estudiante</v>
      </c>
      <c r="G114" s="48" t="str">
        <f t="array" ref="G114">XLOOKUP($D114,REGOLITOS!$A:$A,REGOLITOS!G:G)</f>
        <v>México</v>
      </c>
      <c r="H114" s="48" t="str">
        <f t="array" ref="H114">XLOOKUP($D114,REGOLITOS!$A:$A,REGOLITOS!H:H)</f>
        <v>55 55 0141 0141</v>
      </c>
      <c r="I114" s="48" t="str">
        <f t="array" ref="I114">XLOOKUP($D114,REGOLITOS!$A:$A,REGOLITOS!I:I)</f>
        <v>usuario141@ejemplo.com</v>
      </c>
      <c r="J114" s="48" t="str">
        <f t="array" ref="J114">XLOOKUP($D114,REGOLITOS!$A:$A,REGOLITOS!J:J)</f>
        <v/>
      </c>
      <c r="K114" s="48" t="str">
        <f t="array" ref="K114">XLOOKUP($D114,REGOLITOS!$A:$A,REGOLITOS!K:K)</f>
        <v>Adulto</v>
      </c>
      <c r="L114" s="48">
        <v>120.0</v>
      </c>
      <c r="M114" s="5" t="s">
        <v>1078</v>
      </c>
      <c r="N114" s="5" t="s">
        <v>1080</v>
      </c>
      <c r="O114" s="5" t="s">
        <v>1080</v>
      </c>
      <c r="P114" s="5"/>
      <c r="Q114" s="5"/>
      <c r="X114" s="71">
        <f t="shared" si="2"/>
        <v>1</v>
      </c>
      <c r="Y114" s="5" t="b">
        <v>0</v>
      </c>
    </row>
    <row r="115">
      <c r="A115" s="30" t="s">
        <v>35</v>
      </c>
      <c r="B115" s="30">
        <f t="array" ref="B115">XLOOKUP(A115, CURSOS!A:A, CURSOS!B:B)</f>
        <v>7</v>
      </c>
      <c r="C115" s="13" t="str">
        <f t="array" ref="C115">XLOOKUP(A115, CURSOS!A:A, CURSOS!C:C)</f>
        <v>MONTAJE Y MANEJO DE TELESCOPIOS</v>
      </c>
      <c r="D115" s="70" t="s">
        <v>147</v>
      </c>
      <c r="E115" s="48">
        <f t="array" ref="E115">XLOOKUP($D115,REGOLITOS!$A:$A,REGOLITOS!E:E)</f>
        <v>15</v>
      </c>
      <c r="F115" s="48" t="str">
        <f t="array" ref="F115">XLOOKUP($D115,REGOLITOS!$A:$A,REGOLITOS!F:F)</f>
        <v>Ingeniería Civil</v>
      </c>
      <c r="G115" s="48" t="str">
        <f t="array" ref="G115">XLOOKUP($D115,REGOLITOS!$A:$A,REGOLITOS!G:G)</f>
        <v>Ciudad de México</v>
      </c>
      <c r="H115" s="48" t="str">
        <f t="array" ref="H115">XLOOKUP($D115,REGOLITOS!$A:$A,REGOLITOS!H:H)</f>
        <v>55 55 0028 0028</v>
      </c>
      <c r="I115" s="48" t="str">
        <f t="array" ref="I115">XLOOKUP($D115,REGOLITOS!$A:$A,REGOLITOS!I:I)</f>
        <v>usuario28@ejemplo.com</v>
      </c>
      <c r="J115" s="48" t="str">
        <f t="array" ref="J115">XLOOKUP($D115,REGOLITOS!$A:$A,REGOLITOS!J:J)</f>
        <v>Tutor_028</v>
      </c>
      <c r="K115" s="48" t="str">
        <f t="array" ref="K115">XLOOKUP($D115,REGOLITOS!$A:$A,REGOLITOS!K:K)</f>
        <v>Adolescente</v>
      </c>
      <c r="L115" s="48">
        <v>100.0</v>
      </c>
      <c r="M115" s="5" t="s">
        <v>1078</v>
      </c>
      <c r="N115" s="5" t="s">
        <v>1080</v>
      </c>
      <c r="O115" s="5" t="s">
        <v>1080</v>
      </c>
      <c r="P115" s="5"/>
      <c r="Q115" s="5"/>
      <c r="X115" s="71">
        <f t="shared" si="2"/>
        <v>1</v>
      </c>
      <c r="Y115" s="5" t="b">
        <v>0</v>
      </c>
    </row>
    <row r="116">
      <c r="A116" s="30" t="s">
        <v>35</v>
      </c>
      <c r="B116" s="30">
        <f t="array" ref="B116">XLOOKUP(A116, CURSOS!A:A, CURSOS!B:B)</f>
        <v>7</v>
      </c>
      <c r="C116" s="13" t="str">
        <f t="array" ref="C116">XLOOKUP(A116, CURSOS!A:A, CURSOS!C:C)</f>
        <v>MONTAJE Y MANEJO DE TELESCOPIOS</v>
      </c>
      <c r="D116" s="70" t="s">
        <v>337</v>
      </c>
      <c r="E116" s="48">
        <f t="array" ref="E116">XLOOKUP($D116,REGOLITOS!$A:$A,REGOLITOS!E:E)</f>
        <v>49</v>
      </c>
      <c r="F116" s="48" t="str">
        <f t="array" ref="F116">XLOOKUP($D116,REGOLITOS!$A:$A,REGOLITOS!F:F)</f>
        <v>Médico radiólogo</v>
      </c>
      <c r="G116" s="48" t="str">
        <f t="array" ref="G116">XLOOKUP($D116,REGOLITOS!$A:$A,REGOLITOS!G:G)</f>
        <v>Campeche</v>
      </c>
      <c r="H116" s="48" t="str">
        <f t="array" ref="H116">XLOOKUP($D116,REGOLITOS!$A:$A,REGOLITOS!H:H)</f>
        <v>55 55 0158 0158</v>
      </c>
      <c r="I116" s="48" t="str">
        <f t="array" ref="I116">XLOOKUP($D116,REGOLITOS!$A:$A,REGOLITOS!I:I)</f>
        <v>usuario158@ejemplo.com</v>
      </c>
      <c r="J116" s="48" t="str">
        <f t="array" ref="J116">XLOOKUP($D116,REGOLITOS!$A:$A,REGOLITOS!J:J)</f>
        <v/>
      </c>
      <c r="K116" s="48" t="str">
        <f t="array" ref="K116">XLOOKUP($D116,REGOLITOS!$A:$A,REGOLITOS!K:K)</f>
        <v>Adulto</v>
      </c>
      <c r="L116" s="48">
        <v>100.0</v>
      </c>
      <c r="M116" s="5" t="s">
        <v>1080</v>
      </c>
      <c r="N116" s="5" t="s">
        <v>1080</v>
      </c>
      <c r="O116" s="5" t="s">
        <v>1080</v>
      </c>
      <c r="P116" s="5"/>
      <c r="Q116" s="5"/>
      <c r="X116" s="71">
        <f t="shared" si="2"/>
        <v>0</v>
      </c>
      <c r="Y116" s="5" t="b">
        <v>0</v>
      </c>
    </row>
    <row r="117">
      <c r="A117" s="77" t="s">
        <v>39</v>
      </c>
      <c r="B117" s="77">
        <f t="array" ref="B117">XLOOKUP(A117, CURSOS!A:A, CURSOS!B:B)</f>
        <v>8</v>
      </c>
      <c r="C117" s="14" t="str">
        <f t="array" ref="C117">XLOOKUP(A117, CURSOS!A:A, CURSOS!C:C)</f>
        <v>BIOGRAFÍA DE UNA ESTRELLA</v>
      </c>
      <c r="D117" s="70" t="s">
        <v>258</v>
      </c>
      <c r="E117" s="48">
        <f t="array" ref="E117">XLOOKUP($D117,REGOLITOS!$A:$A,REGOLITOS!E:E)</f>
        <v>66</v>
      </c>
      <c r="F117" s="48" t="str">
        <f t="array" ref="F117">XLOOKUP($D117,REGOLITOS!$A:$A,REGOLITOS!F:F)</f>
        <v>Estudiante HS</v>
      </c>
      <c r="G117" s="48" t="str">
        <f t="array" ref="G117">XLOOKUP($D117,REGOLITOS!$A:$A,REGOLITOS!G:G)</f>
        <v>Jalisco</v>
      </c>
      <c r="H117" s="48" t="str">
        <f t="array" ref="H117">XLOOKUP($D117,REGOLITOS!$A:$A,REGOLITOS!H:H)</f>
        <v>55 55 0103 0103</v>
      </c>
      <c r="I117" s="48" t="str">
        <f t="array" ref="I117">XLOOKUP($D117,REGOLITOS!$A:$A,REGOLITOS!I:I)</f>
        <v>usuario103@ejemplo.com</v>
      </c>
      <c r="J117" s="48" t="str">
        <f t="array" ref="J117">XLOOKUP($D117,REGOLITOS!$A:$A,REGOLITOS!J:J)</f>
        <v/>
      </c>
      <c r="K117" s="48" t="str">
        <f t="array" ref="K117">XLOOKUP($D117,REGOLITOS!$A:$A,REGOLITOS!K:K)</f>
        <v>Adulto Mayor</v>
      </c>
      <c r="L117" s="48">
        <v>160.0</v>
      </c>
      <c r="M117" s="5" t="s">
        <v>1078</v>
      </c>
      <c r="N117" s="5" t="s">
        <v>1078</v>
      </c>
      <c r="O117" s="5" t="s">
        <v>1078</v>
      </c>
      <c r="P117" s="5" t="s">
        <v>1078</v>
      </c>
      <c r="Q117" s="5" t="s">
        <v>1078</v>
      </c>
      <c r="X117" s="71">
        <f t="shared" si="2"/>
        <v>5</v>
      </c>
      <c r="Y117" s="5" t="b">
        <v>1</v>
      </c>
    </row>
    <row r="118">
      <c r="A118" s="77" t="s">
        <v>39</v>
      </c>
      <c r="B118" s="77">
        <f t="array" ref="B118">XLOOKUP(A118, CURSOS!A:A, CURSOS!B:B)</f>
        <v>8</v>
      </c>
      <c r="C118" s="14" t="str">
        <f t="array" ref="C118">XLOOKUP(A118, CURSOS!A:A, CURSOS!C:C)</f>
        <v>BIOGRAFÍA DE UNA ESTRELLA</v>
      </c>
      <c r="D118" s="70" t="s">
        <v>355</v>
      </c>
      <c r="E118" s="48">
        <f t="array" ref="E118">XLOOKUP($D118,REGOLITOS!$A:$A,REGOLITOS!E:E)</f>
        <v>45</v>
      </c>
      <c r="F118" s="48" t="str">
        <f t="array" ref="F118">XLOOKUP($D118,REGOLITOS!$A:$A,REGOLITOS!F:F)</f>
        <v>Estudiante</v>
      </c>
      <c r="G118" s="48" t="str">
        <f t="array" ref="G118">XLOOKUP($D118,REGOLITOS!$A:$A,REGOLITOS!G:G)</f>
        <v>Estado de México</v>
      </c>
      <c r="H118" s="48" t="str">
        <f t="array" ref="H118">XLOOKUP($D118,REGOLITOS!$A:$A,REGOLITOS!H:H)</f>
        <v>55 55 0170 0170</v>
      </c>
      <c r="I118" s="48" t="str">
        <f t="array" ref="I118">XLOOKUP($D118,REGOLITOS!$A:$A,REGOLITOS!I:I)</f>
        <v>usuario170@ejemplo.com</v>
      </c>
      <c r="J118" s="48" t="str">
        <f t="array" ref="J118">XLOOKUP($D118,REGOLITOS!$A:$A,REGOLITOS!J:J)</f>
        <v/>
      </c>
      <c r="K118" s="48" t="str">
        <f t="array" ref="K118">XLOOKUP($D118,REGOLITOS!$A:$A,REGOLITOS!K:K)</f>
        <v>Adulto</v>
      </c>
      <c r="L118" s="48">
        <v>160.0</v>
      </c>
      <c r="M118" s="5" t="s">
        <v>1078</v>
      </c>
      <c r="N118" s="5" t="s">
        <v>1078</v>
      </c>
      <c r="O118" s="5" t="s">
        <v>1078</v>
      </c>
      <c r="P118" s="5" t="s">
        <v>1078</v>
      </c>
      <c r="Q118" s="5" t="s">
        <v>1080</v>
      </c>
      <c r="X118" s="71">
        <f t="shared" si="2"/>
        <v>4</v>
      </c>
      <c r="Y118" s="5" t="b">
        <v>1</v>
      </c>
    </row>
    <row r="119">
      <c r="A119" s="77" t="s">
        <v>39</v>
      </c>
      <c r="B119" s="77">
        <f t="array" ref="B119">XLOOKUP(A119, CURSOS!A:A, CURSOS!B:B)</f>
        <v>8</v>
      </c>
      <c r="C119" s="14" t="str">
        <f t="array" ref="C119">XLOOKUP(A119, CURSOS!A:A, CURSOS!C:C)</f>
        <v>BIOGRAFÍA DE UNA ESTRELLA</v>
      </c>
      <c r="D119" s="70" t="s">
        <v>172</v>
      </c>
      <c r="E119" s="48">
        <f t="array" ref="E119">XLOOKUP($D119,REGOLITOS!$A:$A,REGOLITOS!E:E)</f>
        <v>51</v>
      </c>
      <c r="F119" s="48" t="str">
        <f t="array" ref="F119">XLOOKUP($D119,REGOLITOS!$A:$A,REGOLITOS!F:F)</f>
        <v>Odontóloga</v>
      </c>
      <c r="G119" s="48" t="str">
        <f t="array" ref="G119">XLOOKUP($D119,REGOLITOS!$A:$A,REGOLITOS!G:G)</f>
        <v>Estado de México</v>
      </c>
      <c r="H119" s="48" t="str">
        <f t="array" ref="H119">XLOOKUP($D119,REGOLITOS!$A:$A,REGOLITOS!H:H)</f>
        <v>55 55 0044 0044</v>
      </c>
      <c r="I119" s="48" t="str">
        <f t="array" ref="I119">XLOOKUP($D119,REGOLITOS!$A:$A,REGOLITOS!I:I)</f>
        <v>usuario44@ejemplo.com</v>
      </c>
      <c r="J119" s="48" t="str">
        <f t="array" ref="J119">XLOOKUP($D119,REGOLITOS!$A:$A,REGOLITOS!J:J)</f>
        <v/>
      </c>
      <c r="K119" s="48" t="str">
        <f t="array" ref="K119">XLOOKUP($D119,REGOLITOS!$A:$A,REGOLITOS!K:K)</f>
        <v>Adulto</v>
      </c>
      <c r="L119" s="48" t="s">
        <v>1085</v>
      </c>
      <c r="M119" s="5" t="s">
        <v>1078</v>
      </c>
      <c r="N119" s="5" t="s">
        <v>1078</v>
      </c>
      <c r="O119" s="5" t="s">
        <v>1078</v>
      </c>
      <c r="P119" s="5" t="s">
        <v>1078</v>
      </c>
      <c r="Q119" s="5" t="s">
        <v>1080</v>
      </c>
      <c r="X119" s="71">
        <f t="shared" si="2"/>
        <v>4</v>
      </c>
      <c r="Y119" s="5" t="b">
        <v>1</v>
      </c>
    </row>
    <row r="120">
      <c r="A120" s="77" t="s">
        <v>39</v>
      </c>
      <c r="B120" s="77">
        <f t="array" ref="B120">XLOOKUP(A120, CURSOS!A:A, CURSOS!B:B)</f>
        <v>8</v>
      </c>
      <c r="C120" s="14" t="str">
        <f t="array" ref="C120">XLOOKUP(A120, CURSOS!A:A, CURSOS!C:C)</f>
        <v>BIOGRAFÍA DE UNA ESTRELLA</v>
      </c>
      <c r="D120" s="70" t="s">
        <v>110</v>
      </c>
      <c r="E120" s="48">
        <f t="array" ref="E120">XLOOKUP($D120,REGOLITOS!$A:$A,REGOLITOS!E:E)</f>
        <v>75</v>
      </c>
      <c r="F120" s="48" t="str">
        <f t="array" ref="F120">XLOOKUP($D120,REGOLITOS!$A:$A,REGOLITOS!F:F)</f>
        <v>Investigadora</v>
      </c>
      <c r="G120" s="48" t="str">
        <f t="array" ref="G120">XLOOKUP($D120,REGOLITOS!$A:$A,REGOLITOS!G:G)</f>
        <v>Ciudad de México</v>
      </c>
      <c r="H120" s="48" t="str">
        <f t="array" ref="H120">XLOOKUP($D120,REGOLITOS!$A:$A,REGOLITOS!H:H)</f>
        <v>55 55 0008 0008</v>
      </c>
      <c r="I120" s="48" t="str">
        <f t="array" ref="I120">XLOOKUP($D120,REGOLITOS!$A:$A,REGOLITOS!I:I)</f>
        <v>usuario8@ejemplo.com</v>
      </c>
      <c r="J120" s="48" t="str">
        <f t="array" ref="J120">XLOOKUP($D120,REGOLITOS!$A:$A,REGOLITOS!J:J)</f>
        <v/>
      </c>
      <c r="K120" s="48" t="str">
        <f t="array" ref="K120">XLOOKUP($D120,REGOLITOS!$A:$A,REGOLITOS!K:K)</f>
        <v>Adulto Mayor</v>
      </c>
      <c r="L120" s="48">
        <v>160.0</v>
      </c>
      <c r="M120" s="5" t="s">
        <v>1078</v>
      </c>
      <c r="N120" s="5" t="s">
        <v>1078</v>
      </c>
      <c r="O120" s="5" t="s">
        <v>1078</v>
      </c>
      <c r="P120" s="5" t="s">
        <v>1078</v>
      </c>
      <c r="Q120" s="5" t="s">
        <v>1080</v>
      </c>
      <c r="X120" s="71">
        <f t="shared" si="2"/>
        <v>4</v>
      </c>
      <c r="Y120" s="5" t="b">
        <v>1</v>
      </c>
    </row>
    <row r="121">
      <c r="A121" s="77" t="s">
        <v>39</v>
      </c>
      <c r="B121" s="77">
        <f t="array" ref="B121">XLOOKUP(A121, CURSOS!A:A, CURSOS!B:B)</f>
        <v>8</v>
      </c>
      <c r="C121" s="14" t="str">
        <f t="array" ref="C121">XLOOKUP(A121, CURSOS!A:A, CURSOS!C:C)</f>
        <v>BIOGRAFÍA DE UNA ESTRELLA</v>
      </c>
      <c r="D121" s="70" t="s">
        <v>112</v>
      </c>
      <c r="E121" s="48">
        <f t="array" ref="E121">XLOOKUP($D121,REGOLITOS!$A:$A,REGOLITOS!E:E)</f>
        <v>52</v>
      </c>
      <c r="F121" s="48" t="str">
        <f t="array" ref="F121">XLOOKUP($D121,REGOLITOS!$A:$A,REGOLITOS!F:F)</f>
        <v>Estudiante</v>
      </c>
      <c r="G121" s="48" t="str">
        <f t="array" ref="G121">XLOOKUP($D121,REGOLITOS!$A:$A,REGOLITOS!G:G)</f>
        <v>Estado de México</v>
      </c>
      <c r="H121" s="48" t="str">
        <f t="array" ref="H121">XLOOKUP($D121,REGOLITOS!$A:$A,REGOLITOS!H:H)</f>
        <v>55 55 0009 0009</v>
      </c>
      <c r="I121" s="48" t="str">
        <f t="array" ref="I121">XLOOKUP($D121,REGOLITOS!$A:$A,REGOLITOS!I:I)</f>
        <v>usuario9@ejemplo.com</v>
      </c>
      <c r="J121" s="48" t="str">
        <f t="array" ref="J121">XLOOKUP($D121,REGOLITOS!$A:$A,REGOLITOS!J:J)</f>
        <v/>
      </c>
      <c r="K121" s="48" t="str">
        <f t="array" ref="K121">XLOOKUP($D121,REGOLITOS!$A:$A,REGOLITOS!K:K)</f>
        <v>Adulto</v>
      </c>
      <c r="L121" s="48">
        <v>200.0</v>
      </c>
      <c r="M121" s="5" t="s">
        <v>1078</v>
      </c>
      <c r="N121" s="5" t="s">
        <v>1078</v>
      </c>
      <c r="O121" s="5" t="s">
        <v>1078</v>
      </c>
      <c r="P121" s="5" t="s">
        <v>1078</v>
      </c>
      <c r="Q121" s="5" t="s">
        <v>1078</v>
      </c>
      <c r="X121" s="71">
        <f t="shared" si="2"/>
        <v>5</v>
      </c>
      <c r="Y121" s="5" t="b">
        <v>1</v>
      </c>
    </row>
    <row r="122">
      <c r="A122" s="77" t="s">
        <v>39</v>
      </c>
      <c r="B122" s="77">
        <f t="array" ref="B122">XLOOKUP(A122, CURSOS!A:A, CURSOS!B:B)</f>
        <v>8</v>
      </c>
      <c r="C122" s="14" t="str">
        <f t="array" ref="C122">XLOOKUP(A122, CURSOS!A:A, CURSOS!C:C)</f>
        <v>BIOGRAFÍA DE UNA ESTRELLA</v>
      </c>
      <c r="D122" s="70" t="s">
        <v>365</v>
      </c>
      <c r="E122" s="48">
        <f t="array" ref="E122">XLOOKUP($D122,REGOLITOS!$A:$A,REGOLITOS!E:E)</f>
        <v>78</v>
      </c>
      <c r="F122" s="48" t="str">
        <f t="array" ref="F122">XLOOKUP($D122,REGOLITOS!$A:$A,REGOLITOS!F:F)</f>
        <v>Estudiante</v>
      </c>
      <c r="G122" s="48" t="str">
        <f t="array" ref="G122">XLOOKUP($D122,REGOLITOS!$A:$A,REGOLITOS!G:G)</f>
        <v>Ciudad de México</v>
      </c>
      <c r="H122" s="48" t="str">
        <f t="array" ref="H122">XLOOKUP($D122,REGOLITOS!$A:$A,REGOLITOS!H:H)</f>
        <v>55 55 0178 0178</v>
      </c>
      <c r="I122" s="48" t="str">
        <f t="array" ref="I122">XLOOKUP($D122,REGOLITOS!$A:$A,REGOLITOS!I:I)</f>
        <v>usuario178@ejemplo.com</v>
      </c>
      <c r="J122" s="48" t="str">
        <f t="array" ref="J122">XLOOKUP($D122,REGOLITOS!$A:$A,REGOLITOS!J:J)</f>
        <v/>
      </c>
      <c r="K122" s="48" t="str">
        <f t="array" ref="K122">XLOOKUP($D122,REGOLITOS!$A:$A,REGOLITOS!K:K)</f>
        <v>Adulto Mayor</v>
      </c>
      <c r="L122" s="48">
        <v>200.0</v>
      </c>
      <c r="M122" s="5" t="s">
        <v>1078</v>
      </c>
      <c r="N122" s="5" t="s">
        <v>1078</v>
      </c>
      <c r="O122" s="5" t="s">
        <v>1078</v>
      </c>
      <c r="P122" s="5" t="s">
        <v>1078</v>
      </c>
      <c r="Q122" s="5" t="s">
        <v>1080</v>
      </c>
      <c r="X122" s="71">
        <f t="shared" si="2"/>
        <v>4</v>
      </c>
      <c r="Y122" s="5" t="b">
        <v>1</v>
      </c>
    </row>
    <row r="123">
      <c r="A123" s="77" t="s">
        <v>39</v>
      </c>
      <c r="B123" s="77">
        <f t="array" ref="B123">XLOOKUP(A123, CURSOS!A:A, CURSOS!B:B)</f>
        <v>8</v>
      </c>
      <c r="C123" s="14" t="str">
        <f t="array" ref="C123">XLOOKUP(A123, CURSOS!A:A, CURSOS!C:C)</f>
        <v>BIOGRAFÍA DE UNA ESTRELLA</v>
      </c>
      <c r="D123" s="70" t="s">
        <v>290</v>
      </c>
      <c r="E123" s="48">
        <f t="array" ref="E123">XLOOKUP($D123,REGOLITOS!$A:$A,REGOLITOS!E:E)</f>
        <v>76</v>
      </c>
      <c r="F123" s="48" t="str">
        <f t="array" ref="F123">XLOOKUP($D123,REGOLITOS!$A:$A,REGOLITOS!F:F)</f>
        <v>Empleada</v>
      </c>
      <c r="G123" s="48" t="str">
        <f t="array" ref="G123">XLOOKUP($D123,REGOLITOS!$A:$A,REGOLITOS!G:G)</f>
        <v>Nuevo León</v>
      </c>
      <c r="H123" s="48" t="str">
        <f t="array" ref="H123">XLOOKUP($D123,REGOLITOS!$A:$A,REGOLITOS!H:H)</f>
        <v>55 55 0127 0127</v>
      </c>
      <c r="I123" s="48" t="str">
        <f t="array" ref="I123">XLOOKUP($D123,REGOLITOS!$A:$A,REGOLITOS!I:I)</f>
        <v>usuario127@ejemplo.com</v>
      </c>
      <c r="J123" s="48" t="str">
        <f t="array" ref="J123">XLOOKUP($D123,REGOLITOS!$A:$A,REGOLITOS!J:J)</f>
        <v/>
      </c>
      <c r="K123" s="48" t="str">
        <f t="array" ref="K123">XLOOKUP($D123,REGOLITOS!$A:$A,REGOLITOS!K:K)</f>
        <v>Adulto Mayor</v>
      </c>
      <c r="L123" s="48">
        <v>200.0</v>
      </c>
      <c r="M123" s="5" t="s">
        <v>1078</v>
      </c>
      <c r="N123" s="5" t="s">
        <v>1078</v>
      </c>
      <c r="O123" s="5" t="s">
        <v>1078</v>
      </c>
      <c r="P123" s="5" t="s">
        <v>1080</v>
      </c>
      <c r="Q123" s="5" t="s">
        <v>1078</v>
      </c>
      <c r="X123" s="71">
        <f t="shared" si="2"/>
        <v>4</v>
      </c>
      <c r="Y123" s="5" t="b">
        <v>1</v>
      </c>
    </row>
    <row r="124">
      <c r="A124" s="77" t="s">
        <v>39</v>
      </c>
      <c r="B124" s="77">
        <f t="array" ref="B124">XLOOKUP(A124, CURSOS!A:A, CURSOS!B:B)</f>
        <v>8</v>
      </c>
      <c r="C124" s="14" t="str">
        <f t="array" ref="C124">XLOOKUP(A124, CURSOS!A:A, CURSOS!C:C)</f>
        <v>BIOGRAFÍA DE UNA ESTRELLA</v>
      </c>
      <c r="D124" s="70" t="s">
        <v>232</v>
      </c>
      <c r="E124" s="48">
        <f t="array" ref="E124">XLOOKUP($D124,REGOLITOS!$A:$A,REGOLITOS!E:E)</f>
        <v>18</v>
      </c>
      <c r="F124" s="48" t="str">
        <f t="array" ref="F124">XLOOKUP($D124,REGOLITOS!$A:$A,REGOLITOS!F:F)</f>
        <v>Estudiante</v>
      </c>
      <c r="G124" s="48" t="str">
        <f t="array" ref="G124">XLOOKUP($D124,REGOLITOS!$A:$A,REGOLITOS!G:G)</f>
        <v>Hidalgo</v>
      </c>
      <c r="H124" s="48" t="str">
        <f t="array" ref="H124">XLOOKUP($D124,REGOLITOS!$A:$A,REGOLITOS!H:H)</f>
        <v>55 55 0085 0085</v>
      </c>
      <c r="I124" s="48" t="str">
        <f t="array" ref="I124">XLOOKUP($D124,REGOLITOS!$A:$A,REGOLITOS!I:I)</f>
        <v>usuario85@ejemplo.com</v>
      </c>
      <c r="J124" s="48" t="str">
        <f t="array" ref="J124">XLOOKUP($D124,REGOLITOS!$A:$A,REGOLITOS!J:J)</f>
        <v>Tutor_085</v>
      </c>
      <c r="K124" s="48" t="str">
        <f t="array" ref="K124">XLOOKUP($D124,REGOLITOS!$A:$A,REGOLITOS!K:K)</f>
        <v>Jóven adulto</v>
      </c>
      <c r="L124" s="48">
        <v>160.0</v>
      </c>
      <c r="M124" s="5" t="s">
        <v>1078</v>
      </c>
      <c r="N124" s="5" t="s">
        <v>1078</v>
      </c>
      <c r="O124" s="5" t="s">
        <v>1078</v>
      </c>
      <c r="P124" s="5" t="s">
        <v>1078</v>
      </c>
      <c r="Q124" s="5" t="s">
        <v>1078</v>
      </c>
      <c r="X124" s="71">
        <f t="shared" si="2"/>
        <v>5</v>
      </c>
      <c r="Y124" s="5" t="b">
        <v>1</v>
      </c>
    </row>
    <row r="125">
      <c r="A125" s="77" t="s">
        <v>39</v>
      </c>
      <c r="B125" s="77">
        <f t="array" ref="B125">XLOOKUP(A125, CURSOS!A:A, CURSOS!B:B)</f>
        <v>8</v>
      </c>
      <c r="C125" s="14" t="str">
        <f t="array" ref="C125">XLOOKUP(A125, CURSOS!A:A, CURSOS!C:C)</f>
        <v>BIOGRAFÍA DE UNA ESTRELLA</v>
      </c>
      <c r="D125" s="70" t="s">
        <v>147</v>
      </c>
      <c r="E125" s="48">
        <f t="array" ref="E125">XLOOKUP($D125,REGOLITOS!$A:$A,REGOLITOS!E:E)</f>
        <v>15</v>
      </c>
      <c r="F125" s="48" t="str">
        <f t="array" ref="F125">XLOOKUP($D125,REGOLITOS!$A:$A,REGOLITOS!F:F)</f>
        <v>Ingeniería Civil</v>
      </c>
      <c r="G125" s="48" t="str">
        <f t="array" ref="G125">XLOOKUP($D125,REGOLITOS!$A:$A,REGOLITOS!G:G)</f>
        <v>Ciudad de México</v>
      </c>
      <c r="H125" s="48" t="str">
        <f t="array" ref="H125">XLOOKUP($D125,REGOLITOS!$A:$A,REGOLITOS!H:H)</f>
        <v>55 55 0028 0028</v>
      </c>
      <c r="I125" s="48" t="str">
        <f t="array" ref="I125">XLOOKUP($D125,REGOLITOS!$A:$A,REGOLITOS!I:I)</f>
        <v>usuario28@ejemplo.com</v>
      </c>
      <c r="J125" s="48" t="str">
        <f t="array" ref="J125">XLOOKUP($D125,REGOLITOS!$A:$A,REGOLITOS!J:J)</f>
        <v>Tutor_028</v>
      </c>
      <c r="K125" s="48" t="str">
        <f t="array" ref="K125">XLOOKUP($D125,REGOLITOS!$A:$A,REGOLITOS!K:K)</f>
        <v>Adolescente</v>
      </c>
      <c r="L125" s="48">
        <v>160.0</v>
      </c>
      <c r="M125" s="5" t="s">
        <v>1078</v>
      </c>
      <c r="N125" s="5" t="s">
        <v>1078</v>
      </c>
      <c r="O125" s="5" t="s">
        <v>1080</v>
      </c>
      <c r="P125" s="5" t="s">
        <v>1078</v>
      </c>
      <c r="Q125" s="5" t="s">
        <v>1078</v>
      </c>
      <c r="X125" s="71">
        <f t="shared" si="2"/>
        <v>4</v>
      </c>
      <c r="Y125" s="5" t="b">
        <v>1</v>
      </c>
    </row>
    <row r="126">
      <c r="A126" s="77" t="s">
        <v>39</v>
      </c>
      <c r="B126" s="77">
        <f t="array" ref="B126">XLOOKUP(A126, CURSOS!A:A, CURSOS!B:B)</f>
        <v>8</v>
      </c>
      <c r="C126" s="14" t="str">
        <f t="array" ref="C126">XLOOKUP(A126, CURSOS!A:A, CURSOS!C:C)</f>
        <v>BIOGRAFÍA DE UNA ESTRELLA</v>
      </c>
      <c r="D126" s="70" t="s">
        <v>244</v>
      </c>
      <c r="E126" s="48">
        <f t="array" ref="E126">XLOOKUP($D126,REGOLITOS!$A:$A,REGOLITOS!E:E)</f>
        <v>60</v>
      </c>
      <c r="F126" s="48" t="str">
        <f t="array" ref="F126">XLOOKUP($D126,REGOLITOS!$A:$A,REGOLITOS!F:F)</f>
        <v>Turismo</v>
      </c>
      <c r="G126" s="48" t="str">
        <f t="array" ref="G126">XLOOKUP($D126,REGOLITOS!$A:$A,REGOLITOS!G:G)</f>
        <v>Yucatán</v>
      </c>
      <c r="H126" s="48" t="str">
        <f t="array" ref="H126">XLOOKUP($D126,REGOLITOS!$A:$A,REGOLITOS!H:H)</f>
        <v>55 55 0093 0093</v>
      </c>
      <c r="I126" s="48" t="str">
        <f t="array" ref="I126">XLOOKUP($D126,REGOLITOS!$A:$A,REGOLITOS!I:I)</f>
        <v>usuario93@ejemplo.com</v>
      </c>
      <c r="J126" s="48" t="str">
        <f t="array" ref="J126">XLOOKUP($D126,REGOLITOS!$A:$A,REGOLITOS!J:J)</f>
        <v/>
      </c>
      <c r="K126" s="48" t="str">
        <f t="array" ref="K126">XLOOKUP($D126,REGOLITOS!$A:$A,REGOLITOS!K:K)</f>
        <v>Adulto Mayor</v>
      </c>
      <c r="L126" s="48">
        <v>200.0</v>
      </c>
      <c r="M126" s="5" t="s">
        <v>1078</v>
      </c>
      <c r="N126" s="5" t="s">
        <v>1080</v>
      </c>
      <c r="O126" s="5" t="s">
        <v>1080</v>
      </c>
      <c r="P126" s="5" t="s">
        <v>1080</v>
      </c>
      <c r="Q126" s="5" t="s">
        <v>1080</v>
      </c>
      <c r="X126" s="71">
        <f t="shared" si="2"/>
        <v>1</v>
      </c>
      <c r="Y126" s="5" t="b">
        <v>0</v>
      </c>
    </row>
    <row r="127">
      <c r="A127" s="77" t="s">
        <v>39</v>
      </c>
      <c r="B127" s="77">
        <f t="array" ref="B127">XLOOKUP(A127, CURSOS!A:A, CURSOS!B:B)</f>
        <v>8</v>
      </c>
      <c r="C127" s="14" t="str">
        <f t="array" ref="C127">XLOOKUP(A127, CURSOS!A:A, CURSOS!C:C)</f>
        <v>BIOGRAFÍA DE UNA ESTRELLA</v>
      </c>
      <c r="D127" s="70" t="s">
        <v>325</v>
      </c>
      <c r="E127" s="48">
        <f t="array" ref="E127">XLOOKUP($D127,REGOLITOS!$A:$A,REGOLITOS!E:E)</f>
        <v>9</v>
      </c>
      <c r="F127" s="48" t="str">
        <f t="array" ref="F127">XLOOKUP($D127,REGOLITOS!$A:$A,REGOLITOS!F:F)</f>
        <v>Empleado</v>
      </c>
      <c r="G127" s="48" t="str">
        <f t="array" ref="G127">XLOOKUP($D127,REGOLITOS!$A:$A,REGOLITOS!G:G)</f>
        <v>Ciudad de México</v>
      </c>
      <c r="H127" s="48" t="str">
        <f t="array" ref="H127">XLOOKUP($D127,REGOLITOS!$A:$A,REGOLITOS!H:H)</f>
        <v>55 55 0149 0149</v>
      </c>
      <c r="I127" s="48" t="str">
        <f t="array" ref="I127">XLOOKUP($D127,REGOLITOS!$A:$A,REGOLITOS!I:I)</f>
        <v>usuario149@ejemplo.com</v>
      </c>
      <c r="J127" s="48" t="str">
        <f t="array" ref="J127">XLOOKUP($D127,REGOLITOS!$A:$A,REGOLITOS!J:J)</f>
        <v>Tutor_149</v>
      </c>
      <c r="K127" s="48" t="str">
        <f t="array" ref="K127">XLOOKUP($D127,REGOLITOS!$A:$A,REGOLITOS!K:K)</f>
        <v>Infancia</v>
      </c>
      <c r="L127" s="48">
        <v>200.0</v>
      </c>
      <c r="M127" s="5" t="s">
        <v>1078</v>
      </c>
      <c r="N127" s="5" t="s">
        <v>1080</v>
      </c>
      <c r="O127" s="5" t="s">
        <v>1080</v>
      </c>
      <c r="P127" s="5" t="s">
        <v>1080</v>
      </c>
      <c r="Q127" s="5" t="s">
        <v>1080</v>
      </c>
      <c r="X127" s="71">
        <f t="shared" si="2"/>
        <v>1</v>
      </c>
      <c r="Y127" s="5" t="b">
        <v>0</v>
      </c>
    </row>
    <row r="128">
      <c r="A128" s="77" t="s">
        <v>39</v>
      </c>
      <c r="B128" s="77">
        <f t="array" ref="B128">XLOOKUP(A128, CURSOS!A:A, CURSOS!B:B)</f>
        <v>8</v>
      </c>
      <c r="C128" s="14" t="str">
        <f t="array" ref="C128">XLOOKUP(A128, CURSOS!A:A, CURSOS!C:C)</f>
        <v>BIOGRAFÍA DE UNA ESTRELLA</v>
      </c>
      <c r="D128" s="70" t="s">
        <v>149</v>
      </c>
      <c r="E128" s="48">
        <f t="array" ref="E128">XLOOKUP($D128,REGOLITOS!$A:$A,REGOLITOS!E:E)</f>
        <v>97</v>
      </c>
      <c r="F128" s="48" t="str">
        <f t="array" ref="F128">XLOOKUP($D128,REGOLITOS!$A:$A,REGOLITOS!F:F)</f>
        <v>Docente</v>
      </c>
      <c r="G128" s="48" t="str">
        <f t="array" ref="G128">XLOOKUP($D128,REGOLITOS!$A:$A,REGOLITOS!G:G)</f>
        <v>Yucatán</v>
      </c>
      <c r="H128" s="48" t="str">
        <f t="array" ref="H128">XLOOKUP($D128,REGOLITOS!$A:$A,REGOLITOS!H:H)</f>
        <v>55 55 0029 0029</v>
      </c>
      <c r="I128" s="48" t="str">
        <f t="array" ref="I128">XLOOKUP($D128,REGOLITOS!$A:$A,REGOLITOS!I:I)</f>
        <v>usuario29@ejemplo.com</v>
      </c>
      <c r="J128" s="48" t="str">
        <f t="array" ref="J128">XLOOKUP($D128,REGOLITOS!$A:$A,REGOLITOS!J:J)</f>
        <v/>
      </c>
      <c r="K128" s="48" t="str">
        <f t="array" ref="K128">XLOOKUP($D128,REGOLITOS!$A:$A,REGOLITOS!K:K)</f>
        <v>Adulto Mayor</v>
      </c>
      <c r="L128" s="48">
        <v>200.0</v>
      </c>
      <c r="M128" s="5" t="s">
        <v>1078</v>
      </c>
      <c r="N128" s="5" t="s">
        <v>1080</v>
      </c>
      <c r="O128" s="5" t="s">
        <v>1080</v>
      </c>
      <c r="P128" s="5" t="s">
        <v>1080</v>
      </c>
      <c r="Q128" s="5" t="s">
        <v>1080</v>
      </c>
      <c r="X128" s="71">
        <f t="shared" si="2"/>
        <v>1</v>
      </c>
      <c r="Y128" s="5" t="b">
        <v>0</v>
      </c>
    </row>
    <row r="129">
      <c r="A129" s="77" t="s">
        <v>39</v>
      </c>
      <c r="B129" s="77">
        <f t="array" ref="B129">XLOOKUP(A129, CURSOS!A:A, CURSOS!B:B)</f>
        <v>8</v>
      </c>
      <c r="C129" s="14" t="str">
        <f t="array" ref="C129">XLOOKUP(A129, CURSOS!A:A, CURSOS!C:C)</f>
        <v>BIOGRAFÍA DE UNA ESTRELLA</v>
      </c>
      <c r="D129" s="70" t="s">
        <v>328</v>
      </c>
      <c r="E129" s="48">
        <f t="array" ref="E129">XLOOKUP($D129,REGOLITOS!$A:$A,REGOLITOS!E:E)</f>
        <v>45</v>
      </c>
      <c r="F129" s="48" t="str">
        <f t="array" ref="F129">XLOOKUP($D129,REGOLITOS!$A:$A,REGOLITOS!F:F)</f>
        <v>Desconocido</v>
      </c>
      <c r="G129" s="48" t="str">
        <f t="array" ref="G129">XLOOKUP($D129,REGOLITOS!$A:$A,REGOLITOS!G:G)</f>
        <v>México</v>
      </c>
      <c r="H129" s="48" t="str">
        <f t="array" ref="H129">XLOOKUP($D129,REGOLITOS!$A:$A,REGOLITOS!H:H)</f>
        <v>55 55 0151 0151</v>
      </c>
      <c r="I129" s="48" t="str">
        <f t="array" ref="I129">XLOOKUP($D129,REGOLITOS!$A:$A,REGOLITOS!I:I)</f>
        <v>usuario151@ejemplo.com</v>
      </c>
      <c r="J129" s="48" t="str">
        <f t="array" ref="J129">XLOOKUP($D129,REGOLITOS!$A:$A,REGOLITOS!J:J)</f>
        <v/>
      </c>
      <c r="K129" s="48" t="str">
        <f t="array" ref="K129">XLOOKUP($D129,REGOLITOS!$A:$A,REGOLITOS!K:K)</f>
        <v>Adulto</v>
      </c>
      <c r="L129" s="74"/>
      <c r="M129" s="5" t="s">
        <v>1080</v>
      </c>
      <c r="N129" s="5" t="s">
        <v>1080</v>
      </c>
      <c r="O129" s="5" t="s">
        <v>1080</v>
      </c>
      <c r="P129" s="5" t="s">
        <v>1080</v>
      </c>
      <c r="Q129" s="5" t="s">
        <v>1080</v>
      </c>
      <c r="X129" s="71">
        <f t="shared" si="2"/>
        <v>0</v>
      </c>
      <c r="Y129" s="5" t="b">
        <v>0</v>
      </c>
    </row>
    <row r="130">
      <c r="A130" s="15" t="s">
        <v>43</v>
      </c>
      <c r="B130" s="15">
        <f t="array" ref="B130">XLOOKUP(A130, CURSOS!A:A, CURSOS!B:B)</f>
        <v>9</v>
      </c>
      <c r="C130" s="15" t="str">
        <f t="array" ref="C130">XLOOKUP(A130, CURSOS!A:A, CURSOS!C:C)</f>
        <v>AJEDREZ MATEMÁTICO</v>
      </c>
      <c r="D130" s="70" t="s">
        <v>354</v>
      </c>
      <c r="E130" s="48">
        <f t="array" ref="E130">XLOOKUP($D130,REGOLITOS!$A:$A,REGOLITOS!E:E)</f>
        <v>53</v>
      </c>
      <c r="F130" s="48" t="str">
        <f t="array" ref="F130">XLOOKUP($D130,REGOLITOS!$A:$A,REGOLITOS!F:F)</f>
        <v>Estudiante</v>
      </c>
      <c r="G130" s="48" t="str">
        <f t="array" ref="G130">XLOOKUP($D130,REGOLITOS!$A:$A,REGOLITOS!G:G)</f>
        <v>Ciudad de México</v>
      </c>
      <c r="H130" s="48" t="str">
        <f t="array" ref="H130">XLOOKUP($D130,REGOLITOS!$A:$A,REGOLITOS!H:H)</f>
        <v>55 55 0169 0169</v>
      </c>
      <c r="I130" s="48" t="str">
        <f t="array" ref="I130">XLOOKUP($D130,REGOLITOS!$A:$A,REGOLITOS!I:I)</f>
        <v>usuario169@ejemplo.com</v>
      </c>
      <c r="J130" s="48" t="str">
        <f t="array" ref="J130">XLOOKUP($D130,REGOLITOS!$A:$A,REGOLITOS!J:J)</f>
        <v/>
      </c>
      <c r="K130" s="48" t="str">
        <f t="array" ref="K130">XLOOKUP($D130,REGOLITOS!$A:$A,REGOLITOS!K:K)</f>
        <v>Adulto</v>
      </c>
      <c r="L130" s="48" t="s">
        <v>1079</v>
      </c>
      <c r="M130" s="5" t="s">
        <v>1078</v>
      </c>
      <c r="N130" s="5" t="s">
        <v>1078</v>
      </c>
      <c r="O130" s="5" t="s">
        <v>1078</v>
      </c>
      <c r="P130" s="5" t="s">
        <v>1078</v>
      </c>
      <c r="Q130" s="5" t="s">
        <v>1078</v>
      </c>
      <c r="R130" s="5" t="s">
        <v>1078</v>
      </c>
      <c r="S130" s="5" t="s">
        <v>1078</v>
      </c>
      <c r="T130" s="5" t="s">
        <v>1078</v>
      </c>
      <c r="X130" s="71">
        <f t="shared" si="2"/>
        <v>8</v>
      </c>
      <c r="Y130" s="5" t="b">
        <v>1</v>
      </c>
    </row>
    <row r="131">
      <c r="A131" s="15" t="s">
        <v>43</v>
      </c>
      <c r="B131" s="15">
        <f t="array" ref="B131">XLOOKUP(A131, CURSOS!A:A, CURSOS!B:B)</f>
        <v>9</v>
      </c>
      <c r="C131" s="15" t="str">
        <f t="array" ref="C131">XLOOKUP(A131, CURSOS!A:A, CURSOS!C:C)</f>
        <v>AJEDREZ MATEMÁTICO</v>
      </c>
      <c r="D131" s="70" t="s">
        <v>258</v>
      </c>
      <c r="E131" s="48">
        <f t="array" ref="E131">XLOOKUP($D131,REGOLITOS!$A:$A,REGOLITOS!E:E)</f>
        <v>66</v>
      </c>
      <c r="F131" s="48" t="str">
        <f t="array" ref="F131">XLOOKUP($D131,REGOLITOS!$A:$A,REGOLITOS!F:F)</f>
        <v>Estudiante HS</v>
      </c>
      <c r="G131" s="48" t="str">
        <f t="array" ref="G131">XLOOKUP($D131,REGOLITOS!$A:$A,REGOLITOS!G:G)</f>
        <v>Jalisco</v>
      </c>
      <c r="H131" s="48" t="str">
        <f t="array" ref="H131">XLOOKUP($D131,REGOLITOS!$A:$A,REGOLITOS!H:H)</f>
        <v>55 55 0103 0103</v>
      </c>
      <c r="I131" s="48" t="str">
        <f t="array" ref="I131">XLOOKUP($D131,REGOLITOS!$A:$A,REGOLITOS!I:I)</f>
        <v>usuario103@ejemplo.com</v>
      </c>
      <c r="J131" s="48" t="str">
        <f t="array" ref="J131">XLOOKUP($D131,REGOLITOS!$A:$A,REGOLITOS!J:J)</f>
        <v/>
      </c>
      <c r="K131" s="48" t="str">
        <f t="array" ref="K131">XLOOKUP($D131,REGOLITOS!$A:$A,REGOLITOS!K:K)</f>
        <v>Adulto Mayor</v>
      </c>
      <c r="L131" s="48">
        <v>120.0</v>
      </c>
      <c r="M131" s="5" t="s">
        <v>1078</v>
      </c>
      <c r="N131" s="5" t="s">
        <v>1078</v>
      </c>
      <c r="O131" s="5" t="s">
        <v>1078</v>
      </c>
      <c r="P131" s="5" t="s">
        <v>1080</v>
      </c>
      <c r="Q131" s="5" t="s">
        <v>1078</v>
      </c>
      <c r="R131" s="5" t="s">
        <v>1078</v>
      </c>
      <c r="S131" s="5" t="s">
        <v>1078</v>
      </c>
      <c r="T131" s="5" t="s">
        <v>1080</v>
      </c>
      <c r="X131" s="71">
        <f t="shared" si="2"/>
        <v>6</v>
      </c>
      <c r="Y131" s="5" t="b">
        <v>1</v>
      </c>
    </row>
    <row r="132">
      <c r="A132" s="15" t="s">
        <v>43</v>
      </c>
      <c r="B132" s="15">
        <f t="array" ref="B132">XLOOKUP(A132, CURSOS!A:A, CURSOS!B:B)</f>
        <v>9</v>
      </c>
      <c r="C132" s="15" t="str">
        <f t="array" ref="C132">XLOOKUP(A132, CURSOS!A:A, CURSOS!C:C)</f>
        <v>AJEDREZ MATEMÁTICO</v>
      </c>
      <c r="D132" s="70" t="s">
        <v>167</v>
      </c>
      <c r="E132" s="48">
        <f t="array" ref="E132">XLOOKUP($D132,REGOLITOS!$A:$A,REGOLITOS!E:E)</f>
        <v>90</v>
      </c>
      <c r="F132" s="48" t="str">
        <f t="array" ref="F132">XLOOKUP($D132,REGOLITOS!$A:$A,REGOLITOS!F:F)</f>
        <v>Estudiante</v>
      </c>
      <c r="G132" s="48" t="str">
        <f t="array" ref="G132">XLOOKUP($D132,REGOLITOS!$A:$A,REGOLITOS!G:G)</f>
        <v>Ciudad de México</v>
      </c>
      <c r="H132" s="48" t="str">
        <f t="array" ref="H132">XLOOKUP($D132,REGOLITOS!$A:$A,REGOLITOS!H:H)</f>
        <v>55 55 0041 0041</v>
      </c>
      <c r="I132" s="48" t="str">
        <f t="array" ref="I132">XLOOKUP($D132,REGOLITOS!$A:$A,REGOLITOS!I:I)</f>
        <v>usuario41@ejemplo.com</v>
      </c>
      <c r="J132" s="48" t="str">
        <f t="array" ref="J132">XLOOKUP($D132,REGOLITOS!$A:$A,REGOLITOS!J:J)</f>
        <v/>
      </c>
      <c r="K132" s="48" t="str">
        <f t="array" ref="K132">XLOOKUP($D132,REGOLITOS!$A:$A,REGOLITOS!K:K)</f>
        <v>Adulto Mayor</v>
      </c>
      <c r="L132" s="48">
        <v>160.0</v>
      </c>
      <c r="M132" s="5" t="s">
        <v>1078</v>
      </c>
      <c r="N132" s="5" t="s">
        <v>1078</v>
      </c>
      <c r="O132" s="5" t="s">
        <v>1078</v>
      </c>
      <c r="P132" s="5" t="s">
        <v>1078</v>
      </c>
      <c r="Q132" s="5" t="s">
        <v>1078</v>
      </c>
      <c r="R132" s="5" t="s">
        <v>1078</v>
      </c>
      <c r="S132" s="5" t="s">
        <v>1078</v>
      </c>
      <c r="T132" s="5" t="s">
        <v>1078</v>
      </c>
      <c r="X132" s="71">
        <f t="shared" si="2"/>
        <v>8</v>
      </c>
      <c r="Y132" s="5" t="b">
        <v>1</v>
      </c>
    </row>
    <row r="133">
      <c r="A133" s="15" t="s">
        <v>43</v>
      </c>
      <c r="B133" s="15">
        <f t="array" ref="B133">XLOOKUP(A133, CURSOS!A:A, CURSOS!B:B)</f>
        <v>9</v>
      </c>
      <c r="C133" s="15" t="str">
        <f t="array" ref="C133">XLOOKUP(A133, CURSOS!A:A, CURSOS!C:C)</f>
        <v>AJEDREZ MATEMÁTICO</v>
      </c>
      <c r="D133" s="70" t="s">
        <v>160</v>
      </c>
      <c r="E133" s="48">
        <f t="array" ref="E133">XLOOKUP($D133,REGOLITOS!$A:$A,REGOLITOS!E:E)</f>
        <v>86</v>
      </c>
      <c r="F133" s="48" t="str">
        <f t="array" ref="F133">XLOOKUP($D133,REGOLITOS!$A:$A,REGOLITOS!F:F)</f>
        <v>Estudiante</v>
      </c>
      <c r="G133" s="48" t="str">
        <f t="array" ref="G133">XLOOKUP($D133,REGOLITOS!$A:$A,REGOLITOS!G:G)</f>
        <v>Guerrero</v>
      </c>
      <c r="H133" s="48" t="str">
        <f t="array" ref="H133">XLOOKUP($D133,REGOLITOS!$A:$A,REGOLITOS!H:H)</f>
        <v>55 55 0038 0038</v>
      </c>
      <c r="I133" s="48" t="str">
        <f t="array" ref="I133">XLOOKUP($D133,REGOLITOS!$A:$A,REGOLITOS!I:I)</f>
        <v>usuario38@ejemplo.com</v>
      </c>
      <c r="J133" s="48" t="str">
        <f t="array" ref="J133">XLOOKUP($D133,REGOLITOS!$A:$A,REGOLITOS!J:J)</f>
        <v/>
      </c>
      <c r="K133" s="48" t="str">
        <f t="array" ref="K133">XLOOKUP($D133,REGOLITOS!$A:$A,REGOLITOS!K:K)</f>
        <v>Adulto Mayor</v>
      </c>
      <c r="L133" s="48">
        <v>200.0</v>
      </c>
      <c r="M133" s="5" t="s">
        <v>1078</v>
      </c>
      <c r="N133" s="5" t="s">
        <v>1078</v>
      </c>
      <c r="O133" s="5" t="s">
        <v>1078</v>
      </c>
      <c r="P133" s="5" t="s">
        <v>1078</v>
      </c>
      <c r="Q133" s="5" t="s">
        <v>1078</v>
      </c>
      <c r="R133" s="5" t="s">
        <v>1078</v>
      </c>
      <c r="S133" s="5" t="s">
        <v>1078</v>
      </c>
      <c r="T133" s="5" t="s">
        <v>1078</v>
      </c>
      <c r="X133" s="71">
        <f t="shared" si="2"/>
        <v>8</v>
      </c>
      <c r="Y133" s="5" t="b">
        <v>1</v>
      </c>
    </row>
    <row r="134">
      <c r="A134" s="15" t="s">
        <v>43</v>
      </c>
      <c r="B134" s="15">
        <f t="array" ref="B134">XLOOKUP(A134, CURSOS!A:A, CURSOS!B:B)</f>
        <v>9</v>
      </c>
      <c r="C134" s="15" t="str">
        <f t="array" ref="C134">XLOOKUP(A134, CURSOS!A:A, CURSOS!C:C)</f>
        <v>AJEDREZ MATEMÁTICO</v>
      </c>
      <c r="D134" s="70" t="s">
        <v>294</v>
      </c>
      <c r="E134" s="48">
        <f t="array" ref="E134">XLOOKUP($D134,REGOLITOS!$A:$A,REGOLITOS!E:E)</f>
        <v>28</v>
      </c>
      <c r="F134" s="48" t="str">
        <f t="array" ref="F134">XLOOKUP($D134,REGOLITOS!$A:$A,REGOLITOS!F:F)</f>
        <v>Estudiante</v>
      </c>
      <c r="G134" s="48" t="str">
        <f t="array" ref="G134">XLOOKUP($D134,REGOLITOS!$A:$A,REGOLITOS!G:G)</f>
        <v>Michoacán</v>
      </c>
      <c r="H134" s="48" t="str">
        <f t="array" ref="H134">XLOOKUP($D134,REGOLITOS!$A:$A,REGOLITOS!H:H)</f>
        <v>55 55 0129 0129</v>
      </c>
      <c r="I134" s="48" t="str">
        <f t="array" ref="I134">XLOOKUP($D134,REGOLITOS!$A:$A,REGOLITOS!I:I)</f>
        <v>usuario129@ejemplo.com</v>
      </c>
      <c r="J134" s="48" t="str">
        <f t="array" ref="J134">XLOOKUP($D134,REGOLITOS!$A:$A,REGOLITOS!J:J)</f>
        <v/>
      </c>
      <c r="K134" s="48" t="str">
        <f t="array" ref="K134">XLOOKUP($D134,REGOLITOS!$A:$A,REGOLITOS!K:K)</f>
        <v>Jóven adulto</v>
      </c>
      <c r="L134" s="48">
        <v>200.0</v>
      </c>
      <c r="M134" s="5" t="s">
        <v>1078</v>
      </c>
      <c r="N134" s="5" t="s">
        <v>1078</v>
      </c>
      <c r="O134" s="5" t="s">
        <v>1078</v>
      </c>
      <c r="P134" s="5" t="s">
        <v>1078</v>
      </c>
      <c r="Q134" s="5" t="s">
        <v>1078</v>
      </c>
      <c r="R134" s="5" t="s">
        <v>1078</v>
      </c>
      <c r="S134" s="5" t="s">
        <v>1078</v>
      </c>
      <c r="T134" s="5" t="s">
        <v>1078</v>
      </c>
      <c r="X134" s="71">
        <f t="shared" si="2"/>
        <v>8</v>
      </c>
      <c r="Y134" s="5" t="b">
        <v>1</v>
      </c>
    </row>
    <row r="135">
      <c r="A135" s="15" t="s">
        <v>43</v>
      </c>
      <c r="B135" s="15">
        <f t="array" ref="B135">XLOOKUP(A135, CURSOS!A:A, CURSOS!B:B)</f>
        <v>9</v>
      </c>
      <c r="C135" s="15" t="str">
        <f t="array" ref="C135">XLOOKUP(A135, CURSOS!A:A, CURSOS!C:C)</f>
        <v>AJEDREZ MATEMÁTICO</v>
      </c>
      <c r="D135" s="70" t="s">
        <v>232</v>
      </c>
      <c r="E135" s="48">
        <f t="array" ref="E135">XLOOKUP($D135,REGOLITOS!$A:$A,REGOLITOS!E:E)</f>
        <v>18</v>
      </c>
      <c r="F135" s="48" t="str">
        <f t="array" ref="F135">XLOOKUP($D135,REGOLITOS!$A:$A,REGOLITOS!F:F)</f>
        <v>Estudiante</v>
      </c>
      <c r="G135" s="48" t="str">
        <f t="array" ref="G135">XLOOKUP($D135,REGOLITOS!$A:$A,REGOLITOS!G:G)</f>
        <v>Hidalgo</v>
      </c>
      <c r="H135" s="48" t="str">
        <f t="array" ref="H135">XLOOKUP($D135,REGOLITOS!$A:$A,REGOLITOS!H:H)</f>
        <v>55 55 0085 0085</v>
      </c>
      <c r="I135" s="48" t="str">
        <f t="array" ref="I135">XLOOKUP($D135,REGOLITOS!$A:$A,REGOLITOS!I:I)</f>
        <v>usuario85@ejemplo.com</v>
      </c>
      <c r="J135" s="48" t="str">
        <f t="array" ref="J135">XLOOKUP($D135,REGOLITOS!$A:$A,REGOLITOS!J:J)</f>
        <v>Tutor_085</v>
      </c>
      <c r="K135" s="48" t="str">
        <f t="array" ref="K135">XLOOKUP($D135,REGOLITOS!$A:$A,REGOLITOS!K:K)</f>
        <v>Jóven adulto</v>
      </c>
      <c r="L135" s="48">
        <v>160.0</v>
      </c>
      <c r="M135" s="5" t="s">
        <v>1078</v>
      </c>
      <c r="N135" s="5" t="s">
        <v>1078</v>
      </c>
      <c r="O135" s="5" t="s">
        <v>1078</v>
      </c>
      <c r="P135" s="5" t="s">
        <v>1078</v>
      </c>
      <c r="Q135" s="5" t="s">
        <v>1080</v>
      </c>
      <c r="R135" s="5" t="s">
        <v>1078</v>
      </c>
      <c r="S135" s="5" t="s">
        <v>1078</v>
      </c>
      <c r="T135" s="5" t="s">
        <v>1080</v>
      </c>
      <c r="X135" s="71">
        <f t="shared" si="2"/>
        <v>6</v>
      </c>
      <c r="Y135" s="5" t="b">
        <v>1</v>
      </c>
    </row>
    <row r="136">
      <c r="A136" s="15" t="s">
        <v>43</v>
      </c>
      <c r="B136" s="15">
        <f t="array" ref="B136">XLOOKUP(A136, CURSOS!A:A, CURSOS!B:B)</f>
        <v>9</v>
      </c>
      <c r="C136" s="15" t="str">
        <f t="array" ref="C136">XLOOKUP(A136, CURSOS!A:A, CURSOS!C:C)</f>
        <v>AJEDREZ MATEMÁTICO</v>
      </c>
      <c r="D136" s="70" t="s">
        <v>348</v>
      </c>
      <c r="E136" s="48">
        <f t="array" ref="E136">XLOOKUP($D136,REGOLITOS!$A:$A,REGOLITOS!E:E)</f>
        <v>38</v>
      </c>
      <c r="F136" s="48" t="str">
        <f t="array" ref="F136">XLOOKUP($D136,REGOLITOS!$A:$A,REGOLITOS!F:F)</f>
        <v>Estudiante</v>
      </c>
      <c r="G136" s="48" t="str">
        <f t="array" ref="G136">XLOOKUP($D136,REGOLITOS!$A:$A,REGOLITOS!G:G)</f>
        <v>Hidalgo</v>
      </c>
      <c r="H136" s="48" t="str">
        <f t="array" ref="H136">XLOOKUP($D136,REGOLITOS!$A:$A,REGOLITOS!H:H)</f>
        <v>55 55 0165 0165</v>
      </c>
      <c r="I136" s="48" t="str">
        <f t="array" ref="I136">XLOOKUP($D136,REGOLITOS!$A:$A,REGOLITOS!I:I)</f>
        <v>usuario165@ejemplo.com</v>
      </c>
      <c r="J136" s="48" t="str">
        <f t="array" ref="J136">XLOOKUP($D136,REGOLITOS!$A:$A,REGOLITOS!J:J)</f>
        <v/>
      </c>
      <c r="K136" s="48" t="str">
        <f t="array" ref="K136">XLOOKUP($D136,REGOLITOS!$A:$A,REGOLITOS!K:K)</f>
        <v>Adulto</v>
      </c>
      <c r="L136" s="48">
        <v>200.0</v>
      </c>
      <c r="M136" s="5" t="s">
        <v>1078</v>
      </c>
      <c r="N136" s="5" t="s">
        <v>1078</v>
      </c>
      <c r="O136" s="5" t="s">
        <v>1078</v>
      </c>
      <c r="P136" s="5" t="s">
        <v>1078</v>
      </c>
      <c r="Q136" s="5" t="s">
        <v>1080</v>
      </c>
      <c r="R136" s="5" t="s">
        <v>1078</v>
      </c>
      <c r="S136" s="5" t="s">
        <v>1078</v>
      </c>
      <c r="T136" s="5" t="s">
        <v>1078</v>
      </c>
      <c r="X136" s="71">
        <f t="shared" si="2"/>
        <v>7</v>
      </c>
      <c r="Y136" s="5" t="b">
        <v>1</v>
      </c>
    </row>
    <row r="137">
      <c r="A137" s="15" t="s">
        <v>43</v>
      </c>
      <c r="B137" s="15">
        <f t="array" ref="B137">XLOOKUP(A137, CURSOS!A:A, CURSOS!B:B)</f>
        <v>9</v>
      </c>
      <c r="C137" s="15" t="str">
        <f t="array" ref="C137">XLOOKUP(A137, CURSOS!A:A, CURSOS!C:C)</f>
        <v>AJEDREZ MATEMÁTICO</v>
      </c>
      <c r="D137" s="70" t="s">
        <v>183</v>
      </c>
      <c r="E137" s="48">
        <f t="array" ref="E137">XLOOKUP($D137,REGOLITOS!$A:$A,REGOLITOS!E:E)</f>
        <v>68</v>
      </c>
      <c r="F137" s="48" t="str">
        <f t="array" ref="F137">XLOOKUP($D137,REGOLITOS!$A:$A,REGOLITOS!F:F)</f>
        <v>Estudiante</v>
      </c>
      <c r="G137" s="48" t="str">
        <f t="array" ref="G137">XLOOKUP($D137,REGOLITOS!$A:$A,REGOLITOS!G:G)</f>
        <v>Estado de México</v>
      </c>
      <c r="H137" s="48" t="str">
        <f t="array" ref="H137">XLOOKUP($D137,REGOLITOS!$A:$A,REGOLITOS!H:H)</f>
        <v>55 55 0051 0051</v>
      </c>
      <c r="I137" s="48" t="str">
        <f t="array" ref="I137">XLOOKUP($D137,REGOLITOS!$A:$A,REGOLITOS!I:I)</f>
        <v>usuario51@ejemplo.com</v>
      </c>
      <c r="J137" s="48" t="str">
        <f t="array" ref="J137">XLOOKUP($D137,REGOLITOS!$A:$A,REGOLITOS!J:J)</f>
        <v/>
      </c>
      <c r="K137" s="48" t="str">
        <f t="array" ref="K137">XLOOKUP($D137,REGOLITOS!$A:$A,REGOLITOS!K:K)</f>
        <v>Adulto Mayor</v>
      </c>
      <c r="L137" s="48">
        <v>200.0</v>
      </c>
      <c r="M137" s="5" t="s">
        <v>1078</v>
      </c>
      <c r="N137" s="5" t="s">
        <v>1078</v>
      </c>
      <c r="O137" s="5" t="s">
        <v>1078</v>
      </c>
      <c r="P137" s="5" t="s">
        <v>1078</v>
      </c>
      <c r="Q137" s="5" t="s">
        <v>1078</v>
      </c>
      <c r="R137" s="5" t="s">
        <v>1078</v>
      </c>
      <c r="S137" s="5" t="s">
        <v>1078</v>
      </c>
      <c r="T137" s="5" t="s">
        <v>1078</v>
      </c>
      <c r="X137" s="71">
        <f t="shared" si="2"/>
        <v>8</v>
      </c>
      <c r="Y137" s="5" t="b">
        <v>1</v>
      </c>
    </row>
    <row r="138">
      <c r="A138" s="15" t="s">
        <v>43</v>
      </c>
      <c r="B138" s="15">
        <f t="array" ref="B138">XLOOKUP(A138, CURSOS!A:A, CURSOS!B:B)</f>
        <v>9</v>
      </c>
      <c r="C138" s="15" t="str">
        <f t="array" ref="C138">XLOOKUP(A138, CURSOS!A:A, CURSOS!C:C)</f>
        <v>AJEDREZ MATEMÁTICO</v>
      </c>
      <c r="D138" s="70" t="s">
        <v>339</v>
      </c>
      <c r="E138" s="48">
        <f t="array" ref="E138">XLOOKUP($D138,REGOLITOS!$A:$A,REGOLITOS!E:E)</f>
        <v>21</v>
      </c>
      <c r="F138" s="48" t="str">
        <f t="array" ref="F138">XLOOKUP($D138,REGOLITOS!$A:$A,REGOLITOS!F:F)</f>
        <v>Servidor Público</v>
      </c>
      <c r="G138" s="48" t="str">
        <f t="array" ref="G138">XLOOKUP($D138,REGOLITOS!$A:$A,REGOLITOS!G:G)</f>
        <v>Tabasco</v>
      </c>
      <c r="H138" s="48" t="str">
        <f t="array" ref="H138">XLOOKUP($D138,REGOLITOS!$A:$A,REGOLITOS!H:H)</f>
        <v>55 55 0159 0159</v>
      </c>
      <c r="I138" s="48" t="str">
        <f t="array" ref="I138">XLOOKUP($D138,REGOLITOS!$A:$A,REGOLITOS!I:I)</f>
        <v>usuario159@ejemplo.com</v>
      </c>
      <c r="J138" s="48" t="str">
        <f t="array" ref="J138">XLOOKUP($D138,REGOLITOS!$A:$A,REGOLITOS!J:J)</f>
        <v/>
      </c>
      <c r="K138" s="48" t="str">
        <f t="array" ref="K138">XLOOKUP($D138,REGOLITOS!$A:$A,REGOLITOS!K:K)</f>
        <v>Jóven adulto</v>
      </c>
      <c r="L138" s="48">
        <v>200.0</v>
      </c>
      <c r="M138" s="5" t="s">
        <v>1080</v>
      </c>
      <c r="N138" s="5" t="s">
        <v>1078</v>
      </c>
      <c r="O138" s="5" t="s">
        <v>1078</v>
      </c>
      <c r="P138" s="5" t="s">
        <v>1078</v>
      </c>
      <c r="Q138" s="5" t="s">
        <v>1078</v>
      </c>
      <c r="R138" s="5" t="s">
        <v>1078</v>
      </c>
      <c r="S138" s="5" t="s">
        <v>1078</v>
      </c>
      <c r="T138" s="5" t="s">
        <v>1078</v>
      </c>
      <c r="X138" s="71">
        <f t="shared" si="2"/>
        <v>7</v>
      </c>
      <c r="Y138" s="5" t="b">
        <v>1</v>
      </c>
    </row>
    <row r="139">
      <c r="A139" s="15" t="s">
        <v>43</v>
      </c>
      <c r="B139" s="15">
        <f t="array" ref="B139">XLOOKUP(A139, CURSOS!A:A, CURSOS!B:B)</f>
        <v>9</v>
      </c>
      <c r="C139" s="15" t="str">
        <f t="array" ref="C139">XLOOKUP(A139, CURSOS!A:A, CURSOS!C:C)</f>
        <v>AJEDREZ MATEMÁTICO</v>
      </c>
      <c r="D139" s="70" t="s">
        <v>358</v>
      </c>
      <c r="E139" s="48">
        <f t="array" ref="E139">XLOOKUP($D139,REGOLITOS!$A:$A,REGOLITOS!E:E)</f>
        <v>78</v>
      </c>
      <c r="F139" s="48" t="str">
        <f t="array" ref="F139">XLOOKUP($D139,REGOLITOS!$A:$A,REGOLITOS!F:F)</f>
        <v>Estudiante</v>
      </c>
      <c r="G139" s="48" t="str">
        <f t="array" ref="G139">XLOOKUP($D139,REGOLITOS!$A:$A,REGOLITOS!G:G)</f>
        <v>Ciudad de México</v>
      </c>
      <c r="H139" s="48" t="str">
        <f t="array" ref="H139">XLOOKUP($D139,REGOLITOS!$A:$A,REGOLITOS!H:H)</f>
        <v>55 55 0173 0173</v>
      </c>
      <c r="I139" s="48" t="str">
        <f t="array" ref="I139">XLOOKUP($D139,REGOLITOS!$A:$A,REGOLITOS!I:I)</f>
        <v>usuario173@ejemplo.com</v>
      </c>
      <c r="J139" s="48" t="str">
        <f t="array" ref="J139">XLOOKUP($D139,REGOLITOS!$A:$A,REGOLITOS!J:J)</f>
        <v/>
      </c>
      <c r="K139" s="48" t="str">
        <f t="array" ref="K139">XLOOKUP($D139,REGOLITOS!$A:$A,REGOLITOS!K:K)</f>
        <v>Adulto Mayor</v>
      </c>
      <c r="L139" s="48">
        <v>160.0</v>
      </c>
      <c r="M139" s="5" t="s">
        <v>1078</v>
      </c>
      <c r="N139" s="5" t="s">
        <v>1078</v>
      </c>
      <c r="O139" s="5" t="s">
        <v>1078</v>
      </c>
      <c r="P139" s="5" t="s">
        <v>1078</v>
      </c>
      <c r="Q139" s="5" t="s">
        <v>1078</v>
      </c>
      <c r="R139" s="5" t="s">
        <v>1078</v>
      </c>
      <c r="S139" s="5" t="s">
        <v>1078</v>
      </c>
      <c r="T139" s="5" t="s">
        <v>1078</v>
      </c>
      <c r="X139" s="71">
        <f t="shared" si="2"/>
        <v>8</v>
      </c>
      <c r="Y139" s="5" t="b">
        <v>1</v>
      </c>
    </row>
    <row r="140">
      <c r="A140" s="15" t="s">
        <v>43</v>
      </c>
      <c r="B140" s="15">
        <f t="array" ref="B140">XLOOKUP(A140, CURSOS!A:A, CURSOS!B:B)</f>
        <v>9</v>
      </c>
      <c r="C140" s="15" t="str">
        <f t="array" ref="C140">XLOOKUP(A140, CURSOS!A:A, CURSOS!C:C)</f>
        <v>AJEDREZ MATEMÁTICO</v>
      </c>
      <c r="D140" s="70" t="s">
        <v>211</v>
      </c>
      <c r="E140" s="48">
        <f t="array" ref="E140">XLOOKUP($D140,REGOLITOS!$A:$A,REGOLITOS!E:E)</f>
        <v>17</v>
      </c>
      <c r="F140" s="48" t="str">
        <f t="array" ref="F140">XLOOKUP($D140,REGOLITOS!$A:$A,REGOLITOS!F:F)</f>
        <v>Estudiante</v>
      </c>
      <c r="G140" s="48" t="str">
        <f t="array" ref="G140">XLOOKUP($D140,REGOLITOS!$A:$A,REGOLITOS!G:G)</f>
        <v>Ciudad de México</v>
      </c>
      <c r="H140" s="48" t="str">
        <f t="array" ref="H140">XLOOKUP($D140,REGOLITOS!$A:$A,REGOLITOS!H:H)</f>
        <v>55 55 0070 0070</v>
      </c>
      <c r="I140" s="48" t="str">
        <f t="array" ref="I140">XLOOKUP($D140,REGOLITOS!$A:$A,REGOLITOS!I:I)</f>
        <v>usuario70@ejemplo.com</v>
      </c>
      <c r="J140" s="48" t="str">
        <f t="array" ref="J140">XLOOKUP($D140,REGOLITOS!$A:$A,REGOLITOS!J:J)</f>
        <v>Tutor_070</v>
      </c>
      <c r="K140" s="48" t="str">
        <f t="array" ref="K140">XLOOKUP($D140,REGOLITOS!$A:$A,REGOLITOS!K:K)</f>
        <v>Adolescente</v>
      </c>
      <c r="L140" s="48">
        <v>200.0</v>
      </c>
      <c r="M140" s="5" t="s">
        <v>1078</v>
      </c>
      <c r="N140" s="5" t="s">
        <v>1078</v>
      </c>
      <c r="O140" s="5" t="s">
        <v>1078</v>
      </c>
      <c r="P140" s="5" t="s">
        <v>1078</v>
      </c>
      <c r="Q140" s="5" t="s">
        <v>1078</v>
      </c>
      <c r="R140" s="5" t="s">
        <v>1078</v>
      </c>
      <c r="S140" s="5" t="s">
        <v>1078</v>
      </c>
      <c r="T140" s="5" t="s">
        <v>1078</v>
      </c>
      <c r="X140" s="71">
        <f t="shared" si="2"/>
        <v>8</v>
      </c>
      <c r="Y140" s="5" t="b">
        <v>1</v>
      </c>
    </row>
    <row r="141">
      <c r="A141" s="15" t="s">
        <v>43</v>
      </c>
      <c r="B141" s="15">
        <f t="array" ref="B141">XLOOKUP(A141, CURSOS!A:A, CURSOS!B:B)</f>
        <v>9</v>
      </c>
      <c r="C141" s="15" t="str">
        <f t="array" ref="C141">XLOOKUP(A141, CURSOS!A:A, CURSOS!C:C)</f>
        <v>AJEDREZ MATEMÁTICO</v>
      </c>
      <c r="D141" s="70" t="s">
        <v>178</v>
      </c>
      <c r="E141" s="48">
        <f t="array" ref="E141">XLOOKUP($D141,REGOLITOS!$A:$A,REGOLITOS!E:E)</f>
        <v>69</v>
      </c>
      <c r="F141" s="48" t="str">
        <f t="array" ref="F141">XLOOKUP($D141,REGOLITOS!$A:$A,REGOLITOS!F:F)</f>
        <v>Estudiante</v>
      </c>
      <c r="G141" s="48" t="str">
        <f t="array" ref="G141">XLOOKUP($D141,REGOLITOS!$A:$A,REGOLITOS!G:G)</f>
        <v>Ciudad de México</v>
      </c>
      <c r="H141" s="48" t="str">
        <f t="array" ref="H141">XLOOKUP($D141,REGOLITOS!$A:$A,REGOLITOS!H:H)</f>
        <v>55 55 0047 0047</v>
      </c>
      <c r="I141" s="48" t="str">
        <f t="array" ref="I141">XLOOKUP($D141,REGOLITOS!$A:$A,REGOLITOS!I:I)</f>
        <v>usuario47@ejemplo.com</v>
      </c>
      <c r="J141" s="48" t="str">
        <f t="array" ref="J141">XLOOKUP($D141,REGOLITOS!$A:$A,REGOLITOS!J:J)</f>
        <v/>
      </c>
      <c r="K141" s="48" t="str">
        <f t="array" ref="K141">XLOOKUP($D141,REGOLITOS!$A:$A,REGOLITOS!K:K)</f>
        <v>Adulto Mayor</v>
      </c>
      <c r="L141" s="48">
        <v>200.0</v>
      </c>
      <c r="M141" s="5" t="s">
        <v>1078</v>
      </c>
      <c r="N141" s="5" t="s">
        <v>1078</v>
      </c>
      <c r="O141" s="5" t="s">
        <v>1078</v>
      </c>
      <c r="P141" s="5" t="s">
        <v>1078</v>
      </c>
      <c r="Q141" s="5" t="s">
        <v>1078</v>
      </c>
      <c r="R141" s="5" t="s">
        <v>1078</v>
      </c>
      <c r="S141" s="5" t="s">
        <v>1078</v>
      </c>
      <c r="T141" s="5" t="s">
        <v>1078</v>
      </c>
      <c r="X141" s="71">
        <f t="shared" si="2"/>
        <v>8</v>
      </c>
      <c r="Y141" s="5" t="b">
        <v>1</v>
      </c>
    </row>
    <row r="142">
      <c r="A142" s="15" t="s">
        <v>43</v>
      </c>
      <c r="B142" s="15">
        <f t="array" ref="B142">XLOOKUP(A142, CURSOS!A:A, CURSOS!B:B)</f>
        <v>9</v>
      </c>
      <c r="C142" s="15" t="str">
        <f t="array" ref="C142">XLOOKUP(A142, CURSOS!A:A, CURSOS!C:C)</f>
        <v>AJEDREZ MATEMÁTICO</v>
      </c>
      <c r="D142" s="70" t="s">
        <v>206</v>
      </c>
      <c r="E142" s="48">
        <f t="array" ref="E142">XLOOKUP($D142,REGOLITOS!$A:$A,REGOLITOS!E:E)</f>
        <v>15</v>
      </c>
      <c r="F142" s="48" t="str">
        <f t="array" ref="F142">XLOOKUP($D142,REGOLITOS!$A:$A,REGOLITOS!F:F)</f>
        <v>Ingeniería Sistemas</v>
      </c>
      <c r="G142" s="48" t="str">
        <f t="array" ref="G142">XLOOKUP($D142,REGOLITOS!$A:$A,REGOLITOS!G:G)</f>
        <v>Morelos</v>
      </c>
      <c r="H142" s="48" t="str">
        <f t="array" ref="H142">XLOOKUP($D142,REGOLITOS!$A:$A,REGOLITOS!H:H)</f>
        <v>55 55 0068 0068</v>
      </c>
      <c r="I142" s="48" t="str">
        <f t="array" ref="I142">XLOOKUP($D142,REGOLITOS!$A:$A,REGOLITOS!I:I)</f>
        <v>usuario68@ejemplo.com</v>
      </c>
      <c r="J142" s="48" t="str">
        <f t="array" ref="J142">XLOOKUP($D142,REGOLITOS!$A:$A,REGOLITOS!J:J)</f>
        <v>Tutor_068</v>
      </c>
      <c r="K142" s="48" t="str">
        <f t="array" ref="K142">XLOOKUP($D142,REGOLITOS!$A:$A,REGOLITOS!K:K)</f>
        <v>Adolescente</v>
      </c>
      <c r="L142" s="48">
        <v>200.0</v>
      </c>
      <c r="M142" s="5" t="s">
        <v>1078</v>
      </c>
      <c r="N142" s="5" t="s">
        <v>1078</v>
      </c>
      <c r="O142" s="5" t="s">
        <v>1080</v>
      </c>
      <c r="P142" s="5" t="s">
        <v>1080</v>
      </c>
      <c r="Q142" s="5" t="s">
        <v>1080</v>
      </c>
      <c r="R142" s="5" t="s">
        <v>1080</v>
      </c>
      <c r="S142" s="5" t="s">
        <v>1080</v>
      </c>
      <c r="T142" s="5" t="s">
        <v>1080</v>
      </c>
      <c r="X142" s="71">
        <f t="shared" si="2"/>
        <v>2</v>
      </c>
      <c r="Y142" s="5" t="b">
        <v>0</v>
      </c>
    </row>
    <row r="143">
      <c r="A143" s="15" t="s">
        <v>43</v>
      </c>
      <c r="B143" s="15">
        <f t="array" ref="B143">XLOOKUP(A143, CURSOS!A:A, CURSOS!B:B)</f>
        <v>9</v>
      </c>
      <c r="C143" s="15" t="str">
        <f t="array" ref="C143">XLOOKUP(A143, CURSOS!A:A, CURSOS!C:C)</f>
        <v>AJEDREZ MATEMÁTICO</v>
      </c>
      <c r="D143" s="70" t="s">
        <v>296</v>
      </c>
      <c r="E143" s="48">
        <f t="array" ref="E143">XLOOKUP($D143,REGOLITOS!$A:$A,REGOLITOS!E:E)</f>
        <v>48</v>
      </c>
      <c r="F143" s="48" t="str">
        <f t="array" ref="F143">XLOOKUP($D143,REGOLITOS!$A:$A,REGOLITOS!F:F)</f>
        <v>Negocio en hogar</v>
      </c>
      <c r="G143" s="48" t="str">
        <f t="array" ref="G143">XLOOKUP($D143,REGOLITOS!$A:$A,REGOLITOS!G:G)</f>
        <v>Ciudad de México</v>
      </c>
      <c r="H143" s="48" t="str">
        <f t="array" ref="H143">XLOOKUP($D143,REGOLITOS!$A:$A,REGOLITOS!H:H)</f>
        <v>55 55 0130 0130</v>
      </c>
      <c r="I143" s="48" t="str">
        <f t="array" ref="I143">XLOOKUP($D143,REGOLITOS!$A:$A,REGOLITOS!I:I)</f>
        <v>usuario130@ejemplo.com</v>
      </c>
      <c r="J143" s="48" t="str">
        <f t="array" ref="J143">XLOOKUP($D143,REGOLITOS!$A:$A,REGOLITOS!J:J)</f>
        <v/>
      </c>
      <c r="K143" s="48" t="str">
        <f t="array" ref="K143">XLOOKUP($D143,REGOLITOS!$A:$A,REGOLITOS!K:K)</f>
        <v>Adulto</v>
      </c>
      <c r="L143" s="48">
        <v>200.0</v>
      </c>
      <c r="M143" s="5" t="s">
        <v>1078</v>
      </c>
      <c r="N143" s="5" t="s">
        <v>1078</v>
      </c>
      <c r="O143" s="5" t="s">
        <v>1080</v>
      </c>
      <c r="P143" s="5" t="s">
        <v>1080</v>
      </c>
      <c r="Q143" s="5" t="s">
        <v>1080</v>
      </c>
      <c r="R143" s="5" t="s">
        <v>1078</v>
      </c>
      <c r="S143" s="5" t="s">
        <v>1078</v>
      </c>
      <c r="T143" s="5" t="s">
        <v>1080</v>
      </c>
      <c r="X143" s="71">
        <f t="shared" si="2"/>
        <v>4</v>
      </c>
      <c r="Y143" s="5" t="b">
        <v>0</v>
      </c>
    </row>
    <row r="144">
      <c r="A144" s="15" t="s">
        <v>43</v>
      </c>
      <c r="B144" s="15">
        <f t="array" ref="B144">XLOOKUP(A144, CURSOS!A:A, CURSOS!B:B)</f>
        <v>9</v>
      </c>
      <c r="C144" s="15" t="str">
        <f t="array" ref="C144">XLOOKUP(A144, CURSOS!A:A, CURSOS!C:C)</f>
        <v>AJEDREZ MATEMÁTICO</v>
      </c>
      <c r="D144" s="70" t="s">
        <v>281</v>
      </c>
      <c r="E144" s="48">
        <f t="array" ref="E144">XLOOKUP($D144,REGOLITOS!$A:$A,REGOLITOS!E:E)</f>
        <v>70</v>
      </c>
      <c r="F144" s="48" t="str">
        <f t="array" ref="F144">XLOOKUP($D144,REGOLITOS!$A:$A,REGOLITOS!F:F)</f>
        <v>Arquitecto</v>
      </c>
      <c r="G144" s="48" t="str">
        <f t="array" ref="G144">XLOOKUP($D144,REGOLITOS!$A:$A,REGOLITOS!G:G)</f>
        <v>Ciudad de México</v>
      </c>
      <c r="H144" s="48" t="str">
        <f t="array" ref="H144">XLOOKUP($D144,REGOLITOS!$A:$A,REGOLITOS!H:H)</f>
        <v>55 55 0120 0120</v>
      </c>
      <c r="I144" s="48" t="str">
        <f t="array" ref="I144">XLOOKUP($D144,REGOLITOS!$A:$A,REGOLITOS!I:I)</f>
        <v>usuario120@ejemplo.com</v>
      </c>
      <c r="J144" s="48" t="str">
        <f t="array" ref="J144">XLOOKUP($D144,REGOLITOS!$A:$A,REGOLITOS!J:J)</f>
        <v/>
      </c>
      <c r="K144" s="48" t="str">
        <f t="array" ref="K144">XLOOKUP($D144,REGOLITOS!$A:$A,REGOLITOS!K:K)</f>
        <v>Adulto Mayor</v>
      </c>
      <c r="L144" s="48">
        <v>200.0</v>
      </c>
      <c r="M144" s="5" t="s">
        <v>1080</v>
      </c>
      <c r="N144" s="5" t="s">
        <v>1080</v>
      </c>
      <c r="O144" s="5" t="s">
        <v>1080</v>
      </c>
      <c r="P144" s="5" t="s">
        <v>1080</v>
      </c>
      <c r="Q144" s="5" t="s">
        <v>1080</v>
      </c>
      <c r="R144" s="5" t="s">
        <v>1080</v>
      </c>
      <c r="S144" s="5" t="s">
        <v>1080</v>
      </c>
      <c r="T144" s="5" t="s">
        <v>1080</v>
      </c>
      <c r="X144" s="71">
        <f t="shared" si="2"/>
        <v>0</v>
      </c>
      <c r="Y144" s="5" t="b">
        <v>0</v>
      </c>
    </row>
    <row r="145">
      <c r="A145" s="15" t="s">
        <v>43</v>
      </c>
      <c r="B145" s="15">
        <f t="array" ref="B145">XLOOKUP(A145, CURSOS!A:A, CURSOS!B:B)</f>
        <v>9</v>
      </c>
      <c r="C145" s="15" t="str">
        <f t="array" ref="C145">XLOOKUP(A145, CURSOS!A:A, CURSOS!C:C)</f>
        <v>AJEDREZ MATEMÁTICO</v>
      </c>
      <c r="D145" s="70" t="s">
        <v>116</v>
      </c>
      <c r="E145" s="48">
        <f t="array" ref="E145">XLOOKUP($D145,REGOLITOS!$A:$A,REGOLITOS!E:E)</f>
        <v>15</v>
      </c>
      <c r="F145" s="48" t="str">
        <f t="array" ref="F145">XLOOKUP($D145,REGOLITOS!$A:$A,REGOLITOS!F:F)</f>
        <v>Estudiante</v>
      </c>
      <c r="G145" s="48" t="str">
        <f t="array" ref="G145">XLOOKUP($D145,REGOLITOS!$A:$A,REGOLITOS!G:G)</f>
        <v>Ciudad de México</v>
      </c>
      <c r="H145" s="48" t="str">
        <f t="array" ref="H145">XLOOKUP($D145,REGOLITOS!$A:$A,REGOLITOS!H:H)</f>
        <v>55 55 0012 0012</v>
      </c>
      <c r="I145" s="48" t="str">
        <f t="array" ref="I145">XLOOKUP($D145,REGOLITOS!$A:$A,REGOLITOS!I:I)</f>
        <v>usuario12@ejemplo.com</v>
      </c>
      <c r="J145" s="48" t="str">
        <f t="array" ref="J145">XLOOKUP($D145,REGOLITOS!$A:$A,REGOLITOS!J:J)</f>
        <v>Tutor_012</v>
      </c>
      <c r="K145" s="48" t="str">
        <f t="array" ref="K145">XLOOKUP($D145,REGOLITOS!$A:$A,REGOLITOS!K:K)</f>
        <v>Adolescente</v>
      </c>
      <c r="L145" s="48">
        <v>200.0</v>
      </c>
      <c r="M145" s="5" t="s">
        <v>1078</v>
      </c>
      <c r="N145" s="5" t="s">
        <v>1078</v>
      </c>
      <c r="O145" s="5" t="s">
        <v>1080</v>
      </c>
      <c r="P145" s="5" t="s">
        <v>1080</v>
      </c>
      <c r="Q145" s="5" t="s">
        <v>1080</v>
      </c>
      <c r="R145" s="5" t="s">
        <v>1078</v>
      </c>
      <c r="S145" s="5" t="s">
        <v>1078</v>
      </c>
      <c r="T145" s="5" t="s">
        <v>1080</v>
      </c>
      <c r="X145" s="71">
        <f t="shared" si="2"/>
        <v>4</v>
      </c>
      <c r="Y145" s="5" t="b">
        <v>0</v>
      </c>
    </row>
    <row r="146">
      <c r="A146" s="15" t="s">
        <v>43</v>
      </c>
      <c r="B146" s="15">
        <f t="array" ref="B146">XLOOKUP(A146, CURSOS!A:A, CURSOS!B:B)</f>
        <v>9</v>
      </c>
      <c r="C146" s="15" t="str">
        <f t="array" ref="C146">XLOOKUP(A146, CURSOS!A:A, CURSOS!C:C)</f>
        <v>AJEDREZ MATEMÁTICO</v>
      </c>
      <c r="D146" s="70" t="s">
        <v>174</v>
      </c>
      <c r="E146" s="48">
        <f t="array" ref="E146">XLOOKUP($D146,REGOLITOS!$A:$A,REGOLITOS!E:E)</f>
        <v>69</v>
      </c>
      <c r="F146" s="48" t="str">
        <f t="array" ref="F146">XLOOKUP($D146,REGOLITOS!$A:$A,REGOLITOS!F:F)</f>
        <v>Estudiante</v>
      </c>
      <c r="G146" s="48" t="str">
        <f t="array" ref="G146">XLOOKUP($D146,REGOLITOS!$A:$A,REGOLITOS!G:G)</f>
        <v>Ciudad de México</v>
      </c>
      <c r="H146" s="48" t="str">
        <f t="array" ref="H146">XLOOKUP($D146,REGOLITOS!$A:$A,REGOLITOS!H:H)</f>
        <v>55 55 0045 0045</v>
      </c>
      <c r="I146" s="48" t="str">
        <f t="array" ref="I146">XLOOKUP($D146,REGOLITOS!$A:$A,REGOLITOS!I:I)</f>
        <v>usuario45@ejemplo.com</v>
      </c>
      <c r="J146" s="48" t="str">
        <f t="array" ref="J146">XLOOKUP($D146,REGOLITOS!$A:$A,REGOLITOS!J:J)</f>
        <v/>
      </c>
      <c r="K146" s="48" t="str">
        <f t="array" ref="K146">XLOOKUP($D146,REGOLITOS!$A:$A,REGOLITOS!K:K)</f>
        <v>Adulto Mayor</v>
      </c>
      <c r="L146" s="48">
        <v>200.0</v>
      </c>
      <c r="M146" s="5" t="s">
        <v>1078</v>
      </c>
      <c r="N146" s="5" t="s">
        <v>1078</v>
      </c>
      <c r="O146" s="5" t="s">
        <v>1080</v>
      </c>
      <c r="P146" s="5" t="s">
        <v>1080</v>
      </c>
      <c r="Q146" s="5" t="s">
        <v>1080</v>
      </c>
      <c r="R146" s="5" t="s">
        <v>1078</v>
      </c>
      <c r="S146" s="5" t="s">
        <v>1078</v>
      </c>
      <c r="T146" s="5" t="s">
        <v>1080</v>
      </c>
      <c r="X146" s="71">
        <f t="shared" si="2"/>
        <v>4</v>
      </c>
      <c r="Y146" s="5" t="b">
        <v>0</v>
      </c>
    </row>
    <row r="147">
      <c r="A147" s="15" t="s">
        <v>43</v>
      </c>
      <c r="B147" s="15">
        <f t="array" ref="B147">XLOOKUP(A147, CURSOS!A:A, CURSOS!B:B)</f>
        <v>9</v>
      </c>
      <c r="C147" s="15" t="str">
        <f t="array" ref="C147">XLOOKUP(A147, CURSOS!A:A, CURSOS!C:C)</f>
        <v>AJEDREZ MATEMÁTICO</v>
      </c>
      <c r="D147" s="70" t="s">
        <v>192</v>
      </c>
      <c r="E147" s="48">
        <f t="array" ref="E147">XLOOKUP($D147,REGOLITOS!$A:$A,REGOLITOS!E:E)</f>
        <v>8</v>
      </c>
      <c r="F147" s="48" t="str">
        <f t="array" ref="F147">XLOOKUP($D147,REGOLITOS!$A:$A,REGOLITOS!F:F)</f>
        <v>Aula de medios</v>
      </c>
      <c r="G147" s="48" t="str">
        <f t="array" ref="G147">XLOOKUP($D147,REGOLITOS!$A:$A,REGOLITOS!G:G)</f>
        <v>Baja California</v>
      </c>
      <c r="H147" s="48" t="str">
        <f t="array" ref="H147">XLOOKUP($D147,REGOLITOS!$A:$A,REGOLITOS!H:H)</f>
        <v>55 55 0058 0058</v>
      </c>
      <c r="I147" s="48" t="str">
        <f t="array" ref="I147">XLOOKUP($D147,REGOLITOS!$A:$A,REGOLITOS!I:I)</f>
        <v>usuario58@ejemplo.com</v>
      </c>
      <c r="J147" s="48" t="str">
        <f t="array" ref="J147">XLOOKUP($D147,REGOLITOS!$A:$A,REGOLITOS!J:J)</f>
        <v>Tutor_058</v>
      </c>
      <c r="K147" s="48" t="str">
        <f t="array" ref="K147">XLOOKUP($D147,REGOLITOS!$A:$A,REGOLITOS!K:K)</f>
        <v>Infancia</v>
      </c>
      <c r="L147" s="48">
        <v>200.0</v>
      </c>
      <c r="M147" s="5" t="s">
        <v>1080</v>
      </c>
      <c r="N147" s="5" t="s">
        <v>1080</v>
      </c>
      <c r="O147" s="5" t="s">
        <v>1080</v>
      </c>
      <c r="P147" s="5" t="s">
        <v>1080</v>
      </c>
      <c r="Q147" s="5" t="s">
        <v>1080</v>
      </c>
      <c r="R147" s="5" t="s">
        <v>1080</v>
      </c>
      <c r="S147" s="5" t="s">
        <v>1080</v>
      </c>
      <c r="T147" s="5" t="s">
        <v>1080</v>
      </c>
      <c r="X147" s="71">
        <f t="shared" si="2"/>
        <v>0</v>
      </c>
      <c r="Y147" s="5" t="b">
        <v>0</v>
      </c>
    </row>
    <row r="148">
      <c r="A148" s="15" t="s">
        <v>43</v>
      </c>
      <c r="B148" s="15">
        <f t="array" ref="B148">XLOOKUP(A148, CURSOS!A:A, CURSOS!B:B)</f>
        <v>9</v>
      </c>
      <c r="C148" s="15" t="str">
        <f t="array" ref="C148">XLOOKUP(A148, CURSOS!A:A, CURSOS!C:C)</f>
        <v>AJEDREZ MATEMÁTICO</v>
      </c>
      <c r="D148" s="70" t="s">
        <v>142</v>
      </c>
      <c r="E148" s="48">
        <f t="array" ref="E148">XLOOKUP($D148,REGOLITOS!$A:$A,REGOLITOS!E:E)</f>
        <v>21</v>
      </c>
      <c r="F148" s="48" t="str">
        <f t="array" ref="F148">XLOOKUP($D148,REGOLITOS!$A:$A,REGOLITOS!F:F)</f>
        <v>Científico de datos financieros</v>
      </c>
      <c r="G148" s="48" t="str">
        <f t="array" ref="G148">XLOOKUP($D148,REGOLITOS!$A:$A,REGOLITOS!G:G)</f>
        <v>Ciudad de México</v>
      </c>
      <c r="H148" s="48" t="str">
        <f t="array" ref="H148">XLOOKUP($D148,REGOLITOS!$A:$A,REGOLITOS!H:H)</f>
        <v>55 55 0025 0025</v>
      </c>
      <c r="I148" s="48" t="str">
        <f t="array" ref="I148">XLOOKUP($D148,REGOLITOS!$A:$A,REGOLITOS!I:I)</f>
        <v>usuario25@ejemplo.com</v>
      </c>
      <c r="J148" s="48" t="str">
        <f t="array" ref="J148">XLOOKUP($D148,REGOLITOS!$A:$A,REGOLITOS!J:J)</f>
        <v/>
      </c>
      <c r="K148" s="48" t="str">
        <f t="array" ref="K148">XLOOKUP($D148,REGOLITOS!$A:$A,REGOLITOS!K:K)</f>
        <v>Jóven adulto</v>
      </c>
      <c r="L148" s="48">
        <v>200.0</v>
      </c>
      <c r="M148" s="5" t="s">
        <v>1080</v>
      </c>
      <c r="N148" s="5" t="s">
        <v>1080</v>
      </c>
      <c r="O148" s="5" t="s">
        <v>1078</v>
      </c>
      <c r="P148" s="5" t="s">
        <v>1080</v>
      </c>
      <c r="Q148" s="5" t="s">
        <v>1080</v>
      </c>
      <c r="R148" s="5" t="s">
        <v>1080</v>
      </c>
      <c r="S148" s="5" t="s">
        <v>1080</v>
      </c>
      <c r="T148" s="5" t="s">
        <v>1080</v>
      </c>
      <c r="X148" s="71">
        <f t="shared" si="2"/>
        <v>1</v>
      </c>
      <c r="Y148" s="5" t="b">
        <v>0</v>
      </c>
    </row>
    <row r="149">
      <c r="A149" s="15" t="s">
        <v>43</v>
      </c>
      <c r="B149" s="15">
        <f t="array" ref="B149">XLOOKUP(A149, CURSOS!A:A, CURSOS!B:B)</f>
        <v>9</v>
      </c>
      <c r="C149" s="15" t="str">
        <f t="array" ref="C149">XLOOKUP(A149, CURSOS!A:A, CURSOS!C:C)</f>
        <v>AJEDREZ MATEMÁTICO</v>
      </c>
      <c r="D149" s="70" t="s">
        <v>262</v>
      </c>
      <c r="E149" s="48">
        <f t="array" ref="E149">XLOOKUP($D149,REGOLITOS!$A:$A,REGOLITOS!E:E)</f>
        <v>48</v>
      </c>
      <c r="F149" s="48" t="str">
        <f t="array" ref="F149">XLOOKUP($D149,REGOLITOS!$A:$A,REGOLITOS!F:F)</f>
        <v>Estudiante</v>
      </c>
      <c r="G149" s="48" t="str">
        <f t="array" ref="G149">XLOOKUP($D149,REGOLITOS!$A:$A,REGOLITOS!G:G)</f>
        <v>Nuevo León</v>
      </c>
      <c r="H149" s="48" t="str">
        <f t="array" ref="H149">XLOOKUP($D149,REGOLITOS!$A:$A,REGOLITOS!H:H)</f>
        <v>55 55 0105 0105</v>
      </c>
      <c r="I149" s="48" t="str">
        <f t="array" ref="I149">XLOOKUP($D149,REGOLITOS!$A:$A,REGOLITOS!I:I)</f>
        <v>usuario105@ejemplo.com</v>
      </c>
      <c r="J149" s="48" t="str">
        <f t="array" ref="J149">XLOOKUP($D149,REGOLITOS!$A:$A,REGOLITOS!J:J)</f>
        <v/>
      </c>
      <c r="K149" s="48" t="str">
        <f t="array" ref="K149">XLOOKUP($D149,REGOLITOS!$A:$A,REGOLITOS!K:K)</f>
        <v>Adulto</v>
      </c>
      <c r="L149" s="48">
        <v>200.0</v>
      </c>
      <c r="M149" s="5" t="s">
        <v>1078</v>
      </c>
      <c r="N149" s="5" t="s">
        <v>1078</v>
      </c>
      <c r="O149" s="5" t="s">
        <v>1078</v>
      </c>
      <c r="P149" s="5" t="s">
        <v>1078</v>
      </c>
      <c r="Q149" s="5" t="s">
        <v>1080</v>
      </c>
      <c r="R149" s="5" t="s">
        <v>1080</v>
      </c>
      <c r="S149" s="5" t="s">
        <v>1080</v>
      </c>
      <c r="T149" s="5" t="s">
        <v>1080</v>
      </c>
      <c r="X149" s="71">
        <f t="shared" si="2"/>
        <v>4</v>
      </c>
      <c r="Y149" s="5" t="b">
        <v>0</v>
      </c>
    </row>
    <row r="150">
      <c r="A150" s="15" t="s">
        <v>43</v>
      </c>
      <c r="B150" s="15">
        <f t="array" ref="B150">XLOOKUP(A150, CURSOS!A:A, CURSOS!B:B)</f>
        <v>9</v>
      </c>
      <c r="C150" s="15" t="str">
        <f t="array" ref="C150">XLOOKUP(A150, CURSOS!A:A, CURSOS!C:C)</f>
        <v>AJEDREZ MATEMÁTICO</v>
      </c>
      <c r="D150" s="70" t="s">
        <v>157</v>
      </c>
      <c r="E150" s="48">
        <f t="array" ref="E150">XLOOKUP($D150,REGOLITOS!$A:$A,REGOLITOS!E:E)</f>
        <v>23</v>
      </c>
      <c r="F150" s="48" t="str">
        <f t="array" ref="F150">XLOOKUP($D150,REGOLITOS!$A:$A,REGOLITOS!F:F)</f>
        <v>Estudiante</v>
      </c>
      <c r="G150" s="48" t="str">
        <f t="array" ref="G150">XLOOKUP($D150,REGOLITOS!$A:$A,REGOLITOS!G:G)</f>
        <v>Jalisco</v>
      </c>
      <c r="H150" s="48" t="str">
        <f t="array" ref="H150">XLOOKUP($D150,REGOLITOS!$A:$A,REGOLITOS!H:H)</f>
        <v>55 55 0035 0035</v>
      </c>
      <c r="I150" s="48" t="str">
        <f t="array" ref="I150">XLOOKUP($D150,REGOLITOS!$A:$A,REGOLITOS!I:I)</f>
        <v>usuario35@ejemplo.com</v>
      </c>
      <c r="J150" s="48" t="str">
        <f t="array" ref="J150">XLOOKUP($D150,REGOLITOS!$A:$A,REGOLITOS!J:J)</f>
        <v/>
      </c>
      <c r="K150" s="48" t="str">
        <f t="array" ref="K150">XLOOKUP($D150,REGOLITOS!$A:$A,REGOLITOS!K:K)</f>
        <v>Jóven adulto</v>
      </c>
      <c r="L150" s="48">
        <v>200.0</v>
      </c>
      <c r="M150" s="5" t="s">
        <v>1078</v>
      </c>
      <c r="N150" s="5" t="s">
        <v>1081</v>
      </c>
      <c r="O150" s="5" t="s">
        <v>1080</v>
      </c>
      <c r="P150" s="5" t="s">
        <v>1080</v>
      </c>
      <c r="Q150" s="5" t="s">
        <v>1080</v>
      </c>
      <c r="R150" s="5" t="s">
        <v>1080</v>
      </c>
      <c r="S150" s="5" t="s">
        <v>1081</v>
      </c>
      <c r="T150" s="5" t="s">
        <v>1080</v>
      </c>
      <c r="X150" s="71">
        <f t="shared" si="2"/>
        <v>3</v>
      </c>
      <c r="Y150" s="5" t="b">
        <v>0</v>
      </c>
    </row>
    <row r="151">
      <c r="A151" s="15" t="s">
        <v>43</v>
      </c>
      <c r="B151" s="15">
        <f t="array" ref="B151">XLOOKUP(A151, CURSOS!A:A, CURSOS!B:B)</f>
        <v>9</v>
      </c>
      <c r="C151" s="15" t="str">
        <f t="array" ref="C151">XLOOKUP(A151, CURSOS!A:A, CURSOS!C:C)</f>
        <v>AJEDREZ MATEMÁTICO</v>
      </c>
      <c r="D151" s="70" t="s">
        <v>129</v>
      </c>
      <c r="E151" s="48">
        <f t="array" ref="E151">XLOOKUP($D151,REGOLITOS!$A:$A,REGOLITOS!E:E)</f>
        <v>57</v>
      </c>
      <c r="F151" s="48" t="str">
        <f t="array" ref="F151">XLOOKUP($D151,REGOLITOS!$A:$A,REGOLITOS!F:F)</f>
        <v>Estudiante</v>
      </c>
      <c r="G151" s="48" t="str">
        <f t="array" ref="G151">XLOOKUP($D151,REGOLITOS!$A:$A,REGOLITOS!G:G)</f>
        <v>Jalisco</v>
      </c>
      <c r="H151" s="48" t="str">
        <f t="array" ref="H151">XLOOKUP($D151,REGOLITOS!$A:$A,REGOLITOS!H:H)</f>
        <v>55 55 0019 0019</v>
      </c>
      <c r="I151" s="48" t="str">
        <f t="array" ref="I151">XLOOKUP($D151,REGOLITOS!$A:$A,REGOLITOS!I:I)</f>
        <v>usuario19@ejemplo.com</v>
      </c>
      <c r="J151" s="48" t="str">
        <f t="array" ref="J151">XLOOKUP($D151,REGOLITOS!$A:$A,REGOLITOS!J:J)</f>
        <v/>
      </c>
      <c r="K151" s="48" t="str">
        <f t="array" ref="K151">XLOOKUP($D151,REGOLITOS!$A:$A,REGOLITOS!K:K)</f>
        <v>Adulto</v>
      </c>
      <c r="L151" s="48">
        <v>200.0</v>
      </c>
      <c r="M151" s="5" t="s">
        <v>1078</v>
      </c>
      <c r="N151" s="5" t="s">
        <v>1081</v>
      </c>
      <c r="O151" s="5" t="s">
        <v>1080</v>
      </c>
      <c r="P151" s="5" t="s">
        <v>1080</v>
      </c>
      <c r="Q151" s="5" t="s">
        <v>1080</v>
      </c>
      <c r="R151" s="5" t="s">
        <v>1080</v>
      </c>
      <c r="S151" s="5" t="s">
        <v>1081</v>
      </c>
      <c r="T151" s="5" t="s">
        <v>1080</v>
      </c>
      <c r="X151" s="71">
        <f t="shared" si="2"/>
        <v>3</v>
      </c>
      <c r="Y151" s="5" t="b">
        <v>0</v>
      </c>
    </row>
    <row r="152">
      <c r="A152" s="78" t="s">
        <v>47</v>
      </c>
      <c r="B152" s="78">
        <f t="array" ref="B152">XLOOKUP(A152, CURSOS!A:A, CURSOS!B:B)</f>
        <v>10</v>
      </c>
      <c r="C152" s="16" t="str">
        <f t="array" ref="C152">XLOOKUP(A152, CURSOS!A:A, CURSOS!C:C)</f>
        <v>EN UNA GALAXIA MUY, MUY LEJANA</v>
      </c>
      <c r="D152" s="70" t="s">
        <v>258</v>
      </c>
      <c r="E152" s="48">
        <f t="array" ref="E152">XLOOKUP($D152,REGOLITOS!$A:$A,REGOLITOS!E:E)</f>
        <v>66</v>
      </c>
      <c r="F152" s="48" t="str">
        <f t="array" ref="F152">XLOOKUP($D152,REGOLITOS!$A:$A,REGOLITOS!F:F)</f>
        <v>Estudiante HS</v>
      </c>
      <c r="G152" s="48" t="str">
        <f t="array" ref="G152">XLOOKUP($D152,REGOLITOS!$A:$A,REGOLITOS!G:G)</f>
        <v>Jalisco</v>
      </c>
      <c r="H152" s="48" t="str">
        <f t="array" ref="H152">XLOOKUP($D152,REGOLITOS!$A:$A,REGOLITOS!H:H)</f>
        <v>55 55 0103 0103</v>
      </c>
      <c r="I152" s="48" t="str">
        <f t="array" ref="I152">XLOOKUP($D152,REGOLITOS!$A:$A,REGOLITOS!I:I)</f>
        <v>usuario103@ejemplo.com</v>
      </c>
      <c r="J152" s="48" t="str">
        <f t="array" ref="J152">XLOOKUP($D152,REGOLITOS!$A:$A,REGOLITOS!J:J)</f>
        <v/>
      </c>
      <c r="K152" s="48" t="str">
        <f t="array" ref="K152">XLOOKUP($D152,REGOLITOS!$A:$A,REGOLITOS!K:K)</f>
        <v>Adulto Mayor</v>
      </c>
      <c r="L152" s="48">
        <v>200.0</v>
      </c>
      <c r="M152" s="5" t="s">
        <v>1078</v>
      </c>
      <c r="N152" s="5" t="s">
        <v>1078</v>
      </c>
      <c r="O152" s="5" t="s">
        <v>1080</v>
      </c>
      <c r="P152" s="5" t="s">
        <v>1081</v>
      </c>
      <c r="Q152" s="5" t="s">
        <v>1078</v>
      </c>
      <c r="X152" s="71">
        <f t="shared" si="2"/>
        <v>4</v>
      </c>
      <c r="Y152" s="5" t="b">
        <v>1</v>
      </c>
    </row>
    <row r="153">
      <c r="A153" s="78" t="s">
        <v>47</v>
      </c>
      <c r="B153" s="78">
        <f t="array" ref="B153">XLOOKUP(A153, CURSOS!A:A, CURSOS!B:B)</f>
        <v>10</v>
      </c>
      <c r="C153" s="16" t="str">
        <f t="array" ref="C153">XLOOKUP(A153, CURSOS!A:A, CURSOS!C:C)</f>
        <v>EN UNA GALAXIA MUY, MUY LEJANA</v>
      </c>
      <c r="D153" s="70" t="s">
        <v>172</v>
      </c>
      <c r="E153" s="48">
        <f t="array" ref="E153">XLOOKUP($D153,REGOLITOS!$A:$A,REGOLITOS!E:E)</f>
        <v>51</v>
      </c>
      <c r="F153" s="48" t="str">
        <f t="array" ref="F153">XLOOKUP($D153,REGOLITOS!$A:$A,REGOLITOS!F:F)</f>
        <v>Odontóloga</v>
      </c>
      <c r="G153" s="48" t="str">
        <f t="array" ref="G153">XLOOKUP($D153,REGOLITOS!$A:$A,REGOLITOS!G:G)</f>
        <v>Estado de México</v>
      </c>
      <c r="H153" s="48" t="str">
        <f t="array" ref="H153">XLOOKUP($D153,REGOLITOS!$A:$A,REGOLITOS!H:H)</f>
        <v>55 55 0044 0044</v>
      </c>
      <c r="I153" s="48" t="str">
        <f t="array" ref="I153">XLOOKUP($D153,REGOLITOS!$A:$A,REGOLITOS!I:I)</f>
        <v>usuario44@ejemplo.com</v>
      </c>
      <c r="J153" s="48" t="str">
        <f t="array" ref="J153">XLOOKUP($D153,REGOLITOS!$A:$A,REGOLITOS!J:J)</f>
        <v/>
      </c>
      <c r="K153" s="48" t="str">
        <f t="array" ref="K153">XLOOKUP($D153,REGOLITOS!$A:$A,REGOLITOS!K:K)</f>
        <v>Adulto</v>
      </c>
      <c r="L153" s="48">
        <v>200.0</v>
      </c>
      <c r="M153" s="5" t="s">
        <v>1078</v>
      </c>
      <c r="N153" s="5" t="s">
        <v>1078</v>
      </c>
      <c r="O153" s="5" t="s">
        <v>1078</v>
      </c>
      <c r="P153" s="5" t="s">
        <v>1078</v>
      </c>
      <c r="Q153" s="5" t="s">
        <v>1078</v>
      </c>
      <c r="X153" s="71">
        <f t="shared" si="2"/>
        <v>5</v>
      </c>
      <c r="Y153" s="5" t="b">
        <v>1</v>
      </c>
    </row>
    <row r="154">
      <c r="A154" s="78" t="s">
        <v>47</v>
      </c>
      <c r="B154" s="78">
        <f t="array" ref="B154">XLOOKUP(A154, CURSOS!A:A, CURSOS!B:B)</f>
        <v>10</v>
      </c>
      <c r="C154" s="16" t="str">
        <f t="array" ref="C154">XLOOKUP(A154, CURSOS!A:A, CURSOS!C:C)</f>
        <v>EN UNA GALAXIA MUY, MUY LEJANA</v>
      </c>
      <c r="D154" s="70" t="s">
        <v>355</v>
      </c>
      <c r="E154" s="48">
        <f t="array" ref="E154">XLOOKUP($D154,REGOLITOS!$A:$A,REGOLITOS!E:E)</f>
        <v>45</v>
      </c>
      <c r="F154" s="48" t="str">
        <f t="array" ref="F154">XLOOKUP($D154,REGOLITOS!$A:$A,REGOLITOS!F:F)</f>
        <v>Estudiante</v>
      </c>
      <c r="G154" s="48" t="str">
        <f t="array" ref="G154">XLOOKUP($D154,REGOLITOS!$A:$A,REGOLITOS!G:G)</f>
        <v>Estado de México</v>
      </c>
      <c r="H154" s="48" t="str">
        <f t="array" ref="H154">XLOOKUP($D154,REGOLITOS!$A:$A,REGOLITOS!H:H)</f>
        <v>55 55 0170 0170</v>
      </c>
      <c r="I154" s="48" t="str">
        <f t="array" ref="I154">XLOOKUP($D154,REGOLITOS!$A:$A,REGOLITOS!I:I)</f>
        <v>usuario170@ejemplo.com</v>
      </c>
      <c r="J154" s="48" t="str">
        <f t="array" ref="J154">XLOOKUP($D154,REGOLITOS!$A:$A,REGOLITOS!J:J)</f>
        <v/>
      </c>
      <c r="K154" s="48" t="str">
        <f t="array" ref="K154">XLOOKUP($D154,REGOLITOS!$A:$A,REGOLITOS!K:K)</f>
        <v>Adulto</v>
      </c>
      <c r="L154" s="48" t="s">
        <v>1086</v>
      </c>
      <c r="M154" s="5" t="s">
        <v>1078</v>
      </c>
      <c r="N154" s="5" t="s">
        <v>1078</v>
      </c>
      <c r="O154" s="5" t="s">
        <v>1078</v>
      </c>
      <c r="P154" s="5" t="s">
        <v>1078</v>
      </c>
      <c r="Q154" s="5" t="s">
        <v>1078</v>
      </c>
      <c r="X154" s="71">
        <f t="shared" si="2"/>
        <v>5</v>
      </c>
      <c r="Y154" s="5" t="b">
        <v>1</v>
      </c>
    </row>
    <row r="155">
      <c r="A155" s="78" t="s">
        <v>47</v>
      </c>
      <c r="B155" s="78">
        <f t="array" ref="B155">XLOOKUP(A155, CURSOS!A:A, CURSOS!B:B)</f>
        <v>10</v>
      </c>
      <c r="C155" s="16" t="str">
        <f t="array" ref="C155">XLOOKUP(A155, CURSOS!A:A, CURSOS!C:C)</f>
        <v>EN UNA GALAXIA MUY, MUY LEJANA</v>
      </c>
      <c r="D155" s="70" t="s">
        <v>232</v>
      </c>
      <c r="E155" s="48">
        <f t="array" ref="E155">XLOOKUP($D155,REGOLITOS!$A:$A,REGOLITOS!E:E)</f>
        <v>18</v>
      </c>
      <c r="F155" s="48" t="str">
        <f t="array" ref="F155">XLOOKUP($D155,REGOLITOS!$A:$A,REGOLITOS!F:F)</f>
        <v>Estudiante</v>
      </c>
      <c r="G155" s="48" t="str">
        <f t="array" ref="G155">XLOOKUP($D155,REGOLITOS!$A:$A,REGOLITOS!G:G)</f>
        <v>Hidalgo</v>
      </c>
      <c r="H155" s="48" t="str">
        <f t="array" ref="H155">XLOOKUP($D155,REGOLITOS!$A:$A,REGOLITOS!H:H)</f>
        <v>55 55 0085 0085</v>
      </c>
      <c r="I155" s="48" t="str">
        <f t="array" ref="I155">XLOOKUP($D155,REGOLITOS!$A:$A,REGOLITOS!I:I)</f>
        <v>usuario85@ejemplo.com</v>
      </c>
      <c r="J155" s="48" t="str">
        <f t="array" ref="J155">XLOOKUP($D155,REGOLITOS!$A:$A,REGOLITOS!J:J)</f>
        <v>Tutor_085</v>
      </c>
      <c r="K155" s="48" t="str">
        <f t="array" ref="K155">XLOOKUP($D155,REGOLITOS!$A:$A,REGOLITOS!K:K)</f>
        <v>Jóven adulto</v>
      </c>
      <c r="L155" s="48">
        <v>160.0</v>
      </c>
      <c r="M155" s="5" t="s">
        <v>1078</v>
      </c>
      <c r="N155" s="5" t="s">
        <v>1078</v>
      </c>
      <c r="O155" s="5" t="s">
        <v>1078</v>
      </c>
      <c r="P155" s="5" t="s">
        <v>1078</v>
      </c>
      <c r="Q155" s="5" t="s">
        <v>1078</v>
      </c>
      <c r="X155" s="71">
        <f t="shared" si="2"/>
        <v>5</v>
      </c>
      <c r="Y155" s="5" t="b">
        <v>1</v>
      </c>
    </row>
    <row r="156">
      <c r="A156" s="78" t="s">
        <v>47</v>
      </c>
      <c r="B156" s="78">
        <f t="array" ref="B156">XLOOKUP(A156, CURSOS!A:A, CURSOS!B:B)</f>
        <v>10</v>
      </c>
      <c r="C156" s="16" t="str">
        <f t="array" ref="C156">XLOOKUP(A156, CURSOS!A:A, CURSOS!C:C)</f>
        <v>EN UNA GALAXIA MUY, MUY LEJANA</v>
      </c>
      <c r="D156" s="70" t="s">
        <v>112</v>
      </c>
      <c r="E156" s="48">
        <f t="array" ref="E156">XLOOKUP($D156,REGOLITOS!$A:$A,REGOLITOS!E:E)</f>
        <v>52</v>
      </c>
      <c r="F156" s="48" t="str">
        <f t="array" ref="F156">XLOOKUP($D156,REGOLITOS!$A:$A,REGOLITOS!F:F)</f>
        <v>Estudiante</v>
      </c>
      <c r="G156" s="48" t="str">
        <f t="array" ref="G156">XLOOKUP($D156,REGOLITOS!$A:$A,REGOLITOS!G:G)</f>
        <v>Estado de México</v>
      </c>
      <c r="H156" s="48" t="str">
        <f t="array" ref="H156">XLOOKUP($D156,REGOLITOS!$A:$A,REGOLITOS!H:H)</f>
        <v>55 55 0009 0009</v>
      </c>
      <c r="I156" s="48" t="str">
        <f t="array" ref="I156">XLOOKUP($D156,REGOLITOS!$A:$A,REGOLITOS!I:I)</f>
        <v>usuario9@ejemplo.com</v>
      </c>
      <c r="J156" s="48" t="str">
        <f t="array" ref="J156">XLOOKUP($D156,REGOLITOS!$A:$A,REGOLITOS!J:J)</f>
        <v/>
      </c>
      <c r="K156" s="48" t="str">
        <f t="array" ref="K156">XLOOKUP($D156,REGOLITOS!$A:$A,REGOLITOS!K:K)</f>
        <v>Adulto</v>
      </c>
      <c r="L156" s="48">
        <v>200.0</v>
      </c>
      <c r="M156" s="5" t="s">
        <v>1078</v>
      </c>
      <c r="N156" s="5" t="s">
        <v>1078</v>
      </c>
      <c r="O156" s="5" t="s">
        <v>1078</v>
      </c>
      <c r="P156" s="5" t="s">
        <v>1078</v>
      </c>
      <c r="Q156" s="5" t="s">
        <v>1078</v>
      </c>
      <c r="X156" s="71">
        <f t="shared" si="2"/>
        <v>5</v>
      </c>
      <c r="Y156" s="5" t="b">
        <v>1</v>
      </c>
    </row>
    <row r="157">
      <c r="A157" s="78" t="s">
        <v>47</v>
      </c>
      <c r="B157" s="78">
        <f t="array" ref="B157">XLOOKUP(A157, CURSOS!A:A, CURSOS!B:B)</f>
        <v>10</v>
      </c>
      <c r="C157" s="16" t="str">
        <f t="array" ref="C157">XLOOKUP(A157, CURSOS!A:A, CURSOS!C:C)</f>
        <v>EN UNA GALAXIA MUY, MUY LEJANA</v>
      </c>
      <c r="D157" s="70" t="s">
        <v>365</v>
      </c>
      <c r="E157" s="48">
        <f t="array" ref="E157">XLOOKUP($D157,REGOLITOS!$A:$A,REGOLITOS!E:E)</f>
        <v>78</v>
      </c>
      <c r="F157" s="48" t="str">
        <f t="array" ref="F157">XLOOKUP($D157,REGOLITOS!$A:$A,REGOLITOS!F:F)</f>
        <v>Estudiante</v>
      </c>
      <c r="G157" s="48" t="str">
        <f t="array" ref="G157">XLOOKUP($D157,REGOLITOS!$A:$A,REGOLITOS!G:G)</f>
        <v>Ciudad de México</v>
      </c>
      <c r="H157" s="48" t="str">
        <f t="array" ref="H157">XLOOKUP($D157,REGOLITOS!$A:$A,REGOLITOS!H:H)</f>
        <v>55 55 0178 0178</v>
      </c>
      <c r="I157" s="48" t="str">
        <f t="array" ref="I157">XLOOKUP($D157,REGOLITOS!$A:$A,REGOLITOS!I:I)</f>
        <v>usuario178@ejemplo.com</v>
      </c>
      <c r="J157" s="48" t="str">
        <f t="array" ref="J157">XLOOKUP($D157,REGOLITOS!$A:$A,REGOLITOS!J:J)</f>
        <v/>
      </c>
      <c r="K157" s="48" t="str">
        <f t="array" ref="K157">XLOOKUP($D157,REGOLITOS!$A:$A,REGOLITOS!K:K)</f>
        <v>Adulto Mayor</v>
      </c>
      <c r="L157" s="48">
        <v>160.0</v>
      </c>
      <c r="M157" s="5" t="s">
        <v>1078</v>
      </c>
      <c r="N157" s="5" t="s">
        <v>1078</v>
      </c>
      <c r="O157" s="5" t="s">
        <v>1078</v>
      </c>
      <c r="P157" s="5" t="s">
        <v>1078</v>
      </c>
      <c r="Q157" s="5" t="s">
        <v>1078</v>
      </c>
      <c r="X157" s="71">
        <f t="shared" si="2"/>
        <v>5</v>
      </c>
      <c r="Y157" s="5" t="b">
        <v>1</v>
      </c>
    </row>
    <row r="158">
      <c r="A158" s="78" t="s">
        <v>47</v>
      </c>
      <c r="B158" s="78">
        <f t="array" ref="B158">XLOOKUP(A158, CURSOS!A:A, CURSOS!B:B)</f>
        <v>10</v>
      </c>
      <c r="C158" s="16" t="str">
        <f t="array" ref="C158">XLOOKUP(A158, CURSOS!A:A, CURSOS!C:C)</f>
        <v>EN UNA GALAXIA MUY, MUY LEJANA</v>
      </c>
      <c r="D158" s="70" t="s">
        <v>290</v>
      </c>
      <c r="E158" s="48">
        <f t="array" ref="E158">XLOOKUP($D158,REGOLITOS!$A:$A,REGOLITOS!E:E)</f>
        <v>76</v>
      </c>
      <c r="F158" s="48" t="str">
        <f t="array" ref="F158">XLOOKUP($D158,REGOLITOS!$A:$A,REGOLITOS!F:F)</f>
        <v>Empleada</v>
      </c>
      <c r="G158" s="48" t="str">
        <f t="array" ref="G158">XLOOKUP($D158,REGOLITOS!$A:$A,REGOLITOS!G:G)</f>
        <v>Nuevo León</v>
      </c>
      <c r="H158" s="48" t="str">
        <f t="array" ref="H158">XLOOKUP($D158,REGOLITOS!$A:$A,REGOLITOS!H:H)</f>
        <v>55 55 0127 0127</v>
      </c>
      <c r="I158" s="48" t="str">
        <f t="array" ref="I158">XLOOKUP($D158,REGOLITOS!$A:$A,REGOLITOS!I:I)</f>
        <v>usuario127@ejemplo.com</v>
      </c>
      <c r="J158" s="48" t="str">
        <f t="array" ref="J158">XLOOKUP($D158,REGOLITOS!$A:$A,REGOLITOS!J:J)</f>
        <v/>
      </c>
      <c r="K158" s="48" t="str">
        <f t="array" ref="K158">XLOOKUP($D158,REGOLITOS!$A:$A,REGOLITOS!K:K)</f>
        <v>Adulto Mayor</v>
      </c>
      <c r="L158" s="48">
        <v>160.0</v>
      </c>
      <c r="M158" s="5" t="s">
        <v>1078</v>
      </c>
      <c r="N158" s="5" t="s">
        <v>1078</v>
      </c>
      <c r="O158" s="5" t="s">
        <v>1078</v>
      </c>
      <c r="P158" s="5" t="s">
        <v>1078</v>
      </c>
      <c r="Q158" s="5" t="s">
        <v>1078</v>
      </c>
      <c r="X158" s="71">
        <f t="shared" si="2"/>
        <v>5</v>
      </c>
      <c r="Y158" s="5" t="b">
        <v>1</v>
      </c>
    </row>
    <row r="159">
      <c r="A159" s="78" t="s">
        <v>47</v>
      </c>
      <c r="B159" s="78">
        <f t="array" ref="B159">XLOOKUP(A159, CURSOS!A:A, CURSOS!B:B)</f>
        <v>10</v>
      </c>
      <c r="C159" s="16" t="str">
        <f t="array" ref="C159">XLOOKUP(A159, CURSOS!A:A, CURSOS!C:C)</f>
        <v>EN UNA GALAXIA MUY, MUY LEJANA</v>
      </c>
      <c r="D159" s="70" t="s">
        <v>252</v>
      </c>
      <c r="E159" s="48">
        <f t="array" ref="E159">XLOOKUP($D159,REGOLITOS!$A:$A,REGOLITOS!E:E)</f>
        <v>9</v>
      </c>
      <c r="F159" s="48" t="str">
        <f t="array" ref="F159">XLOOKUP($D159,REGOLITOS!$A:$A,REGOLITOS!F:F)</f>
        <v>Estudiante</v>
      </c>
      <c r="G159" s="48" t="str">
        <f t="array" ref="G159">XLOOKUP($D159,REGOLITOS!$A:$A,REGOLITOS!G:G)</f>
        <v>Veracruz</v>
      </c>
      <c r="H159" s="48" t="str">
        <f t="array" ref="H159">XLOOKUP($D159,REGOLITOS!$A:$A,REGOLITOS!H:H)</f>
        <v>55 55 0097 0097</v>
      </c>
      <c r="I159" s="48" t="str">
        <f t="array" ref="I159">XLOOKUP($D159,REGOLITOS!$A:$A,REGOLITOS!I:I)</f>
        <v>usuario97@ejemplo.com</v>
      </c>
      <c r="J159" s="48" t="str">
        <f t="array" ref="J159">XLOOKUP($D159,REGOLITOS!$A:$A,REGOLITOS!J:J)</f>
        <v>Tutor_097</v>
      </c>
      <c r="K159" s="48" t="str">
        <f t="array" ref="K159">XLOOKUP($D159,REGOLITOS!$A:$A,REGOLITOS!K:K)</f>
        <v>Infancia</v>
      </c>
      <c r="L159" s="48">
        <v>160.0</v>
      </c>
      <c r="M159" s="5" t="s">
        <v>1078</v>
      </c>
      <c r="N159" s="5" t="s">
        <v>1080</v>
      </c>
      <c r="O159" s="5" t="s">
        <v>1078</v>
      </c>
      <c r="P159" s="5" t="s">
        <v>1078</v>
      </c>
      <c r="Q159" s="5" t="s">
        <v>1078</v>
      </c>
      <c r="X159" s="71">
        <f t="shared" si="2"/>
        <v>4</v>
      </c>
      <c r="Y159" s="5" t="b">
        <v>1</v>
      </c>
    </row>
    <row r="160">
      <c r="A160" s="78" t="s">
        <v>47</v>
      </c>
      <c r="B160" s="78">
        <f t="array" ref="B160">XLOOKUP(A160, CURSOS!A:A, CURSOS!B:B)</f>
        <v>10</v>
      </c>
      <c r="C160" s="16" t="str">
        <f t="array" ref="C160">XLOOKUP(A160, CURSOS!A:A, CURSOS!C:C)</f>
        <v>EN UNA GALAXIA MUY, MUY LEJANA</v>
      </c>
      <c r="D160" s="70" t="s">
        <v>146</v>
      </c>
      <c r="E160" s="48">
        <f t="array" ref="E160">XLOOKUP($D160,REGOLITOS!$A:$A,REGOLITOS!E:E)</f>
        <v>93</v>
      </c>
      <c r="F160" s="48" t="str">
        <f t="array" ref="F160">XLOOKUP($D160,REGOLITOS!$A:$A,REGOLITOS!F:F)</f>
        <v>Estudiante</v>
      </c>
      <c r="G160" s="48" t="str">
        <f t="array" ref="G160">XLOOKUP($D160,REGOLITOS!$A:$A,REGOLITOS!G:G)</f>
        <v>Veracruz</v>
      </c>
      <c r="H160" s="48" t="str">
        <f t="array" ref="H160">XLOOKUP($D160,REGOLITOS!$A:$A,REGOLITOS!H:H)</f>
        <v>55 55 0027 0027</v>
      </c>
      <c r="I160" s="48" t="str">
        <f t="array" ref="I160">XLOOKUP($D160,REGOLITOS!$A:$A,REGOLITOS!I:I)</f>
        <v>usuario27@ejemplo.com</v>
      </c>
      <c r="J160" s="48" t="str">
        <f t="array" ref="J160">XLOOKUP($D160,REGOLITOS!$A:$A,REGOLITOS!J:J)</f>
        <v/>
      </c>
      <c r="K160" s="48" t="str">
        <f t="array" ref="K160">XLOOKUP($D160,REGOLITOS!$A:$A,REGOLITOS!K:K)</f>
        <v>Adulto Mayor</v>
      </c>
      <c r="L160" s="48">
        <v>160.0</v>
      </c>
      <c r="M160" s="5" t="s">
        <v>1078</v>
      </c>
      <c r="N160" s="5" t="s">
        <v>1080</v>
      </c>
      <c r="O160" s="5" t="s">
        <v>1078</v>
      </c>
      <c r="P160" s="5" t="s">
        <v>1078</v>
      </c>
      <c r="Q160" s="5" t="s">
        <v>1078</v>
      </c>
      <c r="X160" s="71">
        <f t="shared" si="2"/>
        <v>4</v>
      </c>
      <c r="Y160" s="5" t="b">
        <v>1</v>
      </c>
    </row>
    <row r="161">
      <c r="A161" s="78" t="s">
        <v>47</v>
      </c>
      <c r="B161" s="78">
        <f t="array" ref="B161">XLOOKUP(A161, CURSOS!A:A, CURSOS!B:B)</f>
        <v>10</v>
      </c>
      <c r="C161" s="16" t="str">
        <f t="array" ref="C161">XLOOKUP(A161, CURSOS!A:A, CURSOS!C:C)</f>
        <v>EN UNA GALAXIA MUY, MUY LEJANA</v>
      </c>
      <c r="D161" s="70" t="s">
        <v>147</v>
      </c>
      <c r="E161" s="48">
        <f t="array" ref="E161">XLOOKUP($D161,REGOLITOS!$A:$A,REGOLITOS!E:E)</f>
        <v>15</v>
      </c>
      <c r="F161" s="48" t="str">
        <f t="array" ref="F161">XLOOKUP($D161,REGOLITOS!$A:$A,REGOLITOS!F:F)</f>
        <v>Ingeniería Civil</v>
      </c>
      <c r="G161" s="48" t="str">
        <f t="array" ref="G161">XLOOKUP($D161,REGOLITOS!$A:$A,REGOLITOS!G:G)</f>
        <v>Ciudad de México</v>
      </c>
      <c r="H161" s="48" t="str">
        <f t="array" ref="H161">XLOOKUP($D161,REGOLITOS!$A:$A,REGOLITOS!H:H)</f>
        <v>55 55 0028 0028</v>
      </c>
      <c r="I161" s="48" t="str">
        <f t="array" ref="I161">XLOOKUP($D161,REGOLITOS!$A:$A,REGOLITOS!I:I)</f>
        <v>usuario28@ejemplo.com</v>
      </c>
      <c r="J161" s="48" t="str">
        <f t="array" ref="J161">XLOOKUP($D161,REGOLITOS!$A:$A,REGOLITOS!J:J)</f>
        <v>Tutor_028</v>
      </c>
      <c r="K161" s="48" t="str">
        <f t="array" ref="K161">XLOOKUP($D161,REGOLITOS!$A:$A,REGOLITOS!K:K)</f>
        <v>Adolescente</v>
      </c>
      <c r="L161" s="48">
        <v>160.0</v>
      </c>
      <c r="M161" s="5" t="s">
        <v>1078</v>
      </c>
      <c r="N161" s="5" t="s">
        <v>1078</v>
      </c>
      <c r="O161" s="5" t="s">
        <v>1078</v>
      </c>
      <c r="P161" s="5" t="s">
        <v>1078</v>
      </c>
      <c r="Q161" s="5" t="s">
        <v>1078</v>
      </c>
      <c r="X161" s="71">
        <f t="shared" si="2"/>
        <v>5</v>
      </c>
      <c r="Y161" s="5" t="b">
        <v>1</v>
      </c>
    </row>
    <row r="162">
      <c r="A162" s="78" t="s">
        <v>47</v>
      </c>
      <c r="B162" s="78">
        <f t="array" ref="B162">XLOOKUP(A162, CURSOS!A:A, CURSOS!B:B)</f>
        <v>10</v>
      </c>
      <c r="C162" s="16" t="str">
        <f t="array" ref="C162">XLOOKUP(A162, CURSOS!A:A, CURSOS!C:C)</f>
        <v>EN UNA GALAXIA MUY, MUY LEJANA</v>
      </c>
      <c r="D162" s="70" t="s">
        <v>292</v>
      </c>
      <c r="E162" s="48">
        <f t="array" ref="E162">XLOOKUP($D162,REGOLITOS!$A:$A,REGOLITOS!E:E)</f>
        <v>46</v>
      </c>
      <c r="F162" s="48" t="str">
        <f t="array" ref="F162">XLOOKUP($D162,REGOLITOS!$A:$A,REGOLITOS!F:F)</f>
        <v>Administración</v>
      </c>
      <c r="G162" s="48" t="str">
        <f t="array" ref="G162">XLOOKUP($D162,REGOLITOS!$A:$A,REGOLITOS!G:G)</f>
        <v>Ciudad de México</v>
      </c>
      <c r="H162" s="48" t="str">
        <f t="array" ref="H162">XLOOKUP($D162,REGOLITOS!$A:$A,REGOLITOS!H:H)</f>
        <v>55 55 0128 0128</v>
      </c>
      <c r="I162" s="48" t="str">
        <f t="array" ref="I162">XLOOKUP($D162,REGOLITOS!$A:$A,REGOLITOS!I:I)</f>
        <v>usuario128@ejemplo.com</v>
      </c>
      <c r="J162" s="48" t="str">
        <f t="array" ref="J162">XLOOKUP($D162,REGOLITOS!$A:$A,REGOLITOS!J:J)</f>
        <v/>
      </c>
      <c r="K162" s="48" t="str">
        <f t="array" ref="K162">XLOOKUP($D162,REGOLITOS!$A:$A,REGOLITOS!K:K)</f>
        <v>Adulto</v>
      </c>
      <c r="L162" s="48">
        <v>160.0</v>
      </c>
      <c r="M162" s="5" t="s">
        <v>1078</v>
      </c>
      <c r="N162" s="5" t="s">
        <v>1078</v>
      </c>
      <c r="O162" s="5" t="s">
        <v>1078</v>
      </c>
      <c r="P162" s="5" t="s">
        <v>1078</v>
      </c>
      <c r="Q162" s="5" t="s">
        <v>1078</v>
      </c>
      <c r="X162" s="71">
        <f t="shared" si="2"/>
        <v>5</v>
      </c>
      <c r="Y162" s="5" t="b">
        <v>1</v>
      </c>
    </row>
    <row r="163">
      <c r="A163" s="78" t="s">
        <v>47</v>
      </c>
      <c r="B163" s="78">
        <f t="array" ref="B163">XLOOKUP(A163, CURSOS!A:A, CURSOS!B:B)</f>
        <v>10</v>
      </c>
      <c r="C163" s="16" t="str">
        <f t="array" ref="C163">XLOOKUP(A163, CURSOS!A:A, CURSOS!C:C)</f>
        <v>EN UNA GALAXIA MUY, MUY LEJANA</v>
      </c>
      <c r="D163" s="70" t="s">
        <v>167</v>
      </c>
      <c r="E163" s="48">
        <f t="array" ref="E163">XLOOKUP($D163,REGOLITOS!$A:$A,REGOLITOS!E:E)</f>
        <v>90</v>
      </c>
      <c r="F163" s="48" t="str">
        <f t="array" ref="F163">XLOOKUP($D163,REGOLITOS!$A:$A,REGOLITOS!F:F)</f>
        <v>Estudiante</v>
      </c>
      <c r="G163" s="48" t="str">
        <f t="array" ref="G163">XLOOKUP($D163,REGOLITOS!$A:$A,REGOLITOS!G:G)</f>
        <v>Ciudad de México</v>
      </c>
      <c r="H163" s="48" t="str">
        <f t="array" ref="H163">XLOOKUP($D163,REGOLITOS!$A:$A,REGOLITOS!H:H)</f>
        <v>55 55 0041 0041</v>
      </c>
      <c r="I163" s="48" t="str">
        <f t="array" ref="I163">XLOOKUP($D163,REGOLITOS!$A:$A,REGOLITOS!I:I)</f>
        <v>usuario41@ejemplo.com</v>
      </c>
      <c r="J163" s="48" t="str">
        <f t="array" ref="J163">XLOOKUP($D163,REGOLITOS!$A:$A,REGOLITOS!J:J)</f>
        <v/>
      </c>
      <c r="K163" s="48" t="str">
        <f t="array" ref="K163">XLOOKUP($D163,REGOLITOS!$A:$A,REGOLITOS!K:K)</f>
        <v>Adulto Mayor</v>
      </c>
      <c r="L163" s="48">
        <v>200.0</v>
      </c>
      <c r="M163" s="5" t="s">
        <v>1078</v>
      </c>
      <c r="N163" s="5" t="s">
        <v>1078</v>
      </c>
      <c r="O163" s="5" t="s">
        <v>1078</v>
      </c>
      <c r="P163" s="5" t="s">
        <v>1080</v>
      </c>
      <c r="Q163" s="5" t="s">
        <v>1078</v>
      </c>
      <c r="X163" s="71">
        <f t="shared" si="2"/>
        <v>4</v>
      </c>
      <c r="Y163" s="5" t="b">
        <v>1</v>
      </c>
    </row>
    <row r="164">
      <c r="A164" s="78" t="s">
        <v>47</v>
      </c>
      <c r="B164" s="78">
        <f t="array" ref="B164">XLOOKUP(A164, CURSOS!A:A, CURSOS!B:B)</f>
        <v>10</v>
      </c>
      <c r="C164" s="16" t="str">
        <f t="array" ref="C164">XLOOKUP(A164, CURSOS!A:A, CURSOS!C:C)</f>
        <v>EN UNA GALAXIA MUY, MUY LEJANA</v>
      </c>
      <c r="D164" s="70" t="s">
        <v>308</v>
      </c>
      <c r="E164" s="48">
        <f t="array" ref="E164">XLOOKUP($D164,REGOLITOS!$A:$A,REGOLITOS!E:E)</f>
        <v>73</v>
      </c>
      <c r="F164" s="48" t="str">
        <f t="array" ref="F164">XLOOKUP($D164,REGOLITOS!$A:$A,REGOLITOS!F:F)</f>
        <v>Asistente ejecutivo</v>
      </c>
      <c r="G164" s="48" t="str">
        <f t="array" ref="G164">XLOOKUP($D164,REGOLITOS!$A:$A,REGOLITOS!G:G)</f>
        <v>Juárez</v>
      </c>
      <c r="H164" s="48" t="str">
        <f t="array" ref="H164">XLOOKUP($D164,REGOLITOS!$A:$A,REGOLITOS!H:H)</f>
        <v>55 55 0138 0138</v>
      </c>
      <c r="I164" s="48" t="str">
        <f t="array" ref="I164">XLOOKUP($D164,REGOLITOS!$A:$A,REGOLITOS!I:I)</f>
        <v>usuario138@ejemplo.com</v>
      </c>
      <c r="J164" s="48" t="str">
        <f t="array" ref="J164">XLOOKUP($D164,REGOLITOS!$A:$A,REGOLITOS!J:J)</f>
        <v/>
      </c>
      <c r="K164" s="48" t="str">
        <f t="array" ref="K164">XLOOKUP($D164,REGOLITOS!$A:$A,REGOLITOS!K:K)</f>
        <v>Adulto Mayor</v>
      </c>
      <c r="L164" s="48">
        <v>200.0</v>
      </c>
      <c r="M164" s="5" t="s">
        <v>1080</v>
      </c>
      <c r="N164" s="5" t="s">
        <v>1078</v>
      </c>
      <c r="O164" s="5" t="s">
        <v>1080</v>
      </c>
      <c r="P164" s="5" t="s">
        <v>1078</v>
      </c>
      <c r="Q164" s="5" t="s">
        <v>1080</v>
      </c>
      <c r="X164" s="71">
        <f t="shared" si="2"/>
        <v>2</v>
      </c>
      <c r="Y164" s="5" t="b">
        <v>0</v>
      </c>
    </row>
    <row r="165">
      <c r="A165" s="17" t="s">
        <v>51</v>
      </c>
      <c r="B165" s="17">
        <f t="array" ref="B165">XLOOKUP(A165, CURSOS!A:A, CURSOS!B:B)</f>
        <v>11</v>
      </c>
      <c r="C165" s="18" t="str">
        <f t="array" ref="C165">XLOOKUP(A165, CURSOS!A:A, CURSOS!C:C)</f>
        <v>LARGA VIDA Y... EXOPLANETAS</v>
      </c>
      <c r="D165" s="70" t="s">
        <v>355</v>
      </c>
      <c r="E165" s="48">
        <f t="array" ref="E165">XLOOKUP($D165,REGOLITOS!$A:$A,REGOLITOS!E:E)</f>
        <v>45</v>
      </c>
      <c r="F165" s="48" t="str">
        <f t="array" ref="F165">XLOOKUP($D165,REGOLITOS!$A:$A,REGOLITOS!F:F)</f>
        <v>Estudiante</v>
      </c>
      <c r="G165" s="48" t="str">
        <f t="array" ref="G165">XLOOKUP($D165,REGOLITOS!$A:$A,REGOLITOS!G:G)</f>
        <v>Estado de México</v>
      </c>
      <c r="H165" s="48" t="str">
        <f t="array" ref="H165">XLOOKUP($D165,REGOLITOS!$A:$A,REGOLITOS!H:H)</f>
        <v>55 55 0170 0170</v>
      </c>
      <c r="I165" s="48" t="str">
        <f t="array" ref="I165">XLOOKUP($D165,REGOLITOS!$A:$A,REGOLITOS!I:I)</f>
        <v>usuario170@ejemplo.com</v>
      </c>
      <c r="J165" s="48" t="str">
        <f t="array" ref="J165">XLOOKUP($D165,REGOLITOS!$A:$A,REGOLITOS!J:J)</f>
        <v/>
      </c>
      <c r="K165" s="48" t="str">
        <f t="array" ref="K165">XLOOKUP($D165,REGOLITOS!$A:$A,REGOLITOS!K:K)</f>
        <v>Adulto</v>
      </c>
      <c r="L165" s="48">
        <v>200.0</v>
      </c>
      <c r="M165" s="5" t="s">
        <v>1078</v>
      </c>
      <c r="N165" s="5" t="s">
        <v>1078</v>
      </c>
      <c r="O165" s="5" t="s">
        <v>1078</v>
      </c>
      <c r="P165" s="5" t="s">
        <v>1078</v>
      </c>
      <c r="Q165" s="5" t="s">
        <v>1078</v>
      </c>
      <c r="X165" s="71">
        <f t="shared" si="2"/>
        <v>5</v>
      </c>
      <c r="Y165" s="5" t="b">
        <v>1</v>
      </c>
    </row>
    <row r="166">
      <c r="A166" s="17" t="s">
        <v>51</v>
      </c>
      <c r="B166" s="17">
        <f t="array" ref="B166">XLOOKUP(A166, CURSOS!A:A, CURSOS!B:B)</f>
        <v>11</v>
      </c>
      <c r="C166" s="18" t="str">
        <f t="array" ref="C166">XLOOKUP(A166, CURSOS!A:A, CURSOS!C:C)</f>
        <v>LARGA VIDA Y... EXOPLANETAS</v>
      </c>
      <c r="D166" s="70" t="s">
        <v>172</v>
      </c>
      <c r="E166" s="48">
        <f t="array" ref="E166">XLOOKUP($D166,REGOLITOS!$A:$A,REGOLITOS!E:E)</f>
        <v>51</v>
      </c>
      <c r="F166" s="48" t="str">
        <f t="array" ref="F166">XLOOKUP($D166,REGOLITOS!$A:$A,REGOLITOS!F:F)</f>
        <v>Odontóloga</v>
      </c>
      <c r="G166" s="48" t="str">
        <f t="array" ref="G166">XLOOKUP($D166,REGOLITOS!$A:$A,REGOLITOS!G:G)</f>
        <v>Estado de México</v>
      </c>
      <c r="H166" s="48" t="str">
        <f t="array" ref="H166">XLOOKUP($D166,REGOLITOS!$A:$A,REGOLITOS!H:H)</f>
        <v>55 55 0044 0044</v>
      </c>
      <c r="I166" s="48" t="str">
        <f t="array" ref="I166">XLOOKUP($D166,REGOLITOS!$A:$A,REGOLITOS!I:I)</f>
        <v>usuario44@ejemplo.com</v>
      </c>
      <c r="J166" s="48" t="str">
        <f t="array" ref="J166">XLOOKUP($D166,REGOLITOS!$A:$A,REGOLITOS!J:J)</f>
        <v/>
      </c>
      <c r="K166" s="48" t="str">
        <f t="array" ref="K166">XLOOKUP($D166,REGOLITOS!$A:$A,REGOLITOS!K:K)</f>
        <v>Adulto</v>
      </c>
      <c r="L166" s="48" t="s">
        <v>1086</v>
      </c>
      <c r="M166" s="5" t="s">
        <v>1078</v>
      </c>
      <c r="N166" s="5" t="s">
        <v>1078</v>
      </c>
      <c r="O166" s="5" t="s">
        <v>1078</v>
      </c>
      <c r="P166" s="5" t="s">
        <v>1078</v>
      </c>
      <c r="Q166" s="5" t="s">
        <v>1078</v>
      </c>
      <c r="X166" s="71">
        <f t="shared" si="2"/>
        <v>5</v>
      </c>
      <c r="Y166" s="5" t="b">
        <v>1</v>
      </c>
    </row>
    <row r="167">
      <c r="A167" s="17" t="s">
        <v>51</v>
      </c>
      <c r="B167" s="17">
        <f t="array" ref="B167">XLOOKUP(A167, CURSOS!A:A, CURSOS!B:B)</f>
        <v>11</v>
      </c>
      <c r="C167" s="18" t="str">
        <f t="array" ref="C167">XLOOKUP(A167, CURSOS!A:A, CURSOS!C:C)</f>
        <v>LARGA VIDA Y... EXOPLANETAS</v>
      </c>
      <c r="D167" s="70" t="s">
        <v>110</v>
      </c>
      <c r="E167" s="48">
        <f t="array" ref="E167">XLOOKUP($D167,REGOLITOS!$A:$A,REGOLITOS!E:E)</f>
        <v>75</v>
      </c>
      <c r="F167" s="48" t="str">
        <f t="array" ref="F167">XLOOKUP($D167,REGOLITOS!$A:$A,REGOLITOS!F:F)</f>
        <v>Investigadora</v>
      </c>
      <c r="G167" s="48" t="str">
        <f t="array" ref="G167">XLOOKUP($D167,REGOLITOS!$A:$A,REGOLITOS!G:G)</f>
        <v>Ciudad de México</v>
      </c>
      <c r="H167" s="48" t="str">
        <f t="array" ref="H167">XLOOKUP($D167,REGOLITOS!$A:$A,REGOLITOS!H:H)</f>
        <v>55 55 0008 0008</v>
      </c>
      <c r="I167" s="48" t="str">
        <f t="array" ref="I167">XLOOKUP($D167,REGOLITOS!$A:$A,REGOLITOS!I:I)</f>
        <v>usuario8@ejemplo.com</v>
      </c>
      <c r="J167" s="48" t="str">
        <f t="array" ref="J167">XLOOKUP($D167,REGOLITOS!$A:$A,REGOLITOS!J:J)</f>
        <v/>
      </c>
      <c r="K167" s="48" t="str">
        <f t="array" ref="K167">XLOOKUP($D167,REGOLITOS!$A:$A,REGOLITOS!K:K)</f>
        <v>Adulto Mayor</v>
      </c>
      <c r="L167" s="48">
        <v>200.0</v>
      </c>
      <c r="M167" s="5" t="s">
        <v>1078</v>
      </c>
      <c r="N167" s="5" t="s">
        <v>1078</v>
      </c>
      <c r="O167" s="5" t="s">
        <v>1078</v>
      </c>
      <c r="P167" s="5" t="s">
        <v>1078</v>
      </c>
      <c r="Q167" s="5" t="s">
        <v>1078</v>
      </c>
      <c r="X167" s="71">
        <f t="shared" si="2"/>
        <v>5</v>
      </c>
      <c r="Y167" s="5" t="b">
        <v>1</v>
      </c>
    </row>
    <row r="168">
      <c r="A168" s="17" t="s">
        <v>51</v>
      </c>
      <c r="B168" s="17">
        <f t="array" ref="B168">XLOOKUP(A168, CURSOS!A:A, CURSOS!B:B)</f>
        <v>11</v>
      </c>
      <c r="C168" s="18" t="str">
        <f t="array" ref="C168">XLOOKUP(A168, CURSOS!A:A, CURSOS!C:C)</f>
        <v>LARGA VIDA Y... EXOPLANETAS</v>
      </c>
      <c r="D168" s="70" t="s">
        <v>232</v>
      </c>
      <c r="E168" s="48">
        <f t="array" ref="E168">XLOOKUP($D168,REGOLITOS!$A:$A,REGOLITOS!E:E)</f>
        <v>18</v>
      </c>
      <c r="F168" s="48" t="str">
        <f t="array" ref="F168">XLOOKUP($D168,REGOLITOS!$A:$A,REGOLITOS!F:F)</f>
        <v>Estudiante</v>
      </c>
      <c r="G168" s="48" t="str">
        <f t="array" ref="G168">XLOOKUP($D168,REGOLITOS!$A:$A,REGOLITOS!G:G)</f>
        <v>Hidalgo</v>
      </c>
      <c r="H168" s="48" t="str">
        <f t="array" ref="H168">XLOOKUP($D168,REGOLITOS!$A:$A,REGOLITOS!H:H)</f>
        <v>55 55 0085 0085</v>
      </c>
      <c r="I168" s="48" t="str">
        <f t="array" ref="I168">XLOOKUP($D168,REGOLITOS!$A:$A,REGOLITOS!I:I)</f>
        <v>usuario85@ejemplo.com</v>
      </c>
      <c r="J168" s="48" t="str">
        <f t="array" ref="J168">XLOOKUP($D168,REGOLITOS!$A:$A,REGOLITOS!J:J)</f>
        <v>Tutor_085</v>
      </c>
      <c r="K168" s="48" t="str">
        <f t="array" ref="K168">XLOOKUP($D168,REGOLITOS!$A:$A,REGOLITOS!K:K)</f>
        <v>Jóven adulto</v>
      </c>
      <c r="L168" s="48">
        <v>160.0</v>
      </c>
      <c r="M168" s="5" t="s">
        <v>1078</v>
      </c>
      <c r="N168" s="5" t="s">
        <v>1078</v>
      </c>
      <c r="O168" s="5" t="s">
        <v>1078</v>
      </c>
      <c r="P168" s="5" t="s">
        <v>1078</v>
      </c>
      <c r="Q168" s="5" t="s">
        <v>1078</v>
      </c>
      <c r="X168" s="71">
        <f t="shared" si="2"/>
        <v>5</v>
      </c>
      <c r="Y168" s="5" t="b">
        <v>1</v>
      </c>
    </row>
    <row r="169">
      <c r="A169" s="17" t="s">
        <v>51</v>
      </c>
      <c r="B169" s="17">
        <f t="array" ref="B169">XLOOKUP(A169, CURSOS!A:A, CURSOS!B:B)</f>
        <v>11</v>
      </c>
      <c r="C169" s="18" t="str">
        <f t="array" ref="C169">XLOOKUP(A169, CURSOS!A:A, CURSOS!C:C)</f>
        <v>LARGA VIDA Y... EXOPLANETAS</v>
      </c>
      <c r="D169" s="70" t="s">
        <v>258</v>
      </c>
      <c r="E169" s="48">
        <f t="array" ref="E169">XLOOKUP($D169,REGOLITOS!$A:$A,REGOLITOS!E:E)</f>
        <v>66</v>
      </c>
      <c r="F169" s="48" t="str">
        <f t="array" ref="F169">XLOOKUP($D169,REGOLITOS!$A:$A,REGOLITOS!F:F)</f>
        <v>Estudiante HS</v>
      </c>
      <c r="G169" s="48" t="str">
        <f t="array" ref="G169">XLOOKUP($D169,REGOLITOS!$A:$A,REGOLITOS!G:G)</f>
        <v>Jalisco</v>
      </c>
      <c r="H169" s="48" t="str">
        <f t="array" ref="H169">XLOOKUP($D169,REGOLITOS!$A:$A,REGOLITOS!H:H)</f>
        <v>55 55 0103 0103</v>
      </c>
      <c r="I169" s="48" t="str">
        <f t="array" ref="I169">XLOOKUP($D169,REGOLITOS!$A:$A,REGOLITOS!I:I)</f>
        <v>usuario103@ejemplo.com</v>
      </c>
      <c r="J169" s="48" t="str">
        <f t="array" ref="J169">XLOOKUP($D169,REGOLITOS!$A:$A,REGOLITOS!J:J)</f>
        <v/>
      </c>
      <c r="K169" s="48" t="str">
        <f t="array" ref="K169">XLOOKUP($D169,REGOLITOS!$A:$A,REGOLITOS!K:K)</f>
        <v>Adulto Mayor</v>
      </c>
      <c r="L169" s="48">
        <v>160.0</v>
      </c>
      <c r="M169" s="5" t="s">
        <v>1078</v>
      </c>
      <c r="N169" s="5" t="s">
        <v>1078</v>
      </c>
      <c r="O169" s="5" t="s">
        <v>1078</v>
      </c>
      <c r="P169" s="5" t="s">
        <v>1078</v>
      </c>
      <c r="Q169" s="5" t="s">
        <v>1078</v>
      </c>
      <c r="X169" s="71">
        <f t="shared" si="2"/>
        <v>5</v>
      </c>
      <c r="Y169" s="5" t="b">
        <v>1</v>
      </c>
    </row>
    <row r="170">
      <c r="A170" s="17" t="s">
        <v>51</v>
      </c>
      <c r="B170" s="17">
        <f t="array" ref="B170">XLOOKUP(A170, CURSOS!A:A, CURSOS!B:B)</f>
        <v>11</v>
      </c>
      <c r="C170" s="18" t="str">
        <f t="array" ref="C170">XLOOKUP(A170, CURSOS!A:A, CURSOS!C:C)</f>
        <v>LARGA VIDA Y... EXOPLANETAS</v>
      </c>
      <c r="D170" s="70" t="s">
        <v>167</v>
      </c>
      <c r="E170" s="48">
        <f t="array" ref="E170">XLOOKUP($D170,REGOLITOS!$A:$A,REGOLITOS!E:E)</f>
        <v>90</v>
      </c>
      <c r="F170" s="48" t="str">
        <f t="array" ref="F170">XLOOKUP($D170,REGOLITOS!$A:$A,REGOLITOS!F:F)</f>
        <v>Estudiante</v>
      </c>
      <c r="G170" s="48" t="str">
        <f t="array" ref="G170">XLOOKUP($D170,REGOLITOS!$A:$A,REGOLITOS!G:G)</f>
        <v>Ciudad de México</v>
      </c>
      <c r="H170" s="48" t="str">
        <f t="array" ref="H170">XLOOKUP($D170,REGOLITOS!$A:$A,REGOLITOS!H:H)</f>
        <v>55 55 0041 0041</v>
      </c>
      <c r="I170" s="48" t="str">
        <f t="array" ref="I170">XLOOKUP($D170,REGOLITOS!$A:$A,REGOLITOS!I:I)</f>
        <v>usuario41@ejemplo.com</v>
      </c>
      <c r="J170" s="48" t="str">
        <f t="array" ref="J170">XLOOKUP($D170,REGOLITOS!$A:$A,REGOLITOS!J:J)</f>
        <v/>
      </c>
      <c r="K170" s="48" t="str">
        <f t="array" ref="K170">XLOOKUP($D170,REGOLITOS!$A:$A,REGOLITOS!K:K)</f>
        <v>Adulto Mayor</v>
      </c>
      <c r="L170" s="48">
        <v>160.0</v>
      </c>
      <c r="M170" s="5" t="s">
        <v>1078</v>
      </c>
      <c r="N170" s="5" t="s">
        <v>1078</v>
      </c>
      <c r="O170" s="5" t="s">
        <v>1078</v>
      </c>
      <c r="P170" s="5" t="s">
        <v>1078</v>
      </c>
      <c r="Q170" s="5" t="s">
        <v>1078</v>
      </c>
      <c r="X170" s="71">
        <f t="shared" si="2"/>
        <v>5</v>
      </c>
      <c r="Y170" s="5" t="b">
        <v>1</v>
      </c>
    </row>
    <row r="171">
      <c r="A171" s="17" t="s">
        <v>51</v>
      </c>
      <c r="B171" s="17">
        <f t="array" ref="B171">XLOOKUP(A171, CURSOS!A:A, CURSOS!B:B)</f>
        <v>11</v>
      </c>
      <c r="C171" s="18" t="str">
        <f t="array" ref="C171">XLOOKUP(A171, CURSOS!A:A, CURSOS!C:C)</f>
        <v>LARGA VIDA Y... EXOPLANETAS</v>
      </c>
      <c r="D171" s="70" t="s">
        <v>333</v>
      </c>
      <c r="E171" s="48">
        <f t="array" ref="E171">XLOOKUP($D171,REGOLITOS!$A:$A,REGOLITOS!E:E)</f>
        <v>77</v>
      </c>
      <c r="F171" s="48" t="str">
        <f t="array" ref="F171">XLOOKUP($D171,REGOLITOS!$A:$A,REGOLITOS!F:F)</f>
        <v>Estudiante</v>
      </c>
      <c r="G171" s="48" t="str">
        <f t="array" ref="G171">XLOOKUP($D171,REGOLITOS!$A:$A,REGOLITOS!G:G)</f>
        <v>Estado de México</v>
      </c>
      <c r="H171" s="48" t="str">
        <f t="array" ref="H171">XLOOKUP($D171,REGOLITOS!$A:$A,REGOLITOS!H:H)</f>
        <v>55 55 0155 0155</v>
      </c>
      <c r="I171" s="48" t="str">
        <f t="array" ref="I171">XLOOKUP($D171,REGOLITOS!$A:$A,REGOLITOS!I:I)</f>
        <v>usuario155@ejemplo.com</v>
      </c>
      <c r="J171" s="48" t="str">
        <f t="array" ref="J171">XLOOKUP($D171,REGOLITOS!$A:$A,REGOLITOS!J:J)</f>
        <v/>
      </c>
      <c r="K171" s="48" t="str">
        <f t="array" ref="K171">XLOOKUP($D171,REGOLITOS!$A:$A,REGOLITOS!K:K)</f>
        <v>Adulto Mayor</v>
      </c>
      <c r="L171" s="48">
        <v>200.0</v>
      </c>
      <c r="M171" s="5" t="s">
        <v>1078</v>
      </c>
      <c r="N171" s="5" t="s">
        <v>1078</v>
      </c>
      <c r="O171" s="5" t="s">
        <v>1080</v>
      </c>
      <c r="P171" s="5" t="s">
        <v>1078</v>
      </c>
      <c r="Q171" s="5" t="s">
        <v>1078</v>
      </c>
      <c r="X171" s="71">
        <f t="shared" si="2"/>
        <v>4</v>
      </c>
      <c r="Y171" s="5" t="b">
        <v>1</v>
      </c>
    </row>
    <row r="172">
      <c r="A172" s="17" t="s">
        <v>51</v>
      </c>
      <c r="B172" s="17">
        <f t="array" ref="B172">XLOOKUP(A172, CURSOS!A:A, CURSOS!B:B)</f>
        <v>11</v>
      </c>
      <c r="C172" s="18" t="str">
        <f t="array" ref="C172">XLOOKUP(A172, CURSOS!A:A, CURSOS!C:C)</f>
        <v>LARGA VIDA Y... EXOPLANETAS</v>
      </c>
      <c r="D172" s="70" t="s">
        <v>123</v>
      </c>
      <c r="E172" s="48">
        <f t="array" ref="E172">XLOOKUP($D172,REGOLITOS!$A:$A,REGOLITOS!E:E)</f>
        <v>65</v>
      </c>
      <c r="F172" s="48" t="str">
        <f t="array" ref="F172">XLOOKUP($D172,REGOLITOS!$A:$A,REGOLITOS!F:F)</f>
        <v>Asesor en capacitación</v>
      </c>
      <c r="G172" s="48" t="str">
        <f t="array" ref="G172">XLOOKUP($D172,REGOLITOS!$A:$A,REGOLITOS!G:G)</f>
        <v>Ciudad de México</v>
      </c>
      <c r="H172" s="48" t="str">
        <f t="array" ref="H172">XLOOKUP($D172,REGOLITOS!$A:$A,REGOLITOS!H:H)</f>
        <v>55 55 0016 0016</v>
      </c>
      <c r="I172" s="48" t="str">
        <f t="array" ref="I172">XLOOKUP($D172,REGOLITOS!$A:$A,REGOLITOS!I:I)</f>
        <v>usuario16@ejemplo.com</v>
      </c>
      <c r="J172" s="48" t="str">
        <f t="array" ref="J172">XLOOKUP($D172,REGOLITOS!$A:$A,REGOLITOS!J:J)</f>
        <v/>
      </c>
      <c r="K172" s="48" t="str">
        <f t="array" ref="K172">XLOOKUP($D172,REGOLITOS!$A:$A,REGOLITOS!K:K)</f>
        <v>Adulto Mayor</v>
      </c>
      <c r="L172" s="48">
        <v>200.0</v>
      </c>
      <c r="M172" s="5" t="s">
        <v>1078</v>
      </c>
      <c r="N172" s="5" t="s">
        <v>1078</v>
      </c>
      <c r="O172" s="5" t="s">
        <v>1080</v>
      </c>
      <c r="P172" s="5" t="s">
        <v>1078</v>
      </c>
      <c r="Q172" s="5" t="s">
        <v>1078</v>
      </c>
      <c r="X172" s="71">
        <f t="shared" si="2"/>
        <v>4</v>
      </c>
      <c r="Y172" s="5" t="b">
        <v>1</v>
      </c>
    </row>
    <row r="173">
      <c r="A173" s="17" t="s">
        <v>51</v>
      </c>
      <c r="B173" s="17">
        <f t="array" ref="B173">XLOOKUP(A173, CURSOS!A:A, CURSOS!B:B)</f>
        <v>11</v>
      </c>
      <c r="C173" s="18" t="str">
        <f t="array" ref="C173">XLOOKUP(A173, CURSOS!A:A, CURSOS!C:C)</f>
        <v>LARGA VIDA Y... EXOPLANETAS</v>
      </c>
      <c r="D173" s="70" t="s">
        <v>290</v>
      </c>
      <c r="E173" s="48">
        <f t="array" ref="E173">XLOOKUP($D173,REGOLITOS!$A:$A,REGOLITOS!E:E)</f>
        <v>76</v>
      </c>
      <c r="F173" s="48" t="str">
        <f t="array" ref="F173">XLOOKUP($D173,REGOLITOS!$A:$A,REGOLITOS!F:F)</f>
        <v>Empleada</v>
      </c>
      <c r="G173" s="48" t="str">
        <f t="array" ref="G173">XLOOKUP($D173,REGOLITOS!$A:$A,REGOLITOS!G:G)</f>
        <v>Nuevo León</v>
      </c>
      <c r="H173" s="48" t="str">
        <f t="array" ref="H173">XLOOKUP($D173,REGOLITOS!$A:$A,REGOLITOS!H:H)</f>
        <v>55 55 0127 0127</v>
      </c>
      <c r="I173" s="48" t="str">
        <f t="array" ref="I173">XLOOKUP($D173,REGOLITOS!$A:$A,REGOLITOS!I:I)</f>
        <v>usuario127@ejemplo.com</v>
      </c>
      <c r="J173" s="48" t="str">
        <f t="array" ref="J173">XLOOKUP($D173,REGOLITOS!$A:$A,REGOLITOS!J:J)</f>
        <v/>
      </c>
      <c r="K173" s="48" t="str">
        <f t="array" ref="K173">XLOOKUP($D173,REGOLITOS!$A:$A,REGOLITOS!K:K)</f>
        <v>Adulto Mayor</v>
      </c>
      <c r="L173" s="48">
        <v>160.0</v>
      </c>
      <c r="M173" s="5" t="s">
        <v>1078</v>
      </c>
      <c r="N173" s="5" t="s">
        <v>1078</v>
      </c>
      <c r="O173" s="5" t="s">
        <v>1080</v>
      </c>
      <c r="P173" s="5" t="s">
        <v>1078</v>
      </c>
      <c r="Q173" s="5" t="s">
        <v>1078</v>
      </c>
      <c r="X173" s="71">
        <f t="shared" si="2"/>
        <v>4</v>
      </c>
      <c r="Y173" s="5" t="b">
        <v>1</v>
      </c>
    </row>
    <row r="174">
      <c r="A174" s="17" t="s">
        <v>51</v>
      </c>
      <c r="B174" s="17">
        <f t="array" ref="B174">XLOOKUP(A174, CURSOS!A:A, CURSOS!B:B)</f>
        <v>11</v>
      </c>
      <c r="C174" s="18" t="str">
        <f t="array" ref="C174">XLOOKUP(A174, CURSOS!A:A, CURSOS!C:C)</f>
        <v>LARGA VIDA Y... EXOPLANETAS</v>
      </c>
      <c r="D174" s="70" t="s">
        <v>147</v>
      </c>
      <c r="E174" s="48">
        <f t="array" ref="E174">XLOOKUP($D174,REGOLITOS!$A:$A,REGOLITOS!E:E)</f>
        <v>15</v>
      </c>
      <c r="F174" s="48" t="str">
        <f t="array" ref="F174">XLOOKUP($D174,REGOLITOS!$A:$A,REGOLITOS!F:F)</f>
        <v>Ingeniería Civil</v>
      </c>
      <c r="G174" s="48" t="str">
        <f t="array" ref="G174">XLOOKUP($D174,REGOLITOS!$A:$A,REGOLITOS!G:G)</f>
        <v>Ciudad de México</v>
      </c>
      <c r="H174" s="48" t="str">
        <f t="array" ref="H174">XLOOKUP($D174,REGOLITOS!$A:$A,REGOLITOS!H:H)</f>
        <v>55 55 0028 0028</v>
      </c>
      <c r="I174" s="48" t="str">
        <f t="array" ref="I174">XLOOKUP($D174,REGOLITOS!$A:$A,REGOLITOS!I:I)</f>
        <v>usuario28@ejemplo.com</v>
      </c>
      <c r="J174" s="48" t="str">
        <f t="array" ref="J174">XLOOKUP($D174,REGOLITOS!$A:$A,REGOLITOS!J:J)</f>
        <v>Tutor_028</v>
      </c>
      <c r="K174" s="48" t="str">
        <f t="array" ref="K174">XLOOKUP($D174,REGOLITOS!$A:$A,REGOLITOS!K:K)</f>
        <v>Adolescente</v>
      </c>
      <c r="L174" s="48">
        <v>160.0</v>
      </c>
      <c r="M174" s="5" t="s">
        <v>1078</v>
      </c>
      <c r="N174" s="5" t="s">
        <v>1078</v>
      </c>
      <c r="O174" s="5" t="s">
        <v>1080</v>
      </c>
      <c r="P174" s="5" t="s">
        <v>1078</v>
      </c>
      <c r="Q174" s="5" t="s">
        <v>1078</v>
      </c>
      <c r="X174" s="71">
        <f t="shared" si="2"/>
        <v>4</v>
      </c>
      <c r="Y174" s="5" t="b">
        <v>1</v>
      </c>
    </row>
    <row r="175">
      <c r="A175" s="17" t="s">
        <v>51</v>
      </c>
      <c r="B175" s="17">
        <f t="array" ref="B175">XLOOKUP(A175, CURSOS!A:A, CURSOS!B:B)</f>
        <v>11</v>
      </c>
      <c r="C175" s="18" t="str">
        <f t="array" ref="C175">XLOOKUP(A175, CURSOS!A:A, CURSOS!C:C)</f>
        <v>LARGA VIDA Y... EXOPLANETAS</v>
      </c>
      <c r="D175" s="70" t="s">
        <v>351</v>
      </c>
      <c r="E175" s="48">
        <f t="array" ref="E175">XLOOKUP($D175,REGOLITOS!$A:$A,REGOLITOS!E:E)</f>
        <v>78</v>
      </c>
      <c r="F175" s="48" t="str">
        <f t="array" ref="F175">XLOOKUP($D175,REGOLITOS!$A:$A,REGOLITOS!F:F)</f>
        <v>Médico</v>
      </c>
      <c r="G175" s="48" t="str">
        <f t="array" ref="G175">XLOOKUP($D175,REGOLITOS!$A:$A,REGOLITOS!G:G)</f>
        <v>Aguascalientes</v>
      </c>
      <c r="H175" s="48" t="str">
        <f t="array" ref="H175">XLOOKUP($D175,REGOLITOS!$A:$A,REGOLITOS!H:H)</f>
        <v>55 55 0168 0168</v>
      </c>
      <c r="I175" s="48" t="str">
        <f t="array" ref="I175">XLOOKUP($D175,REGOLITOS!$A:$A,REGOLITOS!I:I)</f>
        <v>usuario168@ejemplo.com</v>
      </c>
      <c r="J175" s="48" t="str">
        <f t="array" ref="J175">XLOOKUP($D175,REGOLITOS!$A:$A,REGOLITOS!J:J)</f>
        <v/>
      </c>
      <c r="K175" s="48" t="str">
        <f t="array" ref="K175">XLOOKUP($D175,REGOLITOS!$A:$A,REGOLITOS!K:K)</f>
        <v>Adulto Mayor</v>
      </c>
      <c r="L175" s="48">
        <v>200.0</v>
      </c>
      <c r="M175" s="5" t="s">
        <v>1078</v>
      </c>
      <c r="N175" s="5" t="s">
        <v>1078</v>
      </c>
      <c r="O175" s="5" t="s">
        <v>1080</v>
      </c>
      <c r="P175" s="5" t="s">
        <v>1078</v>
      </c>
      <c r="Q175" s="5" t="s">
        <v>1078</v>
      </c>
      <c r="X175" s="71">
        <f t="shared" si="2"/>
        <v>4</v>
      </c>
      <c r="Y175" s="5" t="b">
        <v>1</v>
      </c>
    </row>
    <row r="176">
      <c r="A176" s="17" t="s">
        <v>51</v>
      </c>
      <c r="B176" s="17">
        <f t="array" ref="B176">XLOOKUP(A176, CURSOS!A:A, CURSOS!B:B)</f>
        <v>11</v>
      </c>
      <c r="C176" s="18" t="str">
        <f t="array" ref="C176">XLOOKUP(A176, CURSOS!A:A, CURSOS!C:C)</f>
        <v>LARGA VIDA Y... EXOPLANETAS</v>
      </c>
      <c r="D176" s="70" t="s">
        <v>227</v>
      </c>
      <c r="E176" s="48">
        <f t="array" ref="E176">XLOOKUP($D176,REGOLITOS!$A:$A,REGOLITOS!E:E)</f>
        <v>66</v>
      </c>
      <c r="F176" s="48" t="str">
        <f t="array" ref="F176">XLOOKUP($D176,REGOLITOS!$A:$A,REGOLITOS!F:F)</f>
        <v>Operadora de CTP</v>
      </c>
      <c r="G176" s="48" t="str">
        <f t="array" ref="G176">XLOOKUP($D176,REGOLITOS!$A:$A,REGOLITOS!G:G)</f>
        <v>Ciudad de México</v>
      </c>
      <c r="H176" s="48" t="str">
        <f t="array" ref="H176">XLOOKUP($D176,REGOLITOS!$A:$A,REGOLITOS!H:H)</f>
        <v>55 55 0082 0082</v>
      </c>
      <c r="I176" s="48" t="str">
        <f t="array" ref="I176">XLOOKUP($D176,REGOLITOS!$A:$A,REGOLITOS!I:I)</f>
        <v>usuario82@ejemplo.com</v>
      </c>
      <c r="J176" s="48" t="str">
        <f t="array" ref="J176">XLOOKUP($D176,REGOLITOS!$A:$A,REGOLITOS!J:J)</f>
        <v/>
      </c>
      <c r="K176" s="48" t="str">
        <f t="array" ref="K176">XLOOKUP($D176,REGOLITOS!$A:$A,REGOLITOS!K:K)</f>
        <v>Adulto Mayor</v>
      </c>
      <c r="L176" s="48">
        <v>200.0</v>
      </c>
      <c r="M176" s="5" t="s">
        <v>1078</v>
      </c>
      <c r="N176" s="5" t="s">
        <v>1080</v>
      </c>
      <c r="O176" s="5" t="s">
        <v>1080</v>
      </c>
      <c r="P176" s="5" t="s">
        <v>1080</v>
      </c>
      <c r="Q176" s="5" t="s">
        <v>1080</v>
      </c>
      <c r="X176" s="71">
        <f t="shared" si="2"/>
        <v>1</v>
      </c>
      <c r="Y176" s="5" t="b">
        <v>0</v>
      </c>
    </row>
    <row r="177">
      <c r="A177" s="17" t="s">
        <v>51</v>
      </c>
      <c r="B177" s="17">
        <f t="array" ref="B177">XLOOKUP(A177, CURSOS!A:A, CURSOS!B:B)</f>
        <v>11</v>
      </c>
      <c r="C177" s="18" t="str">
        <f t="array" ref="C177">XLOOKUP(A177, CURSOS!A:A, CURSOS!C:C)</f>
        <v>LARGA VIDA Y... EXOPLANETAS</v>
      </c>
      <c r="D177" s="70" t="s">
        <v>326</v>
      </c>
      <c r="E177" s="48">
        <f t="array" ref="E177">XLOOKUP($D177,REGOLITOS!$A:$A,REGOLITOS!E:E)</f>
        <v>42</v>
      </c>
      <c r="F177" s="48" t="str">
        <f t="array" ref="F177">XLOOKUP($D177,REGOLITOS!$A:$A,REGOLITOS!F:F)</f>
        <v>Producción</v>
      </c>
      <c r="G177" s="48" t="str">
        <f t="array" ref="G177">XLOOKUP($D177,REGOLITOS!$A:$A,REGOLITOS!G:G)</f>
        <v>Veracruz</v>
      </c>
      <c r="H177" s="48" t="str">
        <f t="array" ref="H177">XLOOKUP($D177,REGOLITOS!$A:$A,REGOLITOS!H:H)</f>
        <v>55 55 0150 0150</v>
      </c>
      <c r="I177" s="48" t="str">
        <f t="array" ref="I177">XLOOKUP($D177,REGOLITOS!$A:$A,REGOLITOS!I:I)</f>
        <v>usuario150@ejemplo.com</v>
      </c>
      <c r="J177" s="48" t="str">
        <f t="array" ref="J177">XLOOKUP($D177,REGOLITOS!$A:$A,REGOLITOS!J:J)</f>
        <v/>
      </c>
      <c r="K177" s="48" t="str">
        <f t="array" ref="K177">XLOOKUP($D177,REGOLITOS!$A:$A,REGOLITOS!K:K)</f>
        <v>Adulto</v>
      </c>
      <c r="L177" s="48">
        <v>200.0</v>
      </c>
      <c r="M177" s="5" t="s">
        <v>1078</v>
      </c>
      <c r="N177" s="5" t="s">
        <v>1080</v>
      </c>
      <c r="O177" s="5" t="s">
        <v>1080</v>
      </c>
      <c r="P177" s="5" t="s">
        <v>1080</v>
      </c>
      <c r="Q177" s="5" t="s">
        <v>1080</v>
      </c>
      <c r="X177" s="71">
        <f t="shared" si="2"/>
        <v>1</v>
      </c>
      <c r="Y177" s="5" t="b">
        <v>0</v>
      </c>
    </row>
    <row r="178">
      <c r="A178" s="17" t="s">
        <v>51</v>
      </c>
      <c r="B178" s="17">
        <f t="array" ref="B178">XLOOKUP(A178, CURSOS!A:A, CURSOS!B:B)</f>
        <v>11</v>
      </c>
      <c r="C178" s="18" t="str">
        <f t="array" ref="C178">XLOOKUP(A178, CURSOS!A:A, CURSOS!C:C)</f>
        <v>LARGA VIDA Y... EXOPLANETAS</v>
      </c>
      <c r="D178" s="70" t="s">
        <v>190</v>
      </c>
      <c r="E178" s="48">
        <f t="array" ref="E178">XLOOKUP($D178,REGOLITOS!$A:$A,REGOLITOS!E:E)</f>
        <v>27</v>
      </c>
      <c r="F178" s="48" t="str">
        <f t="array" ref="F178">XLOOKUP($D178,REGOLITOS!$A:$A,REGOLITOS!F:F)</f>
        <v>Postdoctorante</v>
      </c>
      <c r="G178" s="48" t="str">
        <f t="array" ref="G178">XLOOKUP($D178,REGOLITOS!$A:$A,REGOLITOS!G:G)</f>
        <v>Jalisco</v>
      </c>
      <c r="H178" s="48" t="str">
        <f t="array" ref="H178">XLOOKUP($D178,REGOLITOS!$A:$A,REGOLITOS!H:H)</f>
        <v>55 55 0057 0057</v>
      </c>
      <c r="I178" s="48" t="str">
        <f t="array" ref="I178">XLOOKUP($D178,REGOLITOS!$A:$A,REGOLITOS!I:I)</f>
        <v>usuario57@ejemplo.com</v>
      </c>
      <c r="J178" s="48" t="str">
        <f t="array" ref="J178">XLOOKUP($D178,REGOLITOS!$A:$A,REGOLITOS!J:J)</f>
        <v/>
      </c>
      <c r="K178" s="48" t="str">
        <f t="array" ref="K178">XLOOKUP($D178,REGOLITOS!$A:$A,REGOLITOS!K:K)</f>
        <v>Jóven adulto</v>
      </c>
      <c r="L178" s="48">
        <v>200.0</v>
      </c>
      <c r="M178" s="5" t="s">
        <v>1078</v>
      </c>
      <c r="N178" s="5" t="s">
        <v>1080</v>
      </c>
      <c r="O178" s="5" t="s">
        <v>1080</v>
      </c>
      <c r="P178" s="5" t="s">
        <v>1080</v>
      </c>
      <c r="Q178" s="5" t="s">
        <v>1080</v>
      </c>
      <c r="X178" s="71">
        <f t="shared" si="2"/>
        <v>1</v>
      </c>
      <c r="Y178" s="5" t="b">
        <v>0</v>
      </c>
    </row>
    <row r="179">
      <c r="A179" s="17" t="s">
        <v>51</v>
      </c>
      <c r="B179" s="17">
        <f t="array" ref="B179">XLOOKUP(A179, CURSOS!A:A, CURSOS!B:B)</f>
        <v>11</v>
      </c>
      <c r="C179" s="18" t="str">
        <f t="array" ref="C179">XLOOKUP(A179, CURSOS!A:A, CURSOS!C:C)</f>
        <v>LARGA VIDA Y... EXOPLANETAS</v>
      </c>
      <c r="D179" s="70" t="s">
        <v>194</v>
      </c>
      <c r="E179" s="48">
        <f t="array" ref="E179">XLOOKUP($D179,REGOLITOS!$A:$A,REGOLITOS!E:E)</f>
        <v>56</v>
      </c>
      <c r="F179" s="48" t="str">
        <f t="array" ref="F179">XLOOKUP($D179,REGOLITOS!$A:$A,REGOLITOS!F:F)</f>
        <v>Estudiante</v>
      </c>
      <c r="G179" s="48" t="str">
        <f t="array" ref="G179">XLOOKUP($D179,REGOLITOS!$A:$A,REGOLITOS!G:G)</f>
        <v>Ciudad de México</v>
      </c>
      <c r="H179" s="48" t="str">
        <f t="array" ref="H179">XLOOKUP($D179,REGOLITOS!$A:$A,REGOLITOS!H:H)</f>
        <v>55 55 0059 0059</v>
      </c>
      <c r="I179" s="48" t="str">
        <f t="array" ref="I179">XLOOKUP($D179,REGOLITOS!$A:$A,REGOLITOS!I:I)</f>
        <v>usuario59@ejemplo.com</v>
      </c>
      <c r="J179" s="48" t="str">
        <f t="array" ref="J179">XLOOKUP($D179,REGOLITOS!$A:$A,REGOLITOS!J:J)</f>
        <v/>
      </c>
      <c r="K179" s="48" t="str">
        <f t="array" ref="K179">XLOOKUP($D179,REGOLITOS!$A:$A,REGOLITOS!K:K)</f>
        <v>Adulto</v>
      </c>
      <c r="L179" s="48">
        <v>200.0</v>
      </c>
      <c r="M179" s="5" t="s">
        <v>1078</v>
      </c>
      <c r="N179" s="5" t="s">
        <v>1080</v>
      </c>
      <c r="O179" s="5" t="s">
        <v>1080</v>
      </c>
      <c r="P179" s="5" t="s">
        <v>1080</v>
      </c>
      <c r="Q179" s="5" t="s">
        <v>1080</v>
      </c>
      <c r="X179" s="71">
        <f t="shared" si="2"/>
        <v>1</v>
      </c>
      <c r="Y179" s="5" t="b">
        <v>0</v>
      </c>
    </row>
    <row r="180">
      <c r="A180" s="17" t="s">
        <v>51</v>
      </c>
      <c r="B180" s="17">
        <f t="array" ref="B180">XLOOKUP(A180, CURSOS!A:A, CURSOS!B:B)</f>
        <v>11</v>
      </c>
      <c r="C180" s="18" t="str">
        <f t="array" ref="C180">XLOOKUP(A180, CURSOS!A:A, CURSOS!C:C)</f>
        <v>LARGA VIDA Y... EXOPLANETAS</v>
      </c>
      <c r="D180" s="70" t="s">
        <v>121</v>
      </c>
      <c r="E180" s="48">
        <f t="array" ref="E180">XLOOKUP($D180,REGOLITOS!$A:$A,REGOLITOS!E:E)</f>
        <v>73</v>
      </c>
      <c r="F180" s="48" t="str">
        <f t="array" ref="F180">XLOOKUP($D180,REGOLITOS!$A:$A,REGOLITOS!F:F)</f>
        <v>Docente</v>
      </c>
      <c r="G180" s="48" t="str">
        <f t="array" ref="G180">XLOOKUP($D180,REGOLITOS!$A:$A,REGOLITOS!G:G)</f>
        <v>Estado de México</v>
      </c>
      <c r="H180" s="48" t="str">
        <f t="array" ref="H180">XLOOKUP($D180,REGOLITOS!$A:$A,REGOLITOS!H:H)</f>
        <v>55 55 0015 0015</v>
      </c>
      <c r="I180" s="48" t="str">
        <f t="array" ref="I180">XLOOKUP($D180,REGOLITOS!$A:$A,REGOLITOS!I:I)</f>
        <v>usuario15@ejemplo.com</v>
      </c>
      <c r="J180" s="48" t="str">
        <f t="array" ref="J180">XLOOKUP($D180,REGOLITOS!$A:$A,REGOLITOS!J:J)</f>
        <v/>
      </c>
      <c r="K180" s="48" t="str">
        <f t="array" ref="K180">XLOOKUP($D180,REGOLITOS!$A:$A,REGOLITOS!K:K)</f>
        <v>Adulto Mayor</v>
      </c>
      <c r="L180" s="48">
        <v>200.0</v>
      </c>
      <c r="M180" s="5" t="s">
        <v>1078</v>
      </c>
      <c r="N180" s="5" t="s">
        <v>1080</v>
      </c>
      <c r="O180" s="5" t="s">
        <v>1080</v>
      </c>
      <c r="P180" s="5" t="s">
        <v>1080</v>
      </c>
      <c r="Q180" s="5" t="s">
        <v>1080</v>
      </c>
      <c r="X180" s="71">
        <f t="shared" si="2"/>
        <v>1</v>
      </c>
      <c r="Y180" s="5" t="b">
        <v>0</v>
      </c>
    </row>
    <row r="181">
      <c r="A181" s="17" t="s">
        <v>51</v>
      </c>
      <c r="B181" s="17">
        <f t="array" ref="B181">XLOOKUP(A181, CURSOS!A:A, CURSOS!B:B)</f>
        <v>11</v>
      </c>
      <c r="C181" s="18" t="str">
        <f t="array" ref="C181">XLOOKUP(A181, CURSOS!A:A, CURSOS!C:C)</f>
        <v>LARGA VIDA Y... EXOPLANETAS</v>
      </c>
      <c r="D181" s="70" t="s">
        <v>348</v>
      </c>
      <c r="E181" s="48">
        <f t="array" ref="E181">XLOOKUP($D181,REGOLITOS!$A:$A,REGOLITOS!E:E)</f>
        <v>38</v>
      </c>
      <c r="F181" s="48" t="str">
        <f t="array" ref="F181">XLOOKUP($D181,REGOLITOS!$A:$A,REGOLITOS!F:F)</f>
        <v>Estudiante</v>
      </c>
      <c r="G181" s="48" t="str">
        <f t="array" ref="G181">XLOOKUP($D181,REGOLITOS!$A:$A,REGOLITOS!G:G)</f>
        <v>Hidalgo</v>
      </c>
      <c r="H181" s="48" t="str">
        <f t="array" ref="H181">XLOOKUP($D181,REGOLITOS!$A:$A,REGOLITOS!H:H)</f>
        <v>55 55 0165 0165</v>
      </c>
      <c r="I181" s="48" t="str">
        <f t="array" ref="I181">XLOOKUP($D181,REGOLITOS!$A:$A,REGOLITOS!I:I)</f>
        <v>usuario165@ejemplo.com</v>
      </c>
      <c r="J181" s="48" t="str">
        <f t="array" ref="J181">XLOOKUP($D181,REGOLITOS!$A:$A,REGOLITOS!J:J)</f>
        <v/>
      </c>
      <c r="K181" s="48" t="str">
        <f t="array" ref="K181">XLOOKUP($D181,REGOLITOS!$A:$A,REGOLITOS!K:K)</f>
        <v>Adulto</v>
      </c>
      <c r="L181" s="48">
        <v>200.0</v>
      </c>
      <c r="M181" s="5" t="s">
        <v>1080</v>
      </c>
      <c r="N181" s="5" t="s">
        <v>1078</v>
      </c>
      <c r="O181" s="5" t="s">
        <v>1080</v>
      </c>
      <c r="P181" s="5" t="s">
        <v>1080</v>
      </c>
      <c r="Q181" s="5" t="s">
        <v>1080</v>
      </c>
      <c r="X181" s="71">
        <f t="shared" si="2"/>
        <v>1</v>
      </c>
      <c r="Y181" s="5" t="b">
        <v>0</v>
      </c>
    </row>
    <row r="182">
      <c r="A182" s="17" t="s">
        <v>51</v>
      </c>
      <c r="B182" s="17">
        <f t="array" ref="B182">XLOOKUP(A182, CURSOS!A:A, CURSOS!B:B)</f>
        <v>11</v>
      </c>
      <c r="C182" s="18" t="str">
        <f t="array" ref="C182">XLOOKUP(A182, CURSOS!A:A, CURSOS!C:C)</f>
        <v>LARGA VIDA Y... EXOPLANETAS</v>
      </c>
      <c r="D182" s="70" t="s">
        <v>284</v>
      </c>
      <c r="E182" s="48">
        <f t="array" ref="E182">XLOOKUP($D182,REGOLITOS!$A:$A,REGOLITOS!E:E)</f>
        <v>70</v>
      </c>
      <c r="F182" s="48" t="str">
        <f t="array" ref="F182">XLOOKUP($D182,REGOLITOS!$A:$A,REGOLITOS!F:F)</f>
        <v>Desconocido</v>
      </c>
      <c r="G182" s="48" t="str">
        <f t="array" ref="G182">XLOOKUP($D182,REGOLITOS!$A:$A,REGOLITOS!G:G)</f>
        <v>Ciudad de México</v>
      </c>
      <c r="H182" s="48" t="str">
        <f t="array" ref="H182">XLOOKUP($D182,REGOLITOS!$A:$A,REGOLITOS!H:H)</f>
        <v>55 55 0122 0122</v>
      </c>
      <c r="I182" s="48" t="str">
        <f t="array" ref="I182">XLOOKUP($D182,REGOLITOS!$A:$A,REGOLITOS!I:I)</f>
        <v>usuario122@ejemplo.com</v>
      </c>
      <c r="J182" s="48" t="str">
        <f t="array" ref="J182">XLOOKUP($D182,REGOLITOS!$A:$A,REGOLITOS!J:J)</f>
        <v/>
      </c>
      <c r="K182" s="48" t="str">
        <f t="array" ref="K182">XLOOKUP($D182,REGOLITOS!$A:$A,REGOLITOS!K:K)</f>
        <v>Adulto Mayor</v>
      </c>
      <c r="L182" s="79">
        <v>200.0</v>
      </c>
      <c r="M182" s="5"/>
      <c r="N182" s="5"/>
      <c r="O182" s="5"/>
      <c r="P182" s="5"/>
      <c r="Q182" s="5"/>
      <c r="X182" s="71"/>
      <c r="Y182" s="5" t="b">
        <v>0</v>
      </c>
    </row>
    <row r="183">
      <c r="A183" s="19" t="s">
        <v>55</v>
      </c>
      <c r="B183" s="19">
        <f t="array" ref="B183">XLOOKUP(A183, CURSOS!A:A, CURSOS!B:B)</f>
        <v>12</v>
      </c>
      <c r="C183" s="20" t="str">
        <f t="array" ref="C183">XLOOKUP(A183, CURSOS!A:A, CURSOS!C:C)</f>
        <v>HOMO COSMICUS</v>
      </c>
      <c r="D183" s="70" t="s">
        <v>167</v>
      </c>
      <c r="E183" s="48">
        <f t="array" ref="E183">XLOOKUP($D183,REGOLITOS!$A:$A,REGOLITOS!E:E)</f>
        <v>90</v>
      </c>
      <c r="F183" s="48" t="str">
        <f t="array" ref="F183">XLOOKUP($D183,REGOLITOS!$A:$A,REGOLITOS!F:F)</f>
        <v>Estudiante</v>
      </c>
      <c r="G183" s="48" t="str">
        <f t="array" ref="G183">XLOOKUP($D183,REGOLITOS!$A:$A,REGOLITOS!G:G)</f>
        <v>Ciudad de México</v>
      </c>
      <c r="H183" s="48" t="str">
        <f t="array" ref="H183">XLOOKUP($D183,REGOLITOS!$A:$A,REGOLITOS!H:H)</f>
        <v>55 55 0041 0041</v>
      </c>
      <c r="I183" s="48" t="str">
        <f t="array" ref="I183">XLOOKUP($D183,REGOLITOS!$A:$A,REGOLITOS!I:I)</f>
        <v>usuario41@ejemplo.com</v>
      </c>
      <c r="J183" s="48" t="str">
        <f t="array" ref="J183">XLOOKUP($D183,REGOLITOS!$A:$A,REGOLITOS!J:J)</f>
        <v/>
      </c>
      <c r="K183" s="48" t="str">
        <f t="array" ref="K183">XLOOKUP($D183,REGOLITOS!$A:$A,REGOLITOS!K:K)</f>
        <v>Adulto Mayor</v>
      </c>
      <c r="L183" s="79">
        <v>160.0</v>
      </c>
      <c r="M183" s="5" t="s">
        <v>1078</v>
      </c>
      <c r="N183" s="5" t="s">
        <v>1078</v>
      </c>
      <c r="O183" s="5" t="s">
        <v>1078</v>
      </c>
      <c r="P183" s="5" t="s">
        <v>1078</v>
      </c>
      <c r="Q183" s="5" t="s">
        <v>1078</v>
      </c>
      <c r="X183" s="71">
        <f t="shared" ref="X183:X326" si="3">(COUNTIF(M183:W183, "Asistió")+COUNTIF(M183:W183, "Asíncrono"))</f>
        <v>5</v>
      </c>
      <c r="Y183" s="5" t="b">
        <v>1</v>
      </c>
    </row>
    <row r="184">
      <c r="A184" s="19" t="s">
        <v>55</v>
      </c>
      <c r="B184" s="19">
        <f t="array" ref="B184">XLOOKUP(A184, CURSOS!A:A, CURSOS!B:B)</f>
        <v>12</v>
      </c>
      <c r="C184" s="20" t="str">
        <f t="array" ref="C184">XLOOKUP(A184, CURSOS!A:A, CURSOS!C:C)</f>
        <v>HOMO COSMICUS</v>
      </c>
      <c r="D184" s="70" t="s">
        <v>355</v>
      </c>
      <c r="E184" s="48">
        <f t="array" ref="E184">XLOOKUP($D184,REGOLITOS!$A:$A,REGOLITOS!E:E)</f>
        <v>45</v>
      </c>
      <c r="F184" s="48" t="str">
        <f t="array" ref="F184">XLOOKUP($D184,REGOLITOS!$A:$A,REGOLITOS!F:F)</f>
        <v>Estudiante</v>
      </c>
      <c r="G184" s="48" t="str">
        <f t="array" ref="G184">XLOOKUP($D184,REGOLITOS!$A:$A,REGOLITOS!G:G)</f>
        <v>Estado de México</v>
      </c>
      <c r="H184" s="48" t="str">
        <f t="array" ref="H184">XLOOKUP($D184,REGOLITOS!$A:$A,REGOLITOS!H:H)</f>
        <v>55 55 0170 0170</v>
      </c>
      <c r="I184" s="48" t="str">
        <f t="array" ref="I184">XLOOKUP($D184,REGOLITOS!$A:$A,REGOLITOS!I:I)</f>
        <v>usuario170@ejemplo.com</v>
      </c>
      <c r="J184" s="48" t="str">
        <f t="array" ref="J184">XLOOKUP($D184,REGOLITOS!$A:$A,REGOLITOS!J:J)</f>
        <v/>
      </c>
      <c r="K184" s="48" t="str">
        <f t="array" ref="K184">XLOOKUP($D184,REGOLITOS!$A:$A,REGOLITOS!K:K)</f>
        <v>Adulto</v>
      </c>
      <c r="L184" s="79">
        <v>200.0</v>
      </c>
      <c r="M184" s="5" t="s">
        <v>1078</v>
      </c>
      <c r="N184" s="5" t="s">
        <v>1078</v>
      </c>
      <c r="O184" s="5" t="s">
        <v>1078</v>
      </c>
      <c r="P184" s="5" t="s">
        <v>1078</v>
      </c>
      <c r="Q184" s="5" t="s">
        <v>1078</v>
      </c>
      <c r="X184" s="71">
        <f t="shared" si="3"/>
        <v>5</v>
      </c>
      <c r="Y184" s="5" t="b">
        <v>1</v>
      </c>
    </row>
    <row r="185">
      <c r="A185" s="19" t="s">
        <v>55</v>
      </c>
      <c r="B185" s="19">
        <f t="array" ref="B185">XLOOKUP(A185, CURSOS!A:A, CURSOS!B:B)</f>
        <v>12</v>
      </c>
      <c r="C185" s="20" t="str">
        <f t="array" ref="C185">XLOOKUP(A185, CURSOS!A:A, CURSOS!C:C)</f>
        <v>HOMO COSMICUS</v>
      </c>
      <c r="D185" s="70" t="s">
        <v>172</v>
      </c>
      <c r="E185" s="48">
        <f t="array" ref="E185">XLOOKUP($D185,REGOLITOS!$A:$A,REGOLITOS!E:E)</f>
        <v>51</v>
      </c>
      <c r="F185" s="48" t="str">
        <f t="array" ref="F185">XLOOKUP($D185,REGOLITOS!$A:$A,REGOLITOS!F:F)</f>
        <v>Odontóloga</v>
      </c>
      <c r="G185" s="48" t="str">
        <f t="array" ref="G185">XLOOKUP($D185,REGOLITOS!$A:$A,REGOLITOS!G:G)</f>
        <v>Estado de México</v>
      </c>
      <c r="H185" s="48" t="str">
        <f t="array" ref="H185">XLOOKUP($D185,REGOLITOS!$A:$A,REGOLITOS!H:H)</f>
        <v>55 55 0044 0044</v>
      </c>
      <c r="I185" s="48" t="str">
        <f t="array" ref="I185">XLOOKUP($D185,REGOLITOS!$A:$A,REGOLITOS!I:I)</f>
        <v>usuario44@ejemplo.com</v>
      </c>
      <c r="J185" s="48" t="str">
        <f t="array" ref="J185">XLOOKUP($D185,REGOLITOS!$A:$A,REGOLITOS!J:J)</f>
        <v/>
      </c>
      <c r="K185" s="48" t="str">
        <f t="array" ref="K185">XLOOKUP($D185,REGOLITOS!$A:$A,REGOLITOS!K:K)</f>
        <v>Adulto</v>
      </c>
      <c r="L185" s="79" t="s">
        <v>1086</v>
      </c>
      <c r="M185" s="5" t="s">
        <v>1078</v>
      </c>
      <c r="N185" s="5" t="s">
        <v>1078</v>
      </c>
      <c r="O185" s="5" t="s">
        <v>1078</v>
      </c>
      <c r="P185" s="5" t="s">
        <v>1078</v>
      </c>
      <c r="Q185" s="5" t="s">
        <v>1078</v>
      </c>
      <c r="X185" s="71">
        <f t="shared" si="3"/>
        <v>5</v>
      </c>
      <c r="Y185" s="5" t="b">
        <v>1</v>
      </c>
    </row>
    <row r="186">
      <c r="A186" s="19" t="s">
        <v>55</v>
      </c>
      <c r="B186" s="19">
        <f t="array" ref="B186">XLOOKUP(A186, CURSOS!A:A, CURSOS!B:B)</f>
        <v>12</v>
      </c>
      <c r="C186" s="20" t="str">
        <f t="array" ref="C186">XLOOKUP(A186, CURSOS!A:A, CURSOS!C:C)</f>
        <v>HOMO COSMICUS</v>
      </c>
      <c r="D186" s="70" t="s">
        <v>258</v>
      </c>
      <c r="E186" s="48">
        <f t="array" ref="E186">XLOOKUP($D186,REGOLITOS!$A:$A,REGOLITOS!E:E)</f>
        <v>66</v>
      </c>
      <c r="F186" s="48" t="str">
        <f t="array" ref="F186">XLOOKUP($D186,REGOLITOS!$A:$A,REGOLITOS!F:F)</f>
        <v>Estudiante HS</v>
      </c>
      <c r="G186" s="48" t="str">
        <f t="array" ref="G186">XLOOKUP($D186,REGOLITOS!$A:$A,REGOLITOS!G:G)</f>
        <v>Jalisco</v>
      </c>
      <c r="H186" s="48" t="str">
        <f t="array" ref="H186">XLOOKUP($D186,REGOLITOS!$A:$A,REGOLITOS!H:H)</f>
        <v>55 55 0103 0103</v>
      </c>
      <c r="I186" s="48" t="str">
        <f t="array" ref="I186">XLOOKUP($D186,REGOLITOS!$A:$A,REGOLITOS!I:I)</f>
        <v>usuario103@ejemplo.com</v>
      </c>
      <c r="J186" s="48" t="str">
        <f t="array" ref="J186">XLOOKUP($D186,REGOLITOS!$A:$A,REGOLITOS!J:J)</f>
        <v/>
      </c>
      <c r="K186" s="48" t="str">
        <f t="array" ref="K186">XLOOKUP($D186,REGOLITOS!$A:$A,REGOLITOS!K:K)</f>
        <v>Adulto Mayor</v>
      </c>
      <c r="L186" s="79">
        <v>160.0</v>
      </c>
      <c r="M186" s="5" t="s">
        <v>1078</v>
      </c>
      <c r="N186" s="5" t="s">
        <v>1078</v>
      </c>
      <c r="O186" s="5" t="s">
        <v>1078</v>
      </c>
      <c r="P186" s="5" t="s">
        <v>1078</v>
      </c>
      <c r="Q186" s="5" t="s">
        <v>1078</v>
      </c>
      <c r="X186" s="71">
        <f t="shared" si="3"/>
        <v>5</v>
      </c>
      <c r="Y186" s="5" t="b">
        <v>1</v>
      </c>
    </row>
    <row r="187">
      <c r="A187" s="19" t="s">
        <v>55</v>
      </c>
      <c r="B187" s="19">
        <f t="array" ref="B187">XLOOKUP(A187, CURSOS!A:A, CURSOS!B:B)</f>
        <v>12</v>
      </c>
      <c r="C187" s="20" t="str">
        <f t="array" ref="C187">XLOOKUP(A187, CURSOS!A:A, CURSOS!C:C)</f>
        <v>HOMO COSMICUS</v>
      </c>
      <c r="D187" s="70" t="s">
        <v>147</v>
      </c>
      <c r="E187" s="48">
        <f t="array" ref="E187">XLOOKUP($D187,REGOLITOS!$A:$A,REGOLITOS!E:E)</f>
        <v>15</v>
      </c>
      <c r="F187" s="48" t="str">
        <f t="array" ref="F187">XLOOKUP($D187,REGOLITOS!$A:$A,REGOLITOS!F:F)</f>
        <v>Ingeniería Civil</v>
      </c>
      <c r="G187" s="48" t="str">
        <f t="array" ref="G187">XLOOKUP($D187,REGOLITOS!$A:$A,REGOLITOS!G:G)</f>
        <v>Ciudad de México</v>
      </c>
      <c r="H187" s="48" t="str">
        <f t="array" ref="H187">XLOOKUP($D187,REGOLITOS!$A:$A,REGOLITOS!H:H)</f>
        <v>55 55 0028 0028</v>
      </c>
      <c r="I187" s="48" t="str">
        <f t="array" ref="I187">XLOOKUP($D187,REGOLITOS!$A:$A,REGOLITOS!I:I)</f>
        <v>usuario28@ejemplo.com</v>
      </c>
      <c r="J187" s="48" t="str">
        <f t="array" ref="J187">XLOOKUP($D187,REGOLITOS!$A:$A,REGOLITOS!J:J)</f>
        <v>Tutor_028</v>
      </c>
      <c r="K187" s="48" t="str">
        <f t="array" ref="K187">XLOOKUP($D187,REGOLITOS!$A:$A,REGOLITOS!K:K)</f>
        <v>Adolescente</v>
      </c>
      <c r="L187" s="79">
        <v>160.0</v>
      </c>
      <c r="M187" s="5" t="s">
        <v>1078</v>
      </c>
      <c r="N187" s="5" t="s">
        <v>1078</v>
      </c>
      <c r="O187" s="5" t="s">
        <v>1078</v>
      </c>
      <c r="P187" s="5" t="s">
        <v>1078</v>
      </c>
      <c r="Q187" s="5" t="s">
        <v>1078</v>
      </c>
      <c r="X187" s="71">
        <f t="shared" si="3"/>
        <v>5</v>
      </c>
      <c r="Y187" s="5" t="b">
        <v>1</v>
      </c>
    </row>
    <row r="188">
      <c r="A188" s="19" t="s">
        <v>55</v>
      </c>
      <c r="B188" s="19">
        <f t="array" ref="B188">XLOOKUP(A188, CURSOS!A:A, CURSOS!B:B)</f>
        <v>12</v>
      </c>
      <c r="C188" s="20" t="str">
        <f t="array" ref="C188">XLOOKUP(A188, CURSOS!A:A, CURSOS!C:C)</f>
        <v>HOMO COSMICUS</v>
      </c>
      <c r="D188" s="70" t="s">
        <v>112</v>
      </c>
      <c r="E188" s="48">
        <f t="array" ref="E188">XLOOKUP($D188,REGOLITOS!$A:$A,REGOLITOS!E:E)</f>
        <v>52</v>
      </c>
      <c r="F188" s="48" t="str">
        <f t="array" ref="F188">XLOOKUP($D188,REGOLITOS!$A:$A,REGOLITOS!F:F)</f>
        <v>Estudiante</v>
      </c>
      <c r="G188" s="48" t="str">
        <f t="array" ref="G188">XLOOKUP($D188,REGOLITOS!$A:$A,REGOLITOS!G:G)</f>
        <v>Estado de México</v>
      </c>
      <c r="H188" s="48" t="str">
        <f t="array" ref="H188">XLOOKUP($D188,REGOLITOS!$A:$A,REGOLITOS!H:H)</f>
        <v>55 55 0009 0009</v>
      </c>
      <c r="I188" s="48" t="str">
        <f t="array" ref="I188">XLOOKUP($D188,REGOLITOS!$A:$A,REGOLITOS!I:I)</f>
        <v>usuario9@ejemplo.com</v>
      </c>
      <c r="J188" s="48" t="str">
        <f t="array" ref="J188">XLOOKUP($D188,REGOLITOS!$A:$A,REGOLITOS!J:J)</f>
        <v/>
      </c>
      <c r="K188" s="48" t="str">
        <f t="array" ref="K188">XLOOKUP($D188,REGOLITOS!$A:$A,REGOLITOS!K:K)</f>
        <v>Adulto</v>
      </c>
      <c r="L188" s="79">
        <v>160.0</v>
      </c>
      <c r="M188" s="5" t="s">
        <v>1078</v>
      </c>
      <c r="N188" s="5" t="s">
        <v>1078</v>
      </c>
      <c r="O188" s="5" t="s">
        <v>1078</v>
      </c>
      <c r="P188" s="5" t="s">
        <v>1078</v>
      </c>
      <c r="Q188" s="5" t="s">
        <v>1078</v>
      </c>
      <c r="X188" s="71">
        <f t="shared" si="3"/>
        <v>5</v>
      </c>
      <c r="Y188" s="5" t="b">
        <v>1</v>
      </c>
    </row>
    <row r="189">
      <c r="A189" s="19" t="s">
        <v>55</v>
      </c>
      <c r="B189" s="19">
        <f t="array" ref="B189">XLOOKUP(A189, CURSOS!A:A, CURSOS!B:B)</f>
        <v>12</v>
      </c>
      <c r="C189" s="20" t="str">
        <f t="array" ref="C189">XLOOKUP(A189, CURSOS!A:A, CURSOS!C:C)</f>
        <v>HOMO COSMICUS</v>
      </c>
      <c r="D189" s="70" t="s">
        <v>180</v>
      </c>
      <c r="E189" s="48">
        <f t="array" ref="E189">XLOOKUP($D189,REGOLITOS!$A:$A,REGOLITOS!E:E)</f>
        <v>8</v>
      </c>
      <c r="F189" s="48" t="str">
        <f t="array" ref="F189">XLOOKUP($D189,REGOLITOS!$A:$A,REGOLITOS!F:F)</f>
        <v>Estudiante</v>
      </c>
      <c r="G189" s="48" t="str">
        <f t="array" ref="G189">XLOOKUP($D189,REGOLITOS!$A:$A,REGOLITOS!G:G)</f>
        <v>Ciudad de México</v>
      </c>
      <c r="H189" s="48" t="str">
        <f t="array" ref="H189">XLOOKUP($D189,REGOLITOS!$A:$A,REGOLITOS!H:H)</f>
        <v>55 55 0049 0049</v>
      </c>
      <c r="I189" s="48" t="str">
        <f t="array" ref="I189">XLOOKUP($D189,REGOLITOS!$A:$A,REGOLITOS!I:I)</f>
        <v>usuario49@ejemplo.com</v>
      </c>
      <c r="J189" s="48" t="str">
        <f t="array" ref="J189">XLOOKUP($D189,REGOLITOS!$A:$A,REGOLITOS!J:J)</f>
        <v>Tutor_049</v>
      </c>
      <c r="K189" s="48" t="str">
        <f t="array" ref="K189">XLOOKUP($D189,REGOLITOS!$A:$A,REGOLITOS!K:K)</f>
        <v>Infancia</v>
      </c>
      <c r="L189" s="79">
        <v>200.0</v>
      </c>
      <c r="M189" s="5" t="s">
        <v>1078</v>
      </c>
      <c r="N189" s="5" t="s">
        <v>1078</v>
      </c>
      <c r="O189" s="5" t="s">
        <v>1078</v>
      </c>
      <c r="P189" s="5" t="s">
        <v>1078</v>
      </c>
      <c r="Q189" s="5" t="s">
        <v>1078</v>
      </c>
      <c r="X189" s="71">
        <f t="shared" si="3"/>
        <v>5</v>
      </c>
      <c r="Y189" s="5" t="b">
        <v>1</v>
      </c>
    </row>
    <row r="190">
      <c r="A190" s="19" t="s">
        <v>55</v>
      </c>
      <c r="B190" s="19">
        <f t="array" ref="B190">XLOOKUP(A190, CURSOS!A:A, CURSOS!B:B)</f>
        <v>12</v>
      </c>
      <c r="C190" s="20" t="str">
        <f t="array" ref="C190">XLOOKUP(A190, CURSOS!A:A, CURSOS!C:C)</f>
        <v>HOMO COSMICUS</v>
      </c>
      <c r="D190" s="70" t="s">
        <v>343</v>
      </c>
      <c r="E190" s="48">
        <f t="array" ref="E190">XLOOKUP($D190,REGOLITOS!$A:$A,REGOLITOS!E:E)</f>
        <v>87</v>
      </c>
      <c r="F190" s="48" t="str">
        <f t="array" ref="F190">XLOOKUP($D190,REGOLITOS!$A:$A,REGOLITOS!F:F)</f>
        <v>Estudiante</v>
      </c>
      <c r="G190" s="48" t="str">
        <f t="array" ref="G190">XLOOKUP($D190,REGOLITOS!$A:$A,REGOLITOS!G:G)</f>
        <v>Hidalgo</v>
      </c>
      <c r="H190" s="48" t="str">
        <f t="array" ref="H190">XLOOKUP($D190,REGOLITOS!$A:$A,REGOLITOS!H:H)</f>
        <v>55 55 0161 0161</v>
      </c>
      <c r="I190" s="48" t="str">
        <f t="array" ref="I190">XLOOKUP($D190,REGOLITOS!$A:$A,REGOLITOS!I:I)</f>
        <v>usuario161@ejemplo.com</v>
      </c>
      <c r="J190" s="48" t="str">
        <f t="array" ref="J190">XLOOKUP($D190,REGOLITOS!$A:$A,REGOLITOS!J:J)</f>
        <v/>
      </c>
      <c r="K190" s="48" t="str">
        <f t="array" ref="K190">XLOOKUP($D190,REGOLITOS!$A:$A,REGOLITOS!K:K)</f>
        <v>Adulto Mayor</v>
      </c>
      <c r="L190" s="79">
        <v>200.0</v>
      </c>
      <c r="M190" s="5" t="s">
        <v>1078</v>
      </c>
      <c r="N190" s="5" t="s">
        <v>1078</v>
      </c>
      <c r="O190" s="5" t="s">
        <v>1078</v>
      </c>
      <c r="P190" s="5" t="s">
        <v>1081</v>
      </c>
      <c r="Q190" s="5" t="s">
        <v>1078</v>
      </c>
      <c r="X190" s="71">
        <f t="shared" si="3"/>
        <v>5</v>
      </c>
      <c r="Y190" s="5" t="b">
        <v>1</v>
      </c>
    </row>
    <row r="191">
      <c r="A191" s="19" t="s">
        <v>55</v>
      </c>
      <c r="B191" s="19">
        <f t="array" ref="B191">XLOOKUP(A191, CURSOS!A:A, CURSOS!B:B)</f>
        <v>12</v>
      </c>
      <c r="C191" s="20" t="str">
        <f t="array" ref="C191">XLOOKUP(A191, CURSOS!A:A, CURSOS!C:C)</f>
        <v>HOMO COSMICUS</v>
      </c>
      <c r="D191" s="70" t="s">
        <v>232</v>
      </c>
      <c r="E191" s="48">
        <f t="array" ref="E191">XLOOKUP($D191,REGOLITOS!$A:$A,REGOLITOS!E:E)</f>
        <v>18</v>
      </c>
      <c r="F191" s="48" t="str">
        <f t="array" ref="F191">XLOOKUP($D191,REGOLITOS!$A:$A,REGOLITOS!F:F)</f>
        <v>Estudiante</v>
      </c>
      <c r="G191" s="48" t="str">
        <f t="array" ref="G191">XLOOKUP($D191,REGOLITOS!$A:$A,REGOLITOS!G:G)</f>
        <v>Hidalgo</v>
      </c>
      <c r="H191" s="48" t="str">
        <f t="array" ref="H191">XLOOKUP($D191,REGOLITOS!$A:$A,REGOLITOS!H:H)</f>
        <v>55 55 0085 0085</v>
      </c>
      <c r="I191" s="48" t="str">
        <f t="array" ref="I191">XLOOKUP($D191,REGOLITOS!$A:$A,REGOLITOS!I:I)</f>
        <v>usuario85@ejemplo.com</v>
      </c>
      <c r="J191" s="48" t="str">
        <f t="array" ref="J191">XLOOKUP($D191,REGOLITOS!$A:$A,REGOLITOS!J:J)</f>
        <v>Tutor_085</v>
      </c>
      <c r="K191" s="48" t="str">
        <f t="array" ref="K191">XLOOKUP($D191,REGOLITOS!$A:$A,REGOLITOS!K:K)</f>
        <v>Jóven adulto</v>
      </c>
      <c r="L191" s="79">
        <v>160.0</v>
      </c>
      <c r="M191" s="5" t="s">
        <v>1081</v>
      </c>
      <c r="N191" s="5" t="s">
        <v>1078</v>
      </c>
      <c r="O191" s="5" t="s">
        <v>1078</v>
      </c>
      <c r="P191" s="5" t="s">
        <v>1078</v>
      </c>
      <c r="Q191" s="5" t="s">
        <v>1078</v>
      </c>
      <c r="X191" s="71">
        <f t="shared" si="3"/>
        <v>5</v>
      </c>
      <c r="Y191" s="5" t="b">
        <v>1</v>
      </c>
    </row>
    <row r="192">
      <c r="A192" s="19" t="s">
        <v>55</v>
      </c>
      <c r="B192" s="19">
        <f t="array" ref="B192">XLOOKUP(A192, CURSOS!A:A, CURSOS!B:B)</f>
        <v>12</v>
      </c>
      <c r="C192" s="20" t="str">
        <f t="array" ref="C192">XLOOKUP(A192, CURSOS!A:A, CURSOS!C:C)</f>
        <v>HOMO COSMICUS</v>
      </c>
      <c r="D192" s="70" t="s">
        <v>331</v>
      </c>
      <c r="E192" s="48">
        <f t="array" ref="E192">XLOOKUP($D192,REGOLITOS!$A:$A,REGOLITOS!E:E)</f>
        <v>16</v>
      </c>
      <c r="F192" s="48" t="str">
        <f t="array" ref="F192">XLOOKUP($D192,REGOLITOS!$A:$A,REGOLITOS!F:F)</f>
        <v>Soporte Técnico</v>
      </c>
      <c r="G192" s="48" t="str">
        <f t="array" ref="G192">XLOOKUP($D192,REGOLITOS!$A:$A,REGOLITOS!G:G)</f>
        <v>Jalisco</v>
      </c>
      <c r="H192" s="48" t="str">
        <f t="array" ref="H192">XLOOKUP($D192,REGOLITOS!$A:$A,REGOLITOS!H:H)</f>
        <v>55 55 0154 0154</v>
      </c>
      <c r="I192" s="48" t="str">
        <f t="array" ref="I192">XLOOKUP($D192,REGOLITOS!$A:$A,REGOLITOS!I:I)</f>
        <v>usuario154@ejemplo.com</v>
      </c>
      <c r="J192" s="48" t="str">
        <f t="array" ref="J192">XLOOKUP($D192,REGOLITOS!$A:$A,REGOLITOS!J:J)</f>
        <v>Tutor_154</v>
      </c>
      <c r="K192" s="48" t="str">
        <f t="array" ref="K192">XLOOKUP($D192,REGOLITOS!$A:$A,REGOLITOS!K:K)</f>
        <v>Adolescente</v>
      </c>
      <c r="L192" s="79">
        <v>200.0</v>
      </c>
      <c r="M192" s="5" t="s">
        <v>1078</v>
      </c>
      <c r="N192" s="5" t="s">
        <v>1080</v>
      </c>
      <c r="O192" s="5" t="s">
        <v>1078</v>
      </c>
      <c r="P192" s="5" t="s">
        <v>1080</v>
      </c>
      <c r="Q192" s="5" t="s">
        <v>1080</v>
      </c>
      <c r="X192" s="71">
        <f t="shared" si="3"/>
        <v>2</v>
      </c>
      <c r="Y192" s="5" t="b">
        <v>0</v>
      </c>
    </row>
    <row r="193">
      <c r="A193" s="19" t="s">
        <v>55</v>
      </c>
      <c r="B193" s="19">
        <f t="array" ref="B193">XLOOKUP(A193, CURSOS!A:A, CURSOS!B:B)</f>
        <v>12</v>
      </c>
      <c r="C193" s="20" t="str">
        <f t="array" ref="C193">XLOOKUP(A193, CURSOS!A:A, CURSOS!C:C)</f>
        <v>HOMO COSMICUS</v>
      </c>
      <c r="D193" s="70" t="s">
        <v>356</v>
      </c>
      <c r="E193" s="48">
        <f t="array" ref="E193">XLOOKUP($D193,REGOLITOS!$A:$A,REGOLITOS!E:E)</f>
        <v>60</v>
      </c>
      <c r="F193" s="48" t="str">
        <f t="array" ref="F193">XLOOKUP($D193,REGOLITOS!$A:$A,REGOLITOS!F:F)</f>
        <v>Estudiante</v>
      </c>
      <c r="G193" s="48" t="str">
        <f t="array" ref="G193">XLOOKUP($D193,REGOLITOS!$A:$A,REGOLITOS!G:G)</f>
        <v>Estado de México</v>
      </c>
      <c r="H193" s="48" t="str">
        <f t="array" ref="H193">XLOOKUP($D193,REGOLITOS!$A:$A,REGOLITOS!H:H)</f>
        <v>55 55 0171 0171</v>
      </c>
      <c r="I193" s="48" t="str">
        <f t="array" ref="I193">XLOOKUP($D193,REGOLITOS!$A:$A,REGOLITOS!I:I)</f>
        <v>usuario171@ejemplo.com</v>
      </c>
      <c r="J193" s="48" t="str">
        <f t="array" ref="J193">XLOOKUP($D193,REGOLITOS!$A:$A,REGOLITOS!J:J)</f>
        <v/>
      </c>
      <c r="K193" s="48" t="str">
        <f t="array" ref="K193">XLOOKUP($D193,REGOLITOS!$A:$A,REGOLITOS!K:K)</f>
        <v>Adulto Mayor</v>
      </c>
      <c r="L193" s="79">
        <v>200.0</v>
      </c>
      <c r="M193" s="5" t="s">
        <v>1080</v>
      </c>
      <c r="N193" s="5" t="s">
        <v>1080</v>
      </c>
      <c r="O193" s="5" t="s">
        <v>1080</v>
      </c>
      <c r="P193" s="5" t="s">
        <v>1078</v>
      </c>
      <c r="Q193" s="5" t="s">
        <v>1080</v>
      </c>
      <c r="X193" s="71">
        <f t="shared" si="3"/>
        <v>1</v>
      </c>
      <c r="Y193" s="5" t="b">
        <v>0</v>
      </c>
    </row>
    <row r="194">
      <c r="A194" s="19" t="s">
        <v>55</v>
      </c>
      <c r="B194" s="19">
        <f t="array" ref="B194">XLOOKUP(A194, CURSOS!A:A, CURSOS!B:B)</f>
        <v>12</v>
      </c>
      <c r="C194" s="20" t="str">
        <f t="array" ref="C194">XLOOKUP(A194, CURSOS!A:A, CURSOS!C:C)</f>
        <v>HOMO COSMICUS</v>
      </c>
      <c r="D194" s="70" t="s">
        <v>276</v>
      </c>
      <c r="E194" s="48">
        <f t="array" ref="E194">XLOOKUP($D194,REGOLITOS!$A:$A,REGOLITOS!E:E)</f>
        <v>60</v>
      </c>
      <c r="F194" s="48" t="str">
        <f t="array" ref="F194">XLOOKUP($D194,REGOLITOS!$A:$A,REGOLITOS!F:F)</f>
        <v>Estudiante</v>
      </c>
      <c r="G194" s="48" t="str">
        <f t="array" ref="G194">XLOOKUP($D194,REGOLITOS!$A:$A,REGOLITOS!G:G)</f>
        <v>Estado de México</v>
      </c>
      <c r="H194" s="48" t="str">
        <f t="array" ref="H194">XLOOKUP($D194,REGOLITOS!$A:$A,REGOLITOS!H:H)</f>
        <v>55 55 0115 0115</v>
      </c>
      <c r="I194" s="48" t="str">
        <f t="array" ref="I194">XLOOKUP($D194,REGOLITOS!$A:$A,REGOLITOS!I:I)</f>
        <v>usuario115@ejemplo.com</v>
      </c>
      <c r="J194" s="48" t="str">
        <f t="array" ref="J194">XLOOKUP($D194,REGOLITOS!$A:$A,REGOLITOS!J:J)</f>
        <v/>
      </c>
      <c r="K194" s="48" t="str">
        <f t="array" ref="K194">XLOOKUP($D194,REGOLITOS!$A:$A,REGOLITOS!K:K)</f>
        <v>Adulto Mayor</v>
      </c>
      <c r="L194" s="48">
        <v>200.0</v>
      </c>
      <c r="M194" s="5" t="s">
        <v>1080</v>
      </c>
      <c r="N194" s="5" t="s">
        <v>1080</v>
      </c>
      <c r="O194" s="5" t="s">
        <v>1080</v>
      </c>
      <c r="P194" s="5" t="s">
        <v>1078</v>
      </c>
      <c r="Q194" s="5" t="s">
        <v>1080</v>
      </c>
      <c r="X194" s="71">
        <f t="shared" si="3"/>
        <v>1</v>
      </c>
      <c r="Y194" s="5" t="b">
        <v>0</v>
      </c>
    </row>
    <row r="195">
      <c r="A195" s="21" t="s">
        <v>58</v>
      </c>
      <c r="B195" s="21">
        <f t="array" ref="B195">XLOOKUP(A195, CURSOS!A:A, CURSOS!B:B)</f>
        <v>13</v>
      </c>
      <c r="C195" s="21" t="str">
        <f t="array" ref="C195">XLOOKUP(A195, CURSOS!A:A, CURSOS!C:C)</f>
        <v>MATEMÁTICAS PREOLÍMPICAS</v>
      </c>
      <c r="D195" s="70" t="s">
        <v>167</v>
      </c>
      <c r="E195" s="48">
        <f t="array" ref="E195">XLOOKUP($D195,REGOLITOS!$A:$A,REGOLITOS!E:E)</f>
        <v>90</v>
      </c>
      <c r="F195" s="48" t="str">
        <f t="array" ref="F195">XLOOKUP($D195,REGOLITOS!$A:$A,REGOLITOS!F:F)</f>
        <v>Estudiante</v>
      </c>
      <c r="G195" s="48" t="str">
        <f t="array" ref="G195">XLOOKUP($D195,REGOLITOS!$A:$A,REGOLITOS!G:G)</f>
        <v>Ciudad de México</v>
      </c>
      <c r="H195" s="48" t="str">
        <f t="array" ref="H195">XLOOKUP($D195,REGOLITOS!$A:$A,REGOLITOS!H:H)</f>
        <v>55 55 0041 0041</v>
      </c>
      <c r="I195" s="48" t="str">
        <f t="array" ref="I195">XLOOKUP($D195,REGOLITOS!$A:$A,REGOLITOS!I:I)</f>
        <v>usuario41@ejemplo.com</v>
      </c>
      <c r="J195" s="48" t="str">
        <f t="array" ref="J195">XLOOKUP($D195,REGOLITOS!$A:$A,REGOLITOS!J:J)</f>
        <v/>
      </c>
      <c r="K195" s="48" t="str">
        <f t="array" ref="K195">XLOOKUP($D195,REGOLITOS!$A:$A,REGOLITOS!K:K)</f>
        <v>Adulto Mayor</v>
      </c>
      <c r="L195" s="48">
        <v>480.0</v>
      </c>
      <c r="M195" s="5" t="s">
        <v>1078</v>
      </c>
      <c r="N195" s="5" t="s">
        <v>1078</v>
      </c>
      <c r="O195" s="5" t="s">
        <v>1078</v>
      </c>
      <c r="P195" s="5" t="s">
        <v>1080</v>
      </c>
      <c r="Q195" s="5" t="s">
        <v>1078</v>
      </c>
      <c r="R195" s="5" t="s">
        <v>1078</v>
      </c>
      <c r="S195" s="5" t="s">
        <v>1078</v>
      </c>
      <c r="T195" s="5" t="s">
        <v>1080</v>
      </c>
      <c r="X195" s="71">
        <f t="shared" si="3"/>
        <v>6</v>
      </c>
      <c r="Y195" s="5" t="b">
        <v>1</v>
      </c>
    </row>
    <row r="196">
      <c r="A196" s="21" t="s">
        <v>58</v>
      </c>
      <c r="B196" s="21">
        <f t="array" ref="B196">XLOOKUP(A196, CURSOS!A:A, CURSOS!B:B)</f>
        <v>13</v>
      </c>
      <c r="C196" s="21" t="str">
        <f t="array" ref="C196">XLOOKUP(A196, CURSOS!A:A, CURSOS!C:C)</f>
        <v>MATEMÁTICAS PREOLÍMPICAS</v>
      </c>
      <c r="D196" s="70" t="s">
        <v>232</v>
      </c>
      <c r="E196" s="48">
        <f t="array" ref="E196">XLOOKUP($D196,REGOLITOS!$A:$A,REGOLITOS!E:E)</f>
        <v>18</v>
      </c>
      <c r="F196" s="48" t="str">
        <f t="array" ref="F196">XLOOKUP($D196,REGOLITOS!$A:$A,REGOLITOS!F:F)</f>
        <v>Estudiante</v>
      </c>
      <c r="G196" s="48" t="str">
        <f t="array" ref="G196">XLOOKUP($D196,REGOLITOS!$A:$A,REGOLITOS!G:G)</f>
        <v>Hidalgo</v>
      </c>
      <c r="H196" s="48" t="str">
        <f t="array" ref="H196">XLOOKUP($D196,REGOLITOS!$A:$A,REGOLITOS!H:H)</f>
        <v>55 55 0085 0085</v>
      </c>
      <c r="I196" s="48" t="str">
        <f t="array" ref="I196">XLOOKUP($D196,REGOLITOS!$A:$A,REGOLITOS!I:I)</f>
        <v>usuario85@ejemplo.com</v>
      </c>
      <c r="J196" s="48" t="str">
        <f t="array" ref="J196">XLOOKUP($D196,REGOLITOS!$A:$A,REGOLITOS!J:J)</f>
        <v>Tutor_085</v>
      </c>
      <c r="K196" s="48" t="str">
        <f t="array" ref="K196">XLOOKUP($D196,REGOLITOS!$A:$A,REGOLITOS!K:K)</f>
        <v>Jóven adulto</v>
      </c>
      <c r="L196" s="48">
        <v>480.0</v>
      </c>
      <c r="M196" s="5" t="s">
        <v>1078</v>
      </c>
      <c r="N196" s="5" t="s">
        <v>1078</v>
      </c>
      <c r="O196" s="5" t="s">
        <v>1078</v>
      </c>
      <c r="P196" s="5" t="s">
        <v>1078</v>
      </c>
      <c r="Q196" s="5" t="s">
        <v>1078</v>
      </c>
      <c r="R196" s="5" t="s">
        <v>1078</v>
      </c>
      <c r="S196" s="5" t="s">
        <v>1078</v>
      </c>
      <c r="T196" s="5" t="s">
        <v>1078</v>
      </c>
      <c r="X196" s="71">
        <f t="shared" si="3"/>
        <v>8</v>
      </c>
      <c r="Y196" s="5" t="b">
        <v>1</v>
      </c>
    </row>
    <row r="197">
      <c r="A197" s="21" t="s">
        <v>58</v>
      </c>
      <c r="B197" s="21">
        <f t="array" ref="B197">XLOOKUP(A197, CURSOS!A:A, CURSOS!B:B)</f>
        <v>13</v>
      </c>
      <c r="C197" s="21" t="str">
        <f t="array" ref="C197">XLOOKUP(A197, CURSOS!A:A, CURSOS!C:C)</f>
        <v>MATEMÁTICAS PREOLÍMPICAS</v>
      </c>
      <c r="D197" s="70" t="s">
        <v>116</v>
      </c>
      <c r="E197" s="48">
        <f t="array" ref="E197">XLOOKUP($D197,REGOLITOS!$A:$A,REGOLITOS!E:E)</f>
        <v>15</v>
      </c>
      <c r="F197" s="48" t="str">
        <f t="array" ref="F197">XLOOKUP($D197,REGOLITOS!$A:$A,REGOLITOS!F:F)</f>
        <v>Estudiante</v>
      </c>
      <c r="G197" s="48" t="str">
        <f t="array" ref="G197">XLOOKUP($D197,REGOLITOS!$A:$A,REGOLITOS!G:G)</f>
        <v>Ciudad de México</v>
      </c>
      <c r="H197" s="48" t="str">
        <f t="array" ref="H197">XLOOKUP($D197,REGOLITOS!$A:$A,REGOLITOS!H:H)</f>
        <v>55 55 0012 0012</v>
      </c>
      <c r="I197" s="48" t="str">
        <f t="array" ref="I197">XLOOKUP($D197,REGOLITOS!$A:$A,REGOLITOS!I:I)</f>
        <v>usuario12@ejemplo.com</v>
      </c>
      <c r="J197" s="48" t="str">
        <f t="array" ref="J197">XLOOKUP($D197,REGOLITOS!$A:$A,REGOLITOS!J:J)</f>
        <v>Tutor_012</v>
      </c>
      <c r="K197" s="48" t="str">
        <f t="array" ref="K197">XLOOKUP($D197,REGOLITOS!$A:$A,REGOLITOS!K:K)</f>
        <v>Adolescente</v>
      </c>
      <c r="L197" s="48">
        <v>480.0</v>
      </c>
      <c r="M197" s="5" t="s">
        <v>1078</v>
      </c>
      <c r="N197" s="5" t="s">
        <v>1078</v>
      </c>
      <c r="O197" s="5" t="s">
        <v>1078</v>
      </c>
      <c r="P197" s="5" t="s">
        <v>1078</v>
      </c>
      <c r="Q197" s="5" t="s">
        <v>1078</v>
      </c>
      <c r="R197" s="5" t="s">
        <v>1078</v>
      </c>
      <c r="S197" s="5" t="s">
        <v>1078</v>
      </c>
      <c r="T197" s="5" t="s">
        <v>1080</v>
      </c>
      <c r="X197" s="71">
        <f t="shared" si="3"/>
        <v>7</v>
      </c>
      <c r="Y197" s="5" t="b">
        <v>1</v>
      </c>
    </row>
    <row r="198">
      <c r="A198" s="21" t="s">
        <v>58</v>
      </c>
      <c r="B198" s="21">
        <f t="array" ref="B198">XLOOKUP(A198, CURSOS!A:A, CURSOS!B:B)</f>
        <v>13</v>
      </c>
      <c r="C198" s="21" t="str">
        <f t="array" ref="C198">XLOOKUP(A198, CURSOS!A:A, CURSOS!C:C)</f>
        <v>MATEMÁTICAS PREOLÍMPICAS</v>
      </c>
      <c r="D198" s="70" t="s">
        <v>174</v>
      </c>
      <c r="E198" s="48">
        <f t="array" ref="E198">XLOOKUP($D198,REGOLITOS!$A:$A,REGOLITOS!E:E)</f>
        <v>69</v>
      </c>
      <c r="F198" s="48" t="str">
        <f t="array" ref="F198">XLOOKUP($D198,REGOLITOS!$A:$A,REGOLITOS!F:F)</f>
        <v>Estudiante</v>
      </c>
      <c r="G198" s="48" t="str">
        <f t="array" ref="G198">XLOOKUP($D198,REGOLITOS!$A:$A,REGOLITOS!G:G)</f>
        <v>Ciudad de México</v>
      </c>
      <c r="H198" s="48" t="str">
        <f t="array" ref="H198">XLOOKUP($D198,REGOLITOS!$A:$A,REGOLITOS!H:H)</f>
        <v>55 55 0045 0045</v>
      </c>
      <c r="I198" s="48" t="str">
        <f t="array" ref="I198">XLOOKUP($D198,REGOLITOS!$A:$A,REGOLITOS!I:I)</f>
        <v>usuario45@ejemplo.com</v>
      </c>
      <c r="J198" s="48" t="str">
        <f t="array" ref="J198">XLOOKUP($D198,REGOLITOS!$A:$A,REGOLITOS!J:J)</f>
        <v/>
      </c>
      <c r="K198" s="48" t="str">
        <f t="array" ref="K198">XLOOKUP($D198,REGOLITOS!$A:$A,REGOLITOS!K:K)</f>
        <v>Adulto Mayor</v>
      </c>
      <c r="L198" s="48">
        <v>480.0</v>
      </c>
      <c r="M198" s="5" t="s">
        <v>1078</v>
      </c>
      <c r="N198" s="5" t="s">
        <v>1078</v>
      </c>
      <c r="O198" s="5" t="s">
        <v>1078</v>
      </c>
      <c r="P198" s="5" t="s">
        <v>1078</v>
      </c>
      <c r="Q198" s="5" t="s">
        <v>1078</v>
      </c>
      <c r="R198" s="5" t="s">
        <v>1078</v>
      </c>
      <c r="S198" s="5" t="s">
        <v>1078</v>
      </c>
      <c r="T198" s="5" t="s">
        <v>1080</v>
      </c>
      <c r="X198" s="71">
        <f t="shared" si="3"/>
        <v>7</v>
      </c>
      <c r="Y198" s="5" t="b">
        <v>1</v>
      </c>
    </row>
    <row r="199">
      <c r="A199" s="21" t="s">
        <v>58</v>
      </c>
      <c r="B199" s="21">
        <f t="array" ref="B199">XLOOKUP(A199, CURSOS!A:A, CURSOS!B:B)</f>
        <v>13</v>
      </c>
      <c r="C199" s="21" t="str">
        <f t="array" ref="C199">XLOOKUP(A199, CURSOS!A:A, CURSOS!C:C)</f>
        <v>MATEMÁTICAS PREOLÍMPICAS</v>
      </c>
      <c r="D199" s="70" t="s">
        <v>258</v>
      </c>
      <c r="E199" s="48">
        <f t="array" ref="E199">XLOOKUP($D199,REGOLITOS!$A:$A,REGOLITOS!E:E)</f>
        <v>66</v>
      </c>
      <c r="F199" s="48" t="str">
        <f t="array" ref="F199">XLOOKUP($D199,REGOLITOS!$A:$A,REGOLITOS!F:F)</f>
        <v>Estudiante HS</v>
      </c>
      <c r="G199" s="48" t="str">
        <f t="array" ref="G199">XLOOKUP($D199,REGOLITOS!$A:$A,REGOLITOS!G:G)</f>
        <v>Jalisco</v>
      </c>
      <c r="H199" s="48" t="str">
        <f t="array" ref="H199">XLOOKUP($D199,REGOLITOS!$A:$A,REGOLITOS!H:H)</f>
        <v>55 55 0103 0103</v>
      </c>
      <c r="I199" s="48" t="str">
        <f t="array" ref="I199">XLOOKUP($D199,REGOLITOS!$A:$A,REGOLITOS!I:I)</f>
        <v>usuario103@ejemplo.com</v>
      </c>
      <c r="J199" s="48" t="str">
        <f t="array" ref="J199">XLOOKUP($D199,REGOLITOS!$A:$A,REGOLITOS!J:J)</f>
        <v/>
      </c>
      <c r="K199" s="48" t="str">
        <f t="array" ref="K199">XLOOKUP($D199,REGOLITOS!$A:$A,REGOLITOS!K:K)</f>
        <v>Adulto Mayor</v>
      </c>
      <c r="L199" s="48">
        <v>360.0</v>
      </c>
      <c r="M199" s="5" t="s">
        <v>1078</v>
      </c>
      <c r="N199" s="5" t="s">
        <v>1078</v>
      </c>
      <c r="O199" s="5" t="s">
        <v>1078</v>
      </c>
      <c r="P199" s="5" t="s">
        <v>1078</v>
      </c>
      <c r="Q199" s="5" t="s">
        <v>1078</v>
      </c>
      <c r="R199" s="5" t="s">
        <v>1078</v>
      </c>
      <c r="S199" s="5" t="s">
        <v>1078</v>
      </c>
      <c r="T199" s="5" t="s">
        <v>1078</v>
      </c>
      <c r="X199" s="71">
        <f t="shared" si="3"/>
        <v>8</v>
      </c>
      <c r="Y199" s="5" t="b">
        <v>1</v>
      </c>
    </row>
    <row r="200">
      <c r="A200" s="21" t="s">
        <v>58</v>
      </c>
      <c r="B200" s="21">
        <f t="array" ref="B200">XLOOKUP(A200, CURSOS!A:A, CURSOS!B:B)</f>
        <v>13</v>
      </c>
      <c r="C200" s="21" t="str">
        <f t="array" ref="C200">XLOOKUP(A200, CURSOS!A:A, CURSOS!C:C)</f>
        <v>MATEMÁTICAS PREOLÍMPICAS</v>
      </c>
      <c r="D200" s="70" t="s">
        <v>183</v>
      </c>
      <c r="E200" s="48">
        <f t="array" ref="E200">XLOOKUP($D200,REGOLITOS!$A:$A,REGOLITOS!E:E)</f>
        <v>68</v>
      </c>
      <c r="F200" s="48" t="str">
        <f t="array" ref="F200">XLOOKUP($D200,REGOLITOS!$A:$A,REGOLITOS!F:F)</f>
        <v>Estudiante</v>
      </c>
      <c r="G200" s="48" t="str">
        <f t="array" ref="G200">XLOOKUP($D200,REGOLITOS!$A:$A,REGOLITOS!G:G)</f>
        <v>Estado de México</v>
      </c>
      <c r="H200" s="48" t="str">
        <f t="array" ref="H200">XLOOKUP($D200,REGOLITOS!$A:$A,REGOLITOS!H:H)</f>
        <v>55 55 0051 0051</v>
      </c>
      <c r="I200" s="48" t="str">
        <f t="array" ref="I200">XLOOKUP($D200,REGOLITOS!$A:$A,REGOLITOS!I:I)</f>
        <v>usuario51@ejemplo.com</v>
      </c>
      <c r="J200" s="48" t="str">
        <f t="array" ref="J200">XLOOKUP($D200,REGOLITOS!$A:$A,REGOLITOS!J:J)</f>
        <v/>
      </c>
      <c r="K200" s="48" t="str">
        <f t="array" ref="K200">XLOOKUP($D200,REGOLITOS!$A:$A,REGOLITOS!K:K)</f>
        <v>Adulto Mayor</v>
      </c>
      <c r="L200" s="48">
        <v>360.0</v>
      </c>
      <c r="M200" s="5" t="s">
        <v>1078</v>
      </c>
      <c r="N200" s="5" t="s">
        <v>1078</v>
      </c>
      <c r="O200" s="5" t="s">
        <v>1080</v>
      </c>
      <c r="P200" s="5" t="s">
        <v>1078</v>
      </c>
      <c r="Q200" s="5" t="s">
        <v>1078</v>
      </c>
      <c r="R200" s="5" t="s">
        <v>1078</v>
      </c>
      <c r="S200" s="5" t="s">
        <v>1078</v>
      </c>
      <c r="T200" s="5" t="s">
        <v>1078</v>
      </c>
      <c r="X200" s="71">
        <f t="shared" si="3"/>
        <v>7</v>
      </c>
      <c r="Y200" s="5" t="b">
        <v>1</v>
      </c>
    </row>
    <row r="201">
      <c r="A201" s="21" t="s">
        <v>58</v>
      </c>
      <c r="B201" s="21">
        <f t="array" ref="B201">XLOOKUP(A201, CURSOS!A:A, CURSOS!B:B)</f>
        <v>13</v>
      </c>
      <c r="C201" s="21" t="str">
        <f t="array" ref="C201">XLOOKUP(A201, CURSOS!A:A, CURSOS!C:C)</f>
        <v>MATEMÁTICAS PREOLÍMPICAS</v>
      </c>
      <c r="D201" s="70" t="s">
        <v>130</v>
      </c>
      <c r="E201" s="48">
        <f t="array" ref="E201">XLOOKUP($D201,REGOLITOS!$A:$A,REGOLITOS!E:E)</f>
        <v>84</v>
      </c>
      <c r="F201" s="48" t="str">
        <f t="array" ref="F201">XLOOKUP($D201,REGOLITOS!$A:$A,REGOLITOS!F:F)</f>
        <v>Estudiante</v>
      </c>
      <c r="G201" s="48" t="str">
        <f t="array" ref="G201">XLOOKUP($D201,REGOLITOS!$A:$A,REGOLITOS!G:G)</f>
        <v>Querétaro</v>
      </c>
      <c r="H201" s="48" t="str">
        <f t="array" ref="H201">XLOOKUP($D201,REGOLITOS!$A:$A,REGOLITOS!H:H)</f>
        <v>55 55 0020 0020</v>
      </c>
      <c r="I201" s="48" t="str">
        <f t="array" ref="I201">XLOOKUP($D201,REGOLITOS!$A:$A,REGOLITOS!I:I)</f>
        <v>usuario20@ejemplo.com</v>
      </c>
      <c r="J201" s="48" t="str">
        <f t="array" ref="J201">XLOOKUP($D201,REGOLITOS!$A:$A,REGOLITOS!J:J)</f>
        <v/>
      </c>
      <c r="K201" s="48" t="str">
        <f t="array" ref="K201">XLOOKUP($D201,REGOLITOS!$A:$A,REGOLITOS!K:K)</f>
        <v>Adulto Mayor</v>
      </c>
      <c r="L201" s="48">
        <v>480.0</v>
      </c>
      <c r="M201" s="5" t="s">
        <v>1080</v>
      </c>
      <c r="N201" s="5" t="s">
        <v>1080</v>
      </c>
      <c r="O201" s="5" t="s">
        <v>1080</v>
      </c>
      <c r="P201" s="5" t="s">
        <v>1080</v>
      </c>
      <c r="Q201" s="5" t="s">
        <v>1080</v>
      </c>
      <c r="R201" s="5" t="s">
        <v>1080</v>
      </c>
      <c r="S201" s="5" t="s">
        <v>1080</v>
      </c>
      <c r="T201" s="5" t="s">
        <v>1080</v>
      </c>
      <c r="X201" s="71">
        <f t="shared" si="3"/>
        <v>0</v>
      </c>
      <c r="Y201" s="5" t="b">
        <v>0</v>
      </c>
    </row>
    <row r="202">
      <c r="A202" s="21" t="s">
        <v>58</v>
      </c>
      <c r="B202" s="21">
        <f t="array" ref="B202">XLOOKUP(A202, CURSOS!A:A, CURSOS!B:B)</f>
        <v>13</v>
      </c>
      <c r="C202" s="21" t="str">
        <f t="array" ref="C202">XLOOKUP(A202, CURSOS!A:A, CURSOS!C:C)</f>
        <v>MATEMÁTICAS PREOLÍMPICAS</v>
      </c>
      <c r="D202" s="70" t="s">
        <v>358</v>
      </c>
      <c r="E202" s="48">
        <f t="array" ref="E202">XLOOKUP($D202,REGOLITOS!$A:$A,REGOLITOS!E:E)</f>
        <v>78</v>
      </c>
      <c r="F202" s="48" t="str">
        <f t="array" ref="F202">XLOOKUP($D202,REGOLITOS!$A:$A,REGOLITOS!F:F)</f>
        <v>Estudiante</v>
      </c>
      <c r="G202" s="48" t="str">
        <f t="array" ref="G202">XLOOKUP($D202,REGOLITOS!$A:$A,REGOLITOS!G:G)</f>
        <v>Ciudad de México</v>
      </c>
      <c r="H202" s="48" t="str">
        <f t="array" ref="H202">XLOOKUP($D202,REGOLITOS!$A:$A,REGOLITOS!H:H)</f>
        <v>55 55 0173 0173</v>
      </c>
      <c r="I202" s="48" t="str">
        <f t="array" ref="I202">XLOOKUP($D202,REGOLITOS!$A:$A,REGOLITOS!I:I)</f>
        <v>usuario173@ejemplo.com</v>
      </c>
      <c r="J202" s="48" t="str">
        <f t="array" ref="J202">XLOOKUP($D202,REGOLITOS!$A:$A,REGOLITOS!J:J)</f>
        <v/>
      </c>
      <c r="K202" s="48" t="str">
        <f t="array" ref="K202">XLOOKUP($D202,REGOLITOS!$A:$A,REGOLITOS!K:K)</f>
        <v>Adulto Mayor</v>
      </c>
      <c r="L202" s="48"/>
      <c r="M202" s="5" t="s">
        <v>1080</v>
      </c>
      <c r="N202" s="5" t="s">
        <v>1080</v>
      </c>
      <c r="O202" s="5" t="s">
        <v>1080</v>
      </c>
      <c r="P202" s="5" t="s">
        <v>1080</v>
      </c>
      <c r="Q202" s="5" t="s">
        <v>1078</v>
      </c>
      <c r="R202" s="5" t="s">
        <v>1080</v>
      </c>
      <c r="S202" s="5" t="s">
        <v>1080</v>
      </c>
      <c r="T202" s="5" t="s">
        <v>1080</v>
      </c>
      <c r="X202" s="71">
        <f t="shared" si="3"/>
        <v>1</v>
      </c>
      <c r="Y202" s="5" t="b">
        <v>0</v>
      </c>
    </row>
    <row r="203">
      <c r="A203" s="25" t="s">
        <v>61</v>
      </c>
      <c r="B203" s="25">
        <f t="array" ref="B203">XLOOKUP(A203, CURSOS!A:A, CURSOS!B:B)</f>
        <v>14</v>
      </c>
      <c r="C203" s="24" t="str">
        <f t="array" ref="C203">XLOOKUP(A203, CURSOS!A:A, CURSOS!C:C)</f>
        <v>GUARDIANES DE LA NOCHE</v>
      </c>
      <c r="D203" s="70" t="s">
        <v>91</v>
      </c>
      <c r="E203" s="48">
        <f t="array" ref="E203">XLOOKUP($D203,REGOLITOS!$A:$A,REGOLITOS!E:E)</f>
        <v>56</v>
      </c>
      <c r="F203" s="48" t="str">
        <f t="array" ref="F203">XLOOKUP($D203,REGOLITOS!$A:$A,REGOLITOS!F:F)</f>
        <v>Estudiante </v>
      </c>
      <c r="G203" s="48" t="str">
        <f t="array" ref="G203">XLOOKUP($D203,REGOLITOS!$A:$A,REGOLITOS!G:G)</f>
        <v>Estado de México</v>
      </c>
      <c r="H203" s="48" t="str">
        <f t="array" ref="H203">XLOOKUP($D203,REGOLITOS!$A:$A,REGOLITOS!H:H)</f>
        <v>55 55 0000 0000</v>
      </c>
      <c r="I203" s="48" t="str">
        <f t="array" ref="I203">XLOOKUP($D203,REGOLITOS!$A:$A,REGOLITOS!I:I)</f>
        <v>usuario0@ejemplo.com</v>
      </c>
      <c r="J203" s="48" t="str">
        <f t="array" ref="J203">XLOOKUP($D203,REGOLITOS!$A:$A,REGOLITOS!J:J)</f>
        <v/>
      </c>
      <c r="K203" s="48" t="str">
        <f t="array" ref="K203">XLOOKUP($D203,REGOLITOS!$A:$A,REGOLITOS!K:K)</f>
        <v>Adulto</v>
      </c>
      <c r="L203" s="76" t="s">
        <v>1079</v>
      </c>
      <c r="M203" s="5" t="s">
        <v>1078</v>
      </c>
      <c r="N203" s="5" t="s">
        <v>1078</v>
      </c>
      <c r="O203" s="5" t="s">
        <v>1078</v>
      </c>
      <c r="P203" s="5" t="s">
        <v>1078</v>
      </c>
      <c r="Q203" s="5" t="s">
        <v>1078</v>
      </c>
      <c r="R203" s="5" t="s">
        <v>1078</v>
      </c>
      <c r="S203" s="5" t="s">
        <v>1078</v>
      </c>
      <c r="T203" s="5" t="s">
        <v>1080</v>
      </c>
      <c r="U203" s="5" t="s">
        <v>1078</v>
      </c>
      <c r="V203" s="5" t="s">
        <v>1080</v>
      </c>
      <c r="X203" s="71">
        <f t="shared" si="3"/>
        <v>8</v>
      </c>
      <c r="Y203" s="5" t="b">
        <v>1</v>
      </c>
    </row>
    <row r="204">
      <c r="A204" s="25" t="s">
        <v>61</v>
      </c>
      <c r="B204" s="25">
        <f t="array" ref="B204">XLOOKUP(A204, CURSOS!A:A, CURSOS!B:B)</f>
        <v>14</v>
      </c>
      <c r="C204" s="24" t="str">
        <f t="array" ref="C204">XLOOKUP(A204, CURSOS!A:A, CURSOS!C:C)</f>
        <v>GUARDIANES DE LA NOCHE</v>
      </c>
      <c r="D204" s="70" t="s">
        <v>94</v>
      </c>
      <c r="E204" s="48">
        <f t="array" ref="E204">XLOOKUP($D204,REGOLITOS!$A:$A,REGOLITOS!E:E)</f>
        <v>10</v>
      </c>
      <c r="F204" s="48" t="str">
        <f t="array" ref="F204">XLOOKUP($D204,REGOLITOS!$A:$A,REGOLITOS!F:F)</f>
        <v>Docente </v>
      </c>
      <c r="G204" s="48" t="str">
        <f t="array" ref="G204">XLOOKUP($D204,REGOLITOS!$A:$A,REGOLITOS!G:G)</f>
        <v>Estado de México</v>
      </c>
      <c r="H204" s="48" t="str">
        <f t="array" ref="H204">XLOOKUP($D204,REGOLITOS!$A:$A,REGOLITOS!H:H)</f>
        <v>55 55 0001 0001</v>
      </c>
      <c r="I204" s="48" t="str">
        <f t="array" ref="I204">XLOOKUP($D204,REGOLITOS!$A:$A,REGOLITOS!I:I)</f>
        <v>usuario1@ejemplo.com</v>
      </c>
      <c r="J204" s="48" t="str">
        <f t="array" ref="J204">XLOOKUP($D204,REGOLITOS!$A:$A,REGOLITOS!J:J)</f>
        <v>Tutor_001</v>
      </c>
      <c r="K204" s="48" t="str">
        <f t="array" ref="K204">XLOOKUP($D204,REGOLITOS!$A:$A,REGOLITOS!K:K)</f>
        <v>Infancia</v>
      </c>
      <c r="L204" s="76" t="s">
        <v>1079</v>
      </c>
      <c r="M204" s="5" t="s">
        <v>1078</v>
      </c>
      <c r="N204" s="5" t="s">
        <v>1078</v>
      </c>
      <c r="O204" s="5" t="s">
        <v>1080</v>
      </c>
      <c r="P204" s="5" t="s">
        <v>1078</v>
      </c>
      <c r="Q204" s="5" t="s">
        <v>1078</v>
      </c>
      <c r="R204" s="5" t="s">
        <v>1078</v>
      </c>
      <c r="S204" s="5" t="s">
        <v>1078</v>
      </c>
      <c r="T204" s="5" t="s">
        <v>1078</v>
      </c>
      <c r="U204" s="5" t="s">
        <v>1078</v>
      </c>
      <c r="V204" s="5" t="s">
        <v>1078</v>
      </c>
      <c r="X204" s="71">
        <f t="shared" si="3"/>
        <v>9</v>
      </c>
      <c r="Y204" s="5" t="b">
        <v>1</v>
      </c>
    </row>
    <row r="205">
      <c r="A205" s="25" t="s">
        <v>61</v>
      </c>
      <c r="B205" s="25">
        <f t="array" ref="B205">XLOOKUP(A205, CURSOS!A:A, CURSOS!B:B)</f>
        <v>14</v>
      </c>
      <c r="C205" s="24" t="str">
        <f t="array" ref="C205">XLOOKUP(A205, CURSOS!A:A, CURSOS!C:C)</f>
        <v>GUARDIANES DE LA NOCHE</v>
      </c>
      <c r="D205" s="70" t="s">
        <v>96</v>
      </c>
      <c r="E205" s="48">
        <f t="array" ref="E205">XLOOKUP($D205,REGOLITOS!$A:$A,REGOLITOS!E:E)</f>
        <v>90</v>
      </c>
      <c r="F205" s="48" t="str">
        <f t="array" ref="F205">XLOOKUP($D205,REGOLITOS!$A:$A,REGOLITOS!F:F)</f>
        <v>Docente </v>
      </c>
      <c r="G205" s="48" t="str">
        <f t="array" ref="G205">XLOOKUP($D205,REGOLITOS!$A:$A,REGOLITOS!G:G)</f>
        <v>Ciudad de México</v>
      </c>
      <c r="H205" s="48" t="str">
        <f t="array" ref="H205">XLOOKUP($D205,REGOLITOS!$A:$A,REGOLITOS!H:H)</f>
        <v>55 55 0002 0002</v>
      </c>
      <c r="I205" s="48" t="str">
        <f t="array" ref="I205">XLOOKUP($D205,REGOLITOS!$A:$A,REGOLITOS!I:I)</f>
        <v>usuario2@ejemplo.com</v>
      </c>
      <c r="J205" s="48" t="str">
        <f t="array" ref="J205">XLOOKUP($D205,REGOLITOS!$A:$A,REGOLITOS!J:J)</f>
        <v/>
      </c>
      <c r="K205" s="48" t="str">
        <f t="array" ref="K205">XLOOKUP($D205,REGOLITOS!$A:$A,REGOLITOS!K:K)</f>
        <v>Adulto Mayor</v>
      </c>
      <c r="L205" s="76" t="s">
        <v>1079</v>
      </c>
      <c r="M205" s="5" t="s">
        <v>1078</v>
      </c>
      <c r="N205" s="5" t="s">
        <v>1078</v>
      </c>
      <c r="O205" s="5" t="s">
        <v>1080</v>
      </c>
      <c r="P205" s="5" t="s">
        <v>1078</v>
      </c>
      <c r="Q205" s="5" t="s">
        <v>1080</v>
      </c>
      <c r="R205" s="5" t="s">
        <v>1080</v>
      </c>
      <c r="S205" s="5" t="s">
        <v>1078</v>
      </c>
      <c r="T205" s="5" t="s">
        <v>1080</v>
      </c>
      <c r="U205" s="5" t="s">
        <v>1078</v>
      </c>
      <c r="V205" s="5" t="s">
        <v>1080</v>
      </c>
      <c r="X205" s="71">
        <f t="shared" si="3"/>
        <v>5</v>
      </c>
      <c r="Y205" s="5" t="b">
        <v>1</v>
      </c>
    </row>
    <row r="206">
      <c r="A206" s="25" t="s">
        <v>61</v>
      </c>
      <c r="B206" s="25">
        <f t="array" ref="B206">XLOOKUP(A206, CURSOS!A:A, CURSOS!B:B)</f>
        <v>14</v>
      </c>
      <c r="C206" s="24" t="str">
        <f t="array" ref="C206">XLOOKUP(A206, CURSOS!A:A, CURSOS!C:C)</f>
        <v>GUARDIANES DE LA NOCHE</v>
      </c>
      <c r="D206" s="70" t="s">
        <v>105</v>
      </c>
      <c r="E206" s="48">
        <f t="array" ref="E206">XLOOKUP($D206,REGOLITOS!$A:$A,REGOLITOS!E:E)</f>
        <v>32</v>
      </c>
      <c r="F206" s="48" t="str">
        <f t="array" ref="F206">XLOOKUP($D206,REGOLITOS!$A:$A,REGOLITOS!F:F)</f>
        <v>Maestra</v>
      </c>
      <c r="G206" s="48" t="str">
        <f t="array" ref="G206">XLOOKUP($D206,REGOLITOS!$A:$A,REGOLITOS!G:G)</f>
        <v>Quintana Roo</v>
      </c>
      <c r="H206" s="48" t="str">
        <f t="array" ref="H206">XLOOKUP($D206,REGOLITOS!$A:$A,REGOLITOS!H:H)</f>
        <v>55 55 0006 0006</v>
      </c>
      <c r="I206" s="48" t="str">
        <f t="array" ref="I206">XLOOKUP($D206,REGOLITOS!$A:$A,REGOLITOS!I:I)</f>
        <v>usuario6@ejemplo.com</v>
      </c>
      <c r="J206" s="48" t="str">
        <f t="array" ref="J206">XLOOKUP($D206,REGOLITOS!$A:$A,REGOLITOS!J:J)</f>
        <v/>
      </c>
      <c r="K206" s="48" t="str">
        <f t="array" ref="K206">XLOOKUP($D206,REGOLITOS!$A:$A,REGOLITOS!K:K)</f>
        <v>Adulto</v>
      </c>
      <c r="L206" s="76" t="s">
        <v>1079</v>
      </c>
      <c r="M206" s="5" t="s">
        <v>1078</v>
      </c>
      <c r="N206" s="5" t="s">
        <v>1080</v>
      </c>
      <c r="O206" s="5" t="s">
        <v>1078</v>
      </c>
      <c r="P206" s="5" t="s">
        <v>1078</v>
      </c>
      <c r="Q206" s="5" t="s">
        <v>1080</v>
      </c>
      <c r="R206" s="5" t="s">
        <v>1078</v>
      </c>
      <c r="S206" s="5" t="s">
        <v>1080</v>
      </c>
      <c r="T206" s="5" t="s">
        <v>1080</v>
      </c>
      <c r="U206" s="5" t="s">
        <v>1080</v>
      </c>
      <c r="V206" s="5" t="s">
        <v>1080</v>
      </c>
      <c r="X206" s="71">
        <f t="shared" si="3"/>
        <v>4</v>
      </c>
      <c r="Y206" s="5" t="b">
        <v>1</v>
      </c>
    </row>
    <row r="207">
      <c r="A207" s="25" t="s">
        <v>61</v>
      </c>
      <c r="B207" s="25">
        <f t="array" ref="B207">XLOOKUP(A207, CURSOS!A:A, CURSOS!B:B)</f>
        <v>14</v>
      </c>
      <c r="C207" s="24" t="str">
        <f t="array" ref="C207">XLOOKUP(A207, CURSOS!A:A, CURSOS!C:C)</f>
        <v>GUARDIANES DE LA NOCHE</v>
      </c>
      <c r="D207" s="70" t="s">
        <v>125</v>
      </c>
      <c r="E207" s="48">
        <f t="array" ref="E207">XLOOKUP($D207,REGOLITOS!$A:$A,REGOLITOS!E:E)</f>
        <v>91</v>
      </c>
      <c r="F207" s="48" t="str">
        <f t="array" ref="F207">XLOOKUP($D207,REGOLITOS!$A:$A,REGOLITOS!F:F)</f>
        <v>Estudiante </v>
      </c>
      <c r="G207" s="48" t="str">
        <f t="array" ref="G207">XLOOKUP($D207,REGOLITOS!$A:$A,REGOLITOS!G:G)</f>
        <v>Jalisco</v>
      </c>
      <c r="H207" s="48" t="str">
        <f t="array" ref="H207">XLOOKUP($D207,REGOLITOS!$A:$A,REGOLITOS!H:H)</f>
        <v>55 55 0017 0017</v>
      </c>
      <c r="I207" s="48" t="str">
        <f t="array" ref="I207">XLOOKUP($D207,REGOLITOS!$A:$A,REGOLITOS!I:I)</f>
        <v>usuario17@ejemplo.com</v>
      </c>
      <c r="J207" s="48" t="str">
        <f t="array" ref="J207">XLOOKUP($D207,REGOLITOS!$A:$A,REGOLITOS!J:J)</f>
        <v/>
      </c>
      <c r="K207" s="48" t="str">
        <f t="array" ref="K207">XLOOKUP($D207,REGOLITOS!$A:$A,REGOLITOS!K:K)</f>
        <v>Adulto Mayor</v>
      </c>
      <c r="L207" s="76" t="s">
        <v>1079</v>
      </c>
      <c r="M207" s="5" t="s">
        <v>1078</v>
      </c>
      <c r="N207" s="5" t="s">
        <v>1078</v>
      </c>
      <c r="O207" s="5" t="s">
        <v>1080</v>
      </c>
      <c r="P207" s="5" t="s">
        <v>1080</v>
      </c>
      <c r="Q207" s="5" t="s">
        <v>1078</v>
      </c>
      <c r="R207" s="5" t="s">
        <v>1078</v>
      </c>
      <c r="S207" s="5" t="s">
        <v>1080</v>
      </c>
      <c r="T207" s="5" t="s">
        <v>1080</v>
      </c>
      <c r="U207" s="5" t="s">
        <v>1078</v>
      </c>
      <c r="V207" s="5" t="s">
        <v>1080</v>
      </c>
      <c r="X207" s="71">
        <f t="shared" si="3"/>
        <v>5</v>
      </c>
      <c r="Y207" s="5" t="b">
        <v>1</v>
      </c>
    </row>
    <row r="208">
      <c r="A208" s="25" t="s">
        <v>61</v>
      </c>
      <c r="B208" s="25">
        <f t="array" ref="B208">XLOOKUP(A208, CURSOS!A:A, CURSOS!B:B)</f>
        <v>14</v>
      </c>
      <c r="C208" s="24" t="str">
        <f t="array" ref="C208">XLOOKUP(A208, CURSOS!A:A, CURSOS!C:C)</f>
        <v>GUARDIANES DE LA NOCHE</v>
      </c>
      <c r="D208" s="70" t="s">
        <v>127</v>
      </c>
      <c r="E208" s="48">
        <f t="array" ref="E208">XLOOKUP($D208,REGOLITOS!$A:$A,REGOLITOS!E:E)</f>
        <v>91</v>
      </c>
      <c r="F208" s="48" t="str">
        <f t="array" ref="F208">XLOOKUP($D208,REGOLITOS!$A:$A,REGOLITOS!F:F)</f>
        <v>Empleada </v>
      </c>
      <c r="G208" s="48" t="str">
        <f t="array" ref="G208">XLOOKUP($D208,REGOLITOS!$A:$A,REGOLITOS!G:G)</f>
        <v>Ciudad de México</v>
      </c>
      <c r="H208" s="48" t="str">
        <f t="array" ref="H208">XLOOKUP($D208,REGOLITOS!$A:$A,REGOLITOS!H:H)</f>
        <v>55 55 0018 0018</v>
      </c>
      <c r="I208" s="48" t="str">
        <f t="array" ref="I208">XLOOKUP($D208,REGOLITOS!$A:$A,REGOLITOS!I:I)</f>
        <v>usuario18@ejemplo.com</v>
      </c>
      <c r="J208" s="48" t="str">
        <f t="array" ref="J208">XLOOKUP($D208,REGOLITOS!$A:$A,REGOLITOS!J:J)</f>
        <v/>
      </c>
      <c r="K208" s="48" t="str">
        <f t="array" ref="K208">XLOOKUP($D208,REGOLITOS!$A:$A,REGOLITOS!K:K)</f>
        <v>Adulto Mayor</v>
      </c>
      <c r="L208" s="76" t="s">
        <v>1079</v>
      </c>
      <c r="M208" s="5" t="s">
        <v>1078</v>
      </c>
      <c r="N208" s="5" t="s">
        <v>1078</v>
      </c>
      <c r="O208" s="5" t="s">
        <v>1080</v>
      </c>
      <c r="P208" s="5" t="s">
        <v>1078</v>
      </c>
      <c r="Q208" s="5" t="s">
        <v>1078</v>
      </c>
      <c r="R208" s="5" t="s">
        <v>1078</v>
      </c>
      <c r="S208" s="5" t="s">
        <v>1078</v>
      </c>
      <c r="T208" s="5" t="s">
        <v>1080</v>
      </c>
      <c r="U208" s="5" t="s">
        <v>1080</v>
      </c>
      <c r="V208" s="5" t="s">
        <v>1080</v>
      </c>
      <c r="X208" s="71">
        <f t="shared" si="3"/>
        <v>6</v>
      </c>
      <c r="Y208" s="5" t="b">
        <v>1</v>
      </c>
    </row>
    <row r="209">
      <c r="A209" s="25" t="s">
        <v>61</v>
      </c>
      <c r="B209" s="25">
        <f t="array" ref="B209">XLOOKUP(A209, CURSOS!A:A, CURSOS!B:B)</f>
        <v>14</v>
      </c>
      <c r="C209" s="24" t="str">
        <f t="array" ref="C209">XLOOKUP(A209, CURSOS!A:A, CURSOS!C:C)</f>
        <v>GUARDIANES DE LA NOCHE</v>
      </c>
      <c r="D209" s="70" t="s">
        <v>130</v>
      </c>
      <c r="E209" s="48">
        <f t="array" ref="E209">XLOOKUP($D209,REGOLITOS!$A:$A,REGOLITOS!E:E)</f>
        <v>84</v>
      </c>
      <c r="F209" s="48" t="str">
        <f t="array" ref="F209">XLOOKUP($D209,REGOLITOS!$A:$A,REGOLITOS!F:F)</f>
        <v>Estudiante</v>
      </c>
      <c r="G209" s="48" t="str">
        <f t="array" ref="G209">XLOOKUP($D209,REGOLITOS!$A:$A,REGOLITOS!G:G)</f>
        <v>Querétaro</v>
      </c>
      <c r="H209" s="48" t="str">
        <f t="array" ref="H209">XLOOKUP($D209,REGOLITOS!$A:$A,REGOLITOS!H:H)</f>
        <v>55 55 0020 0020</v>
      </c>
      <c r="I209" s="48" t="str">
        <f t="array" ref="I209">XLOOKUP($D209,REGOLITOS!$A:$A,REGOLITOS!I:I)</f>
        <v>usuario20@ejemplo.com</v>
      </c>
      <c r="J209" s="48" t="str">
        <f t="array" ref="J209">XLOOKUP($D209,REGOLITOS!$A:$A,REGOLITOS!J:J)</f>
        <v/>
      </c>
      <c r="K209" s="48" t="str">
        <f t="array" ref="K209">XLOOKUP($D209,REGOLITOS!$A:$A,REGOLITOS!K:K)</f>
        <v>Adulto Mayor</v>
      </c>
      <c r="L209" s="76" t="s">
        <v>1079</v>
      </c>
      <c r="M209" s="5" t="s">
        <v>1078</v>
      </c>
      <c r="N209" s="5" t="s">
        <v>1078</v>
      </c>
      <c r="O209" s="5" t="s">
        <v>1078</v>
      </c>
      <c r="P209" s="5" t="s">
        <v>1078</v>
      </c>
      <c r="Q209" s="5" t="s">
        <v>1078</v>
      </c>
      <c r="R209" s="5" t="s">
        <v>1080</v>
      </c>
      <c r="S209" s="5" t="s">
        <v>1080</v>
      </c>
      <c r="T209" s="5" t="s">
        <v>1080</v>
      </c>
      <c r="U209" s="5" t="s">
        <v>1078</v>
      </c>
      <c r="V209" s="5" t="s">
        <v>1080</v>
      </c>
      <c r="X209" s="71">
        <f t="shared" si="3"/>
        <v>6</v>
      </c>
      <c r="Y209" s="5" t="b">
        <v>1</v>
      </c>
    </row>
    <row r="210">
      <c r="A210" s="25" t="s">
        <v>61</v>
      </c>
      <c r="B210" s="25">
        <f t="array" ref="B210">XLOOKUP(A210, CURSOS!A:A, CURSOS!B:B)</f>
        <v>14</v>
      </c>
      <c r="C210" s="24" t="str">
        <f t="array" ref="C210">XLOOKUP(A210, CURSOS!A:A, CURSOS!C:C)</f>
        <v>GUARDIANES DE LA NOCHE</v>
      </c>
      <c r="D210" s="70" t="s">
        <v>134</v>
      </c>
      <c r="E210" s="48">
        <f t="array" ref="E210">XLOOKUP($D210,REGOLITOS!$A:$A,REGOLITOS!E:E)</f>
        <v>9</v>
      </c>
      <c r="F210" s="48" t="str">
        <f t="array" ref="F210">XLOOKUP($D210,REGOLITOS!$A:$A,REGOLITOS!F:F)</f>
        <v>Bióloga</v>
      </c>
      <c r="G210" s="48" t="str">
        <f t="array" ref="G210">XLOOKUP($D210,REGOLITOS!$A:$A,REGOLITOS!G:G)</f>
        <v>Guerrero</v>
      </c>
      <c r="H210" s="48" t="str">
        <f t="array" ref="H210">XLOOKUP($D210,REGOLITOS!$A:$A,REGOLITOS!H:H)</f>
        <v>55 55 0022 0022</v>
      </c>
      <c r="I210" s="48" t="str">
        <f t="array" ref="I210">XLOOKUP($D210,REGOLITOS!$A:$A,REGOLITOS!I:I)</f>
        <v>usuario22@ejemplo.com</v>
      </c>
      <c r="J210" s="48" t="str">
        <f t="array" ref="J210">XLOOKUP($D210,REGOLITOS!$A:$A,REGOLITOS!J:J)</f>
        <v>Tutor_022</v>
      </c>
      <c r="K210" s="48" t="str">
        <f t="array" ref="K210">XLOOKUP($D210,REGOLITOS!$A:$A,REGOLITOS!K:K)</f>
        <v>Infancia</v>
      </c>
      <c r="L210" s="76" t="s">
        <v>1079</v>
      </c>
      <c r="M210" s="5" t="s">
        <v>1078</v>
      </c>
      <c r="N210" s="5" t="s">
        <v>1080</v>
      </c>
      <c r="O210" s="5" t="s">
        <v>1078</v>
      </c>
      <c r="P210" s="5" t="s">
        <v>1080</v>
      </c>
      <c r="Q210" s="5" t="s">
        <v>1078</v>
      </c>
      <c r="R210" s="5" t="s">
        <v>1078</v>
      </c>
      <c r="S210" s="5" t="s">
        <v>1078</v>
      </c>
      <c r="T210" s="5" t="s">
        <v>1080</v>
      </c>
      <c r="U210" s="5" t="s">
        <v>1078</v>
      </c>
      <c r="V210" s="5" t="s">
        <v>1078</v>
      </c>
      <c r="X210" s="71">
        <f t="shared" si="3"/>
        <v>7</v>
      </c>
      <c r="Y210" s="5" t="b">
        <v>1</v>
      </c>
    </row>
    <row r="211">
      <c r="A211" s="25" t="s">
        <v>61</v>
      </c>
      <c r="B211" s="25">
        <f t="array" ref="B211">XLOOKUP(A211, CURSOS!A:A, CURSOS!B:B)</f>
        <v>14</v>
      </c>
      <c r="C211" s="24" t="str">
        <f t="array" ref="C211">XLOOKUP(A211, CURSOS!A:A, CURSOS!C:C)</f>
        <v>GUARDIANES DE LA NOCHE</v>
      </c>
      <c r="D211" s="70" t="s">
        <v>144</v>
      </c>
      <c r="E211" s="48">
        <f t="array" ref="E211">XLOOKUP($D211,REGOLITOS!$A:$A,REGOLITOS!E:E)</f>
        <v>18</v>
      </c>
      <c r="F211" s="48" t="str">
        <f t="array" ref="F211">XLOOKUP($D211,REGOLITOS!$A:$A,REGOLITOS!F:F)</f>
        <v>Estudiante </v>
      </c>
      <c r="G211" s="48" t="str">
        <f t="array" ref="G211">XLOOKUP($D211,REGOLITOS!$A:$A,REGOLITOS!G:G)</f>
        <v>Ecuador</v>
      </c>
      <c r="H211" s="48" t="str">
        <f t="array" ref="H211">XLOOKUP($D211,REGOLITOS!$A:$A,REGOLITOS!H:H)</f>
        <v>55 55 0026 0026</v>
      </c>
      <c r="I211" s="48" t="str">
        <f t="array" ref="I211">XLOOKUP($D211,REGOLITOS!$A:$A,REGOLITOS!I:I)</f>
        <v>usuario26@ejemplo.com</v>
      </c>
      <c r="J211" s="48" t="str">
        <f t="array" ref="J211">XLOOKUP($D211,REGOLITOS!$A:$A,REGOLITOS!J:J)</f>
        <v>Tutor_026</v>
      </c>
      <c r="K211" s="48" t="str">
        <f t="array" ref="K211">XLOOKUP($D211,REGOLITOS!$A:$A,REGOLITOS!K:K)</f>
        <v>Jóven adulto</v>
      </c>
      <c r="L211" s="76" t="s">
        <v>1079</v>
      </c>
      <c r="M211" s="5" t="s">
        <v>1078</v>
      </c>
      <c r="N211" s="5" t="s">
        <v>1078</v>
      </c>
      <c r="O211" s="5" t="s">
        <v>1078</v>
      </c>
      <c r="P211" s="5" t="s">
        <v>1080</v>
      </c>
      <c r="Q211" s="5" t="s">
        <v>1078</v>
      </c>
      <c r="R211" s="5" t="s">
        <v>1080</v>
      </c>
      <c r="S211" s="5" t="s">
        <v>1080</v>
      </c>
      <c r="T211" s="5" t="s">
        <v>1080</v>
      </c>
      <c r="U211" s="5" t="s">
        <v>1078</v>
      </c>
      <c r="V211" s="5" t="s">
        <v>1080</v>
      </c>
      <c r="X211" s="71">
        <f t="shared" si="3"/>
        <v>5</v>
      </c>
      <c r="Y211" s="5" t="b">
        <v>1</v>
      </c>
    </row>
    <row r="212">
      <c r="A212" s="25" t="s">
        <v>61</v>
      </c>
      <c r="B212" s="25">
        <f t="array" ref="B212">XLOOKUP(A212, CURSOS!A:A, CURSOS!B:B)</f>
        <v>14</v>
      </c>
      <c r="C212" s="24" t="str">
        <f t="array" ref="C212">XLOOKUP(A212, CURSOS!A:A, CURSOS!C:C)</f>
        <v>GUARDIANES DE LA NOCHE</v>
      </c>
      <c r="D212" s="70" t="s">
        <v>147</v>
      </c>
      <c r="E212" s="48">
        <f t="array" ref="E212">XLOOKUP($D212,REGOLITOS!$A:$A,REGOLITOS!E:E)</f>
        <v>15</v>
      </c>
      <c r="F212" s="48" t="str">
        <f t="array" ref="F212">XLOOKUP($D212,REGOLITOS!$A:$A,REGOLITOS!F:F)</f>
        <v>Ingeniería Civil</v>
      </c>
      <c r="G212" s="48" t="str">
        <f t="array" ref="G212">XLOOKUP($D212,REGOLITOS!$A:$A,REGOLITOS!G:G)</f>
        <v>Ciudad de México</v>
      </c>
      <c r="H212" s="48" t="str">
        <f t="array" ref="H212">XLOOKUP($D212,REGOLITOS!$A:$A,REGOLITOS!H:H)</f>
        <v>55 55 0028 0028</v>
      </c>
      <c r="I212" s="48" t="str">
        <f t="array" ref="I212">XLOOKUP($D212,REGOLITOS!$A:$A,REGOLITOS!I:I)</f>
        <v>usuario28@ejemplo.com</v>
      </c>
      <c r="J212" s="48" t="str">
        <f t="array" ref="J212">XLOOKUP($D212,REGOLITOS!$A:$A,REGOLITOS!J:J)</f>
        <v>Tutor_028</v>
      </c>
      <c r="K212" s="48" t="str">
        <f t="array" ref="K212">XLOOKUP($D212,REGOLITOS!$A:$A,REGOLITOS!K:K)</f>
        <v>Adolescente</v>
      </c>
      <c r="L212" s="76" t="s">
        <v>1079</v>
      </c>
      <c r="M212" s="5" t="s">
        <v>1080</v>
      </c>
      <c r="N212" s="5" t="s">
        <v>1080</v>
      </c>
      <c r="O212" s="5" t="s">
        <v>1078</v>
      </c>
      <c r="P212" s="5" t="s">
        <v>1078</v>
      </c>
      <c r="Q212" s="5" t="s">
        <v>1078</v>
      </c>
      <c r="R212" s="5" t="s">
        <v>1080</v>
      </c>
      <c r="S212" s="5" t="s">
        <v>1080</v>
      </c>
      <c r="T212" s="5" t="s">
        <v>1080</v>
      </c>
      <c r="U212" s="5" t="s">
        <v>1078</v>
      </c>
      <c r="V212" s="5" t="s">
        <v>1078</v>
      </c>
      <c r="X212" s="71">
        <f t="shared" si="3"/>
        <v>5</v>
      </c>
      <c r="Y212" s="5" t="b">
        <v>1</v>
      </c>
    </row>
    <row r="213">
      <c r="A213" s="25" t="s">
        <v>61</v>
      </c>
      <c r="B213" s="25">
        <f t="array" ref="B213">XLOOKUP(A213, CURSOS!A:A, CURSOS!B:B)</f>
        <v>14</v>
      </c>
      <c r="C213" s="24" t="str">
        <f t="array" ref="C213">XLOOKUP(A213, CURSOS!A:A, CURSOS!C:C)</f>
        <v>GUARDIANES DE LA NOCHE</v>
      </c>
      <c r="D213" s="70" t="s">
        <v>154</v>
      </c>
      <c r="E213" s="48">
        <f t="array" ref="E213">XLOOKUP($D213,REGOLITOS!$A:$A,REGOLITOS!E:E)</f>
        <v>31</v>
      </c>
      <c r="F213" s="48" t="str">
        <f t="array" ref="F213">XLOOKUP($D213,REGOLITOS!$A:$A,REGOLITOS!F:F)</f>
        <v>Estudiante</v>
      </c>
      <c r="G213" s="48" t="str">
        <f t="array" ref="G213">XLOOKUP($D213,REGOLITOS!$A:$A,REGOLITOS!G:G)</f>
        <v>Ciudad de México</v>
      </c>
      <c r="H213" s="48" t="str">
        <f t="array" ref="H213">XLOOKUP($D213,REGOLITOS!$A:$A,REGOLITOS!H:H)</f>
        <v>55 55 0032 0032</v>
      </c>
      <c r="I213" s="48" t="str">
        <f t="array" ref="I213">XLOOKUP($D213,REGOLITOS!$A:$A,REGOLITOS!I:I)</f>
        <v>usuario32@ejemplo.com</v>
      </c>
      <c r="J213" s="48" t="str">
        <f t="array" ref="J213">XLOOKUP($D213,REGOLITOS!$A:$A,REGOLITOS!J:J)</f>
        <v/>
      </c>
      <c r="K213" s="48" t="str">
        <f t="array" ref="K213">XLOOKUP($D213,REGOLITOS!$A:$A,REGOLITOS!K:K)</f>
        <v>Adulto</v>
      </c>
      <c r="L213" s="76" t="s">
        <v>1079</v>
      </c>
      <c r="M213" s="5" t="s">
        <v>1078</v>
      </c>
      <c r="N213" s="5" t="s">
        <v>1080</v>
      </c>
      <c r="O213" s="5" t="s">
        <v>1078</v>
      </c>
      <c r="P213" s="5" t="s">
        <v>1078</v>
      </c>
      <c r="Q213" s="5" t="s">
        <v>1080</v>
      </c>
      <c r="R213" s="5" t="s">
        <v>1080</v>
      </c>
      <c r="S213" s="5" t="s">
        <v>1080</v>
      </c>
      <c r="T213" s="5" t="s">
        <v>1080</v>
      </c>
      <c r="U213" s="5" t="s">
        <v>1078</v>
      </c>
      <c r="V213" s="5" t="s">
        <v>1078</v>
      </c>
      <c r="X213" s="71">
        <f t="shared" si="3"/>
        <v>5</v>
      </c>
      <c r="Y213" s="5" t="b">
        <v>1</v>
      </c>
    </row>
    <row r="214">
      <c r="A214" s="25" t="s">
        <v>61</v>
      </c>
      <c r="B214" s="25">
        <f t="array" ref="B214">XLOOKUP(A214, CURSOS!A:A, CURSOS!B:B)</f>
        <v>14</v>
      </c>
      <c r="C214" s="24" t="str">
        <f t="array" ref="C214">XLOOKUP(A214, CURSOS!A:A, CURSOS!C:C)</f>
        <v>GUARDIANES DE LA NOCHE</v>
      </c>
      <c r="D214" s="70" t="s">
        <v>159</v>
      </c>
      <c r="E214" s="48">
        <f t="array" ref="E214">XLOOKUP($D214,REGOLITOS!$A:$A,REGOLITOS!E:E)</f>
        <v>92</v>
      </c>
      <c r="F214" s="48" t="str">
        <f t="array" ref="F214">XLOOKUP($D214,REGOLITOS!$A:$A,REGOLITOS!F:F)</f>
        <v>Estudiante </v>
      </c>
      <c r="G214" s="48" t="str">
        <f t="array" ref="G214">XLOOKUP($D214,REGOLITOS!$A:$A,REGOLITOS!G:G)</f>
        <v>Estado de México</v>
      </c>
      <c r="H214" s="48" t="str">
        <f t="array" ref="H214">XLOOKUP($D214,REGOLITOS!$A:$A,REGOLITOS!H:H)</f>
        <v>55 55 0037 0037</v>
      </c>
      <c r="I214" s="48" t="str">
        <f t="array" ref="I214">XLOOKUP($D214,REGOLITOS!$A:$A,REGOLITOS!I:I)</f>
        <v>usuario37@ejemplo.com</v>
      </c>
      <c r="J214" s="48" t="str">
        <f t="array" ref="J214">XLOOKUP($D214,REGOLITOS!$A:$A,REGOLITOS!J:J)</f>
        <v/>
      </c>
      <c r="K214" s="48" t="str">
        <f t="array" ref="K214">XLOOKUP($D214,REGOLITOS!$A:$A,REGOLITOS!K:K)</f>
        <v>Adulto Mayor</v>
      </c>
      <c r="L214" s="76" t="s">
        <v>1079</v>
      </c>
      <c r="M214" s="5" t="s">
        <v>1078</v>
      </c>
      <c r="N214" s="5" t="s">
        <v>1080</v>
      </c>
      <c r="O214" s="5" t="s">
        <v>1078</v>
      </c>
      <c r="P214" s="5" t="s">
        <v>1078</v>
      </c>
      <c r="Q214" s="5" t="s">
        <v>1080</v>
      </c>
      <c r="R214" s="5" t="s">
        <v>1080</v>
      </c>
      <c r="S214" s="5" t="s">
        <v>1078</v>
      </c>
      <c r="T214" s="5" t="s">
        <v>1080</v>
      </c>
      <c r="U214" s="5" t="s">
        <v>1080</v>
      </c>
      <c r="V214" s="5" t="s">
        <v>1080</v>
      </c>
      <c r="X214" s="71">
        <f t="shared" si="3"/>
        <v>4</v>
      </c>
      <c r="Y214" s="5" t="b">
        <v>1</v>
      </c>
    </row>
    <row r="215">
      <c r="A215" s="25" t="s">
        <v>61</v>
      </c>
      <c r="B215" s="25">
        <f t="array" ref="B215">XLOOKUP(A215, CURSOS!A:A, CURSOS!B:B)</f>
        <v>14</v>
      </c>
      <c r="C215" s="24" t="str">
        <f t="array" ref="C215">XLOOKUP(A215, CURSOS!A:A, CURSOS!C:C)</f>
        <v>GUARDIANES DE LA NOCHE</v>
      </c>
      <c r="D215" s="70" t="s">
        <v>168</v>
      </c>
      <c r="E215" s="48">
        <f t="array" ref="E215">XLOOKUP($D215,REGOLITOS!$A:$A,REGOLITOS!E:E)</f>
        <v>28</v>
      </c>
      <c r="F215" s="48" t="str">
        <f t="array" ref="F215">XLOOKUP($D215,REGOLITOS!$A:$A,REGOLITOS!F:F)</f>
        <v>Estudiante</v>
      </c>
      <c r="G215" s="48" t="str">
        <f t="array" ref="G215">XLOOKUP($D215,REGOLITOS!$A:$A,REGOLITOS!G:G)</f>
        <v>Morelos</v>
      </c>
      <c r="H215" s="48" t="str">
        <f t="array" ref="H215">XLOOKUP($D215,REGOLITOS!$A:$A,REGOLITOS!H:H)</f>
        <v>55 55 0042 0042</v>
      </c>
      <c r="I215" s="48" t="str">
        <f t="array" ref="I215">XLOOKUP($D215,REGOLITOS!$A:$A,REGOLITOS!I:I)</f>
        <v>usuario42@ejemplo.com</v>
      </c>
      <c r="J215" s="48" t="str">
        <f t="array" ref="J215">XLOOKUP($D215,REGOLITOS!$A:$A,REGOLITOS!J:J)</f>
        <v/>
      </c>
      <c r="K215" s="48" t="str">
        <f t="array" ref="K215">XLOOKUP($D215,REGOLITOS!$A:$A,REGOLITOS!K:K)</f>
        <v>Jóven adulto</v>
      </c>
      <c r="L215" s="76" t="s">
        <v>1079</v>
      </c>
      <c r="M215" s="5" t="s">
        <v>1080</v>
      </c>
      <c r="N215" s="5" t="s">
        <v>1078</v>
      </c>
      <c r="O215" s="5" t="s">
        <v>1078</v>
      </c>
      <c r="P215" s="5" t="s">
        <v>1080</v>
      </c>
      <c r="Q215" s="5" t="s">
        <v>1078</v>
      </c>
      <c r="R215" s="5" t="s">
        <v>1080</v>
      </c>
      <c r="S215" s="5" t="s">
        <v>1078</v>
      </c>
      <c r="T215" s="5" t="s">
        <v>1078</v>
      </c>
      <c r="U215" s="5" t="s">
        <v>1080</v>
      </c>
      <c r="V215" s="5" t="s">
        <v>1078</v>
      </c>
      <c r="X215" s="71">
        <f t="shared" si="3"/>
        <v>6</v>
      </c>
      <c r="Y215" s="5" t="b">
        <v>1</v>
      </c>
    </row>
    <row r="216">
      <c r="A216" s="25" t="s">
        <v>61</v>
      </c>
      <c r="B216" s="25">
        <f t="array" ref="B216">XLOOKUP(A216, CURSOS!A:A, CURSOS!B:B)</f>
        <v>14</v>
      </c>
      <c r="C216" s="24" t="str">
        <f t="array" ref="C216">XLOOKUP(A216, CURSOS!A:A, CURSOS!C:C)</f>
        <v>GUARDIANES DE LA NOCHE</v>
      </c>
      <c r="D216" s="70" t="s">
        <v>172</v>
      </c>
      <c r="E216" s="48">
        <f t="array" ref="E216">XLOOKUP($D216,REGOLITOS!$A:$A,REGOLITOS!E:E)</f>
        <v>51</v>
      </c>
      <c r="F216" s="48" t="str">
        <f t="array" ref="F216">XLOOKUP($D216,REGOLITOS!$A:$A,REGOLITOS!F:F)</f>
        <v>Odontóloga</v>
      </c>
      <c r="G216" s="48" t="str">
        <f t="array" ref="G216">XLOOKUP($D216,REGOLITOS!$A:$A,REGOLITOS!G:G)</f>
        <v>Estado de México</v>
      </c>
      <c r="H216" s="48" t="str">
        <f t="array" ref="H216">XLOOKUP($D216,REGOLITOS!$A:$A,REGOLITOS!H:H)</f>
        <v>55 55 0044 0044</v>
      </c>
      <c r="I216" s="48" t="str">
        <f t="array" ref="I216">XLOOKUP($D216,REGOLITOS!$A:$A,REGOLITOS!I:I)</f>
        <v>usuario44@ejemplo.com</v>
      </c>
      <c r="J216" s="48" t="str">
        <f t="array" ref="J216">XLOOKUP($D216,REGOLITOS!$A:$A,REGOLITOS!J:J)</f>
        <v/>
      </c>
      <c r="K216" s="48" t="str">
        <f t="array" ref="K216">XLOOKUP($D216,REGOLITOS!$A:$A,REGOLITOS!K:K)</f>
        <v>Adulto</v>
      </c>
      <c r="L216" s="76" t="s">
        <v>1079</v>
      </c>
      <c r="M216" s="5" t="s">
        <v>1078</v>
      </c>
      <c r="N216" s="5" t="s">
        <v>1078</v>
      </c>
      <c r="O216" s="5" t="s">
        <v>1078</v>
      </c>
      <c r="P216" s="5" t="s">
        <v>1078</v>
      </c>
      <c r="Q216" s="5" t="s">
        <v>1080</v>
      </c>
      <c r="R216" s="5" t="s">
        <v>1080</v>
      </c>
      <c r="S216" s="5" t="s">
        <v>1080</v>
      </c>
      <c r="T216" s="5" t="s">
        <v>1080</v>
      </c>
      <c r="U216" s="5" t="s">
        <v>1080</v>
      </c>
      <c r="V216" s="5" t="s">
        <v>1080</v>
      </c>
      <c r="X216" s="71">
        <f t="shared" si="3"/>
        <v>4</v>
      </c>
      <c r="Y216" s="5" t="b">
        <v>1</v>
      </c>
    </row>
    <row r="217">
      <c r="A217" s="25" t="s">
        <v>61</v>
      </c>
      <c r="B217" s="25">
        <f t="array" ref="B217">XLOOKUP(A217, CURSOS!A:A, CURSOS!B:B)</f>
        <v>14</v>
      </c>
      <c r="C217" s="24" t="str">
        <f t="array" ref="C217">XLOOKUP(A217, CURSOS!A:A, CURSOS!C:C)</f>
        <v>GUARDIANES DE LA NOCHE</v>
      </c>
      <c r="D217" s="70" t="s">
        <v>175</v>
      </c>
      <c r="E217" s="48">
        <f t="array" ref="E217">XLOOKUP($D217,REGOLITOS!$A:$A,REGOLITOS!E:E)</f>
        <v>37</v>
      </c>
      <c r="F217" s="48" t="str">
        <f t="array" ref="F217">XLOOKUP($D217,REGOLITOS!$A:$A,REGOLITOS!F:F)</f>
        <v>Empelado</v>
      </c>
      <c r="G217" s="48" t="str">
        <f t="array" ref="G217">XLOOKUP($D217,REGOLITOS!$A:$A,REGOLITOS!G:G)</f>
        <v>Campeche</v>
      </c>
      <c r="H217" s="48" t="str">
        <f t="array" ref="H217">XLOOKUP($D217,REGOLITOS!$A:$A,REGOLITOS!H:H)</f>
        <v>55 55 0046 0046</v>
      </c>
      <c r="I217" s="48" t="str">
        <f t="array" ref="I217">XLOOKUP($D217,REGOLITOS!$A:$A,REGOLITOS!I:I)</f>
        <v>usuario46@ejemplo.com</v>
      </c>
      <c r="J217" s="48" t="str">
        <f t="array" ref="J217">XLOOKUP($D217,REGOLITOS!$A:$A,REGOLITOS!J:J)</f>
        <v/>
      </c>
      <c r="K217" s="48" t="str">
        <f t="array" ref="K217">XLOOKUP($D217,REGOLITOS!$A:$A,REGOLITOS!K:K)</f>
        <v>Adulto</v>
      </c>
      <c r="L217" s="76" t="s">
        <v>1079</v>
      </c>
      <c r="M217" s="5" t="s">
        <v>1078</v>
      </c>
      <c r="N217" s="5" t="s">
        <v>1078</v>
      </c>
      <c r="O217" s="5" t="s">
        <v>1078</v>
      </c>
      <c r="P217" s="5" t="s">
        <v>1078</v>
      </c>
      <c r="Q217" s="5" t="s">
        <v>1078</v>
      </c>
      <c r="R217" s="5" t="s">
        <v>1078</v>
      </c>
      <c r="S217" s="5" t="s">
        <v>1078</v>
      </c>
      <c r="T217" s="5" t="s">
        <v>1080</v>
      </c>
      <c r="U217" s="5" t="s">
        <v>1078</v>
      </c>
      <c r="V217" s="5" t="s">
        <v>1078</v>
      </c>
      <c r="X217" s="71">
        <f t="shared" si="3"/>
        <v>9</v>
      </c>
      <c r="Y217" s="5" t="b">
        <v>1</v>
      </c>
    </row>
    <row r="218">
      <c r="A218" s="25" t="s">
        <v>61</v>
      </c>
      <c r="B218" s="25">
        <f t="array" ref="B218">XLOOKUP(A218, CURSOS!A:A, CURSOS!B:B)</f>
        <v>14</v>
      </c>
      <c r="C218" s="24" t="str">
        <f t="array" ref="C218">XLOOKUP(A218, CURSOS!A:A, CURSOS!C:C)</f>
        <v>GUARDIANES DE LA NOCHE</v>
      </c>
      <c r="D218" s="70" t="s">
        <v>181</v>
      </c>
      <c r="E218" s="48">
        <f t="array" ref="E218">XLOOKUP($D218,REGOLITOS!$A:$A,REGOLITOS!E:E)</f>
        <v>25</v>
      </c>
      <c r="F218" s="48" t="str">
        <f t="array" ref="F218">XLOOKUP($D218,REGOLITOS!$A:$A,REGOLITOS!F:F)</f>
        <v>Laboratorista</v>
      </c>
      <c r="G218" s="48" t="str">
        <f t="array" ref="G218">XLOOKUP($D218,REGOLITOS!$A:$A,REGOLITOS!G:G)</f>
        <v>Estado de México</v>
      </c>
      <c r="H218" s="48" t="str">
        <f t="array" ref="H218">XLOOKUP($D218,REGOLITOS!$A:$A,REGOLITOS!H:H)</f>
        <v>55 55 0050 0050</v>
      </c>
      <c r="I218" s="48" t="str">
        <f t="array" ref="I218">XLOOKUP($D218,REGOLITOS!$A:$A,REGOLITOS!I:I)</f>
        <v>usuario50@ejemplo.com</v>
      </c>
      <c r="J218" s="48" t="str">
        <f t="array" ref="J218">XLOOKUP($D218,REGOLITOS!$A:$A,REGOLITOS!J:J)</f>
        <v/>
      </c>
      <c r="K218" s="48" t="str">
        <f t="array" ref="K218">XLOOKUP($D218,REGOLITOS!$A:$A,REGOLITOS!K:K)</f>
        <v>Jóven adulto</v>
      </c>
      <c r="L218" s="76" t="s">
        <v>1079</v>
      </c>
      <c r="M218" s="5" t="s">
        <v>1078</v>
      </c>
      <c r="N218" s="5" t="s">
        <v>1080</v>
      </c>
      <c r="O218" s="5" t="s">
        <v>1078</v>
      </c>
      <c r="P218" s="5" t="s">
        <v>1078</v>
      </c>
      <c r="Q218" s="5" t="s">
        <v>1080</v>
      </c>
      <c r="R218" s="5" t="s">
        <v>1078</v>
      </c>
      <c r="S218" s="5" t="s">
        <v>1080</v>
      </c>
      <c r="T218" s="5" t="s">
        <v>1080</v>
      </c>
      <c r="U218" s="5" t="s">
        <v>1080</v>
      </c>
      <c r="V218" s="5" t="s">
        <v>1080</v>
      </c>
      <c r="X218" s="71">
        <f t="shared" si="3"/>
        <v>4</v>
      </c>
      <c r="Y218" s="5" t="b">
        <v>1</v>
      </c>
    </row>
    <row r="219">
      <c r="A219" s="25" t="s">
        <v>61</v>
      </c>
      <c r="B219" s="25">
        <f t="array" ref="B219">XLOOKUP(A219, CURSOS!A:A, CURSOS!B:B)</f>
        <v>14</v>
      </c>
      <c r="C219" s="24" t="str">
        <f t="array" ref="C219">XLOOKUP(A219, CURSOS!A:A, CURSOS!C:C)</f>
        <v>GUARDIANES DE LA NOCHE</v>
      </c>
      <c r="D219" s="70" t="s">
        <v>189</v>
      </c>
      <c r="E219" s="48">
        <f t="array" ref="E219">XLOOKUP($D219,REGOLITOS!$A:$A,REGOLITOS!E:E)</f>
        <v>27</v>
      </c>
      <c r="F219" s="48" t="str">
        <f t="array" ref="F219">XLOOKUP($D219,REGOLITOS!$A:$A,REGOLITOS!F:F)</f>
        <v>Estudiante </v>
      </c>
      <c r="G219" s="48" t="str">
        <f t="array" ref="G219">XLOOKUP($D219,REGOLITOS!$A:$A,REGOLITOS!G:G)</f>
        <v>Ciudad de México</v>
      </c>
      <c r="H219" s="48" t="str">
        <f t="array" ref="H219">XLOOKUP($D219,REGOLITOS!$A:$A,REGOLITOS!H:H)</f>
        <v>55 55 0056 0056</v>
      </c>
      <c r="I219" s="48" t="str">
        <f t="array" ref="I219">XLOOKUP($D219,REGOLITOS!$A:$A,REGOLITOS!I:I)</f>
        <v>usuario56@ejemplo.com</v>
      </c>
      <c r="J219" s="48" t="str">
        <f t="array" ref="J219">XLOOKUP($D219,REGOLITOS!$A:$A,REGOLITOS!J:J)</f>
        <v/>
      </c>
      <c r="K219" s="48" t="str">
        <f t="array" ref="K219">XLOOKUP($D219,REGOLITOS!$A:$A,REGOLITOS!K:K)</f>
        <v>Infancia</v>
      </c>
      <c r="L219" s="76" t="s">
        <v>1079</v>
      </c>
      <c r="M219" s="5" t="s">
        <v>1078</v>
      </c>
      <c r="N219" s="5" t="s">
        <v>1078</v>
      </c>
      <c r="O219" s="5" t="s">
        <v>1080</v>
      </c>
      <c r="P219" s="5" t="s">
        <v>1078</v>
      </c>
      <c r="Q219" s="5" t="s">
        <v>1078</v>
      </c>
      <c r="R219" s="5" t="s">
        <v>1078</v>
      </c>
      <c r="S219" s="5" t="s">
        <v>1078</v>
      </c>
      <c r="T219" s="5" t="s">
        <v>1080</v>
      </c>
      <c r="U219" s="5" t="s">
        <v>1080</v>
      </c>
      <c r="V219" s="5" t="s">
        <v>1080</v>
      </c>
      <c r="X219" s="71">
        <f t="shared" si="3"/>
        <v>6</v>
      </c>
      <c r="Y219" s="5" t="b">
        <v>1</v>
      </c>
    </row>
    <row r="220">
      <c r="A220" s="25" t="s">
        <v>61</v>
      </c>
      <c r="B220" s="25">
        <f t="array" ref="B220">XLOOKUP(A220, CURSOS!A:A, CURSOS!B:B)</f>
        <v>14</v>
      </c>
      <c r="C220" s="24" t="str">
        <f t="array" ref="C220">XLOOKUP(A220, CURSOS!A:A, CURSOS!C:C)</f>
        <v>GUARDIANES DE LA NOCHE</v>
      </c>
      <c r="D220" s="70" t="s">
        <v>195</v>
      </c>
      <c r="E220" s="48">
        <f t="array" ref="E220">XLOOKUP($D220,REGOLITOS!$A:$A,REGOLITOS!E:E)</f>
        <v>19</v>
      </c>
      <c r="F220" s="48" t="str">
        <f t="array" ref="F220">XLOOKUP($D220,REGOLITOS!$A:$A,REGOLITOS!F:F)</f>
        <v>Desconocido</v>
      </c>
      <c r="G220" s="48" t="str">
        <f t="array" ref="G220">XLOOKUP($D220,REGOLITOS!$A:$A,REGOLITOS!G:G)</f>
        <v>Desconocido</v>
      </c>
      <c r="H220" s="48" t="str">
        <f t="array" ref="H220">XLOOKUP($D220,REGOLITOS!$A:$A,REGOLITOS!H:H)</f>
        <v>55 55 0060 0060</v>
      </c>
      <c r="I220" s="48" t="str">
        <f t="array" ref="I220">XLOOKUP($D220,REGOLITOS!$A:$A,REGOLITOS!I:I)</f>
        <v>usuario60@ejemplo.com</v>
      </c>
      <c r="J220" s="48" t="str">
        <f t="array" ref="J220">XLOOKUP($D220,REGOLITOS!$A:$A,REGOLITOS!J:J)</f>
        <v/>
      </c>
      <c r="K220" s="48" t="str">
        <f t="array" ref="K220">XLOOKUP($D220,REGOLITOS!$A:$A,REGOLITOS!K:K)</f>
        <v>Jóven adulto</v>
      </c>
      <c r="L220" s="76" t="s">
        <v>1079</v>
      </c>
      <c r="M220" s="5" t="s">
        <v>1078</v>
      </c>
      <c r="N220" s="5" t="s">
        <v>1080</v>
      </c>
      <c r="O220" s="5" t="s">
        <v>1078</v>
      </c>
      <c r="P220" s="5" t="s">
        <v>1080</v>
      </c>
      <c r="Q220" s="5" t="s">
        <v>1078</v>
      </c>
      <c r="R220" s="5" t="s">
        <v>1078</v>
      </c>
      <c r="S220" s="5" t="s">
        <v>1080</v>
      </c>
      <c r="T220" s="5" t="s">
        <v>1080</v>
      </c>
      <c r="U220" s="5" t="s">
        <v>1080</v>
      </c>
      <c r="V220" s="5" t="s">
        <v>1080</v>
      </c>
      <c r="X220" s="71">
        <f t="shared" si="3"/>
        <v>4</v>
      </c>
      <c r="Y220" s="5" t="b">
        <v>1</v>
      </c>
    </row>
    <row r="221">
      <c r="A221" s="25" t="s">
        <v>61</v>
      </c>
      <c r="B221" s="25">
        <f t="array" ref="B221">XLOOKUP(A221, CURSOS!A:A, CURSOS!B:B)</f>
        <v>14</v>
      </c>
      <c r="C221" s="24" t="str">
        <f t="array" ref="C221">XLOOKUP(A221, CURSOS!A:A, CURSOS!C:C)</f>
        <v>GUARDIANES DE LA NOCHE</v>
      </c>
      <c r="D221" s="70" t="s">
        <v>196</v>
      </c>
      <c r="E221" s="48">
        <f t="array" ref="E221">XLOOKUP($D221,REGOLITOS!$A:$A,REGOLITOS!E:E)</f>
        <v>97</v>
      </c>
      <c r="F221" s="48" t="str">
        <f t="array" ref="F221">XLOOKUP($D221,REGOLITOS!$A:$A,REGOLITOS!F:F)</f>
        <v>Estudiante </v>
      </c>
      <c r="G221" s="48" t="str">
        <f t="array" ref="G221">XLOOKUP($D221,REGOLITOS!$A:$A,REGOLITOS!G:G)</f>
        <v>Ciudad de México</v>
      </c>
      <c r="H221" s="48" t="str">
        <f t="array" ref="H221">XLOOKUP($D221,REGOLITOS!$A:$A,REGOLITOS!H:H)</f>
        <v>55 55 0061 0061</v>
      </c>
      <c r="I221" s="48" t="str">
        <f t="array" ref="I221">XLOOKUP($D221,REGOLITOS!$A:$A,REGOLITOS!I:I)</f>
        <v>usuario61@ejemplo.com</v>
      </c>
      <c r="J221" s="48" t="str">
        <f t="array" ref="J221">XLOOKUP($D221,REGOLITOS!$A:$A,REGOLITOS!J:J)</f>
        <v/>
      </c>
      <c r="K221" s="48" t="str">
        <f t="array" ref="K221">XLOOKUP($D221,REGOLITOS!$A:$A,REGOLITOS!K:K)</f>
        <v>Adulto Mayor</v>
      </c>
      <c r="L221" s="76" t="s">
        <v>1079</v>
      </c>
      <c r="M221" s="5" t="s">
        <v>1078</v>
      </c>
      <c r="N221" s="5" t="s">
        <v>1078</v>
      </c>
      <c r="O221" s="5" t="s">
        <v>1080</v>
      </c>
      <c r="P221" s="5" t="s">
        <v>1078</v>
      </c>
      <c r="Q221" s="5" t="s">
        <v>1078</v>
      </c>
      <c r="R221" s="5" t="s">
        <v>1078</v>
      </c>
      <c r="S221" s="5" t="s">
        <v>1080</v>
      </c>
      <c r="T221" s="5" t="s">
        <v>1080</v>
      </c>
      <c r="U221" s="5" t="s">
        <v>1078</v>
      </c>
      <c r="V221" s="5" t="s">
        <v>1080</v>
      </c>
      <c r="X221" s="71">
        <f t="shared" si="3"/>
        <v>6</v>
      </c>
      <c r="Y221" s="5" t="b">
        <v>1</v>
      </c>
    </row>
    <row r="222">
      <c r="A222" s="25" t="s">
        <v>61</v>
      </c>
      <c r="B222" s="25">
        <f t="array" ref="B222">XLOOKUP(A222, CURSOS!A:A, CURSOS!B:B)</f>
        <v>14</v>
      </c>
      <c r="C222" s="24" t="str">
        <f t="array" ref="C222">XLOOKUP(A222, CURSOS!A:A, CURSOS!C:C)</f>
        <v>GUARDIANES DE LA NOCHE</v>
      </c>
      <c r="D222" s="70" t="s">
        <v>208</v>
      </c>
      <c r="E222" s="48">
        <f t="array" ref="E222">XLOOKUP($D222,REGOLITOS!$A:$A,REGOLITOS!E:E)</f>
        <v>55</v>
      </c>
      <c r="F222" s="48" t="str">
        <f t="array" ref="F222">XLOOKUP($D222,REGOLITOS!$A:$A,REGOLITOS!F:F)</f>
        <v>Trabajadora </v>
      </c>
      <c r="G222" s="48" t="str">
        <f t="array" ref="G222">XLOOKUP($D222,REGOLITOS!$A:$A,REGOLITOS!G:G)</f>
        <v>Colima</v>
      </c>
      <c r="H222" s="48" t="str">
        <f t="array" ref="H222">XLOOKUP($D222,REGOLITOS!$A:$A,REGOLITOS!H:H)</f>
        <v>55 55 0069 0069</v>
      </c>
      <c r="I222" s="48" t="str">
        <f t="array" ref="I222">XLOOKUP($D222,REGOLITOS!$A:$A,REGOLITOS!I:I)</f>
        <v>usuario69@ejemplo.com</v>
      </c>
      <c r="J222" s="48" t="str">
        <f t="array" ref="J222">XLOOKUP($D222,REGOLITOS!$A:$A,REGOLITOS!J:J)</f>
        <v/>
      </c>
      <c r="K222" s="48" t="str">
        <f t="array" ref="K222">XLOOKUP($D222,REGOLITOS!$A:$A,REGOLITOS!K:K)</f>
        <v>Adulto</v>
      </c>
      <c r="L222" s="76" t="s">
        <v>1079</v>
      </c>
      <c r="M222" s="5" t="s">
        <v>1080</v>
      </c>
      <c r="N222" s="5" t="s">
        <v>1078</v>
      </c>
      <c r="O222" s="5" t="s">
        <v>1080</v>
      </c>
      <c r="P222" s="5" t="s">
        <v>1080</v>
      </c>
      <c r="Q222" s="5" t="s">
        <v>1078</v>
      </c>
      <c r="R222" s="5" t="s">
        <v>1078</v>
      </c>
      <c r="S222" s="5" t="s">
        <v>1078</v>
      </c>
      <c r="T222" s="5" t="s">
        <v>1080</v>
      </c>
      <c r="U222" s="5" t="s">
        <v>1080</v>
      </c>
      <c r="V222" s="5" t="s">
        <v>1080</v>
      </c>
      <c r="X222" s="71">
        <f t="shared" si="3"/>
        <v>4</v>
      </c>
      <c r="Y222" s="5" t="b">
        <v>1</v>
      </c>
    </row>
    <row r="223">
      <c r="A223" s="25" t="s">
        <v>61</v>
      </c>
      <c r="B223" s="25">
        <f t="array" ref="B223">XLOOKUP(A223, CURSOS!A:A, CURSOS!B:B)</f>
        <v>14</v>
      </c>
      <c r="C223" s="24" t="str">
        <f t="array" ref="C223">XLOOKUP(A223, CURSOS!A:A, CURSOS!C:C)</f>
        <v>GUARDIANES DE LA NOCHE</v>
      </c>
      <c r="D223" s="70" t="s">
        <v>215</v>
      </c>
      <c r="E223" s="48">
        <f t="array" ref="E223">XLOOKUP($D223,REGOLITOS!$A:$A,REGOLITOS!E:E)</f>
        <v>54</v>
      </c>
      <c r="F223" s="48" t="str">
        <f t="array" ref="F223">XLOOKUP($D223,REGOLITOS!$A:$A,REGOLITOS!F:F)</f>
        <v>Hogar</v>
      </c>
      <c r="G223" s="48" t="str">
        <f t="array" ref="G223">XLOOKUP($D223,REGOLITOS!$A:$A,REGOLITOS!G:G)</f>
        <v>Ciudad de México</v>
      </c>
      <c r="H223" s="48" t="str">
        <f t="array" ref="H223">XLOOKUP($D223,REGOLITOS!$A:$A,REGOLITOS!H:H)</f>
        <v>55 55 0073 0073</v>
      </c>
      <c r="I223" s="48" t="str">
        <f t="array" ref="I223">XLOOKUP($D223,REGOLITOS!$A:$A,REGOLITOS!I:I)</f>
        <v>usuario73@ejemplo.com</v>
      </c>
      <c r="J223" s="48" t="str">
        <f t="array" ref="J223">XLOOKUP($D223,REGOLITOS!$A:$A,REGOLITOS!J:J)</f>
        <v/>
      </c>
      <c r="K223" s="48" t="str">
        <f t="array" ref="K223">XLOOKUP($D223,REGOLITOS!$A:$A,REGOLITOS!K:K)</f>
        <v>Adulto</v>
      </c>
      <c r="L223" s="76" t="s">
        <v>1079</v>
      </c>
      <c r="M223" s="5" t="s">
        <v>1080</v>
      </c>
      <c r="N223" s="5" t="s">
        <v>1080</v>
      </c>
      <c r="O223" s="5" t="s">
        <v>1078</v>
      </c>
      <c r="P223" s="5" t="s">
        <v>1078</v>
      </c>
      <c r="Q223" s="5" t="s">
        <v>1078</v>
      </c>
      <c r="R223" s="5" t="s">
        <v>1080</v>
      </c>
      <c r="S223" s="5" t="s">
        <v>1080</v>
      </c>
      <c r="T223" s="5" t="s">
        <v>1078</v>
      </c>
      <c r="U223" s="5" t="s">
        <v>1078</v>
      </c>
      <c r="V223" s="5" t="s">
        <v>1078</v>
      </c>
      <c r="X223" s="71">
        <f t="shared" si="3"/>
        <v>6</v>
      </c>
      <c r="Y223" s="5" t="b">
        <v>1</v>
      </c>
    </row>
    <row r="224">
      <c r="A224" s="25" t="s">
        <v>61</v>
      </c>
      <c r="B224" s="25">
        <f t="array" ref="B224">XLOOKUP(A224, CURSOS!A:A, CURSOS!B:B)</f>
        <v>14</v>
      </c>
      <c r="C224" s="24" t="str">
        <f t="array" ref="C224">XLOOKUP(A224, CURSOS!A:A, CURSOS!C:C)</f>
        <v>GUARDIANES DE LA NOCHE</v>
      </c>
      <c r="D224" s="70" t="s">
        <v>217</v>
      </c>
      <c r="E224" s="48">
        <f t="array" ref="E224">XLOOKUP($D224,REGOLITOS!$A:$A,REGOLITOS!E:E)</f>
        <v>85</v>
      </c>
      <c r="F224" s="48" t="str">
        <f t="array" ref="F224">XLOOKUP($D224,REGOLITOS!$A:$A,REGOLITOS!F:F)</f>
        <v>Estudiante</v>
      </c>
      <c r="G224" s="48" t="str">
        <f t="array" ref="G224">XLOOKUP($D224,REGOLITOS!$A:$A,REGOLITOS!G:G)</f>
        <v>Estado de México</v>
      </c>
      <c r="H224" s="48" t="str">
        <f t="array" ref="H224">XLOOKUP($D224,REGOLITOS!$A:$A,REGOLITOS!H:H)</f>
        <v>55 55 0074 0074</v>
      </c>
      <c r="I224" s="48" t="str">
        <f t="array" ref="I224">XLOOKUP($D224,REGOLITOS!$A:$A,REGOLITOS!I:I)</f>
        <v>usuario74@ejemplo.com</v>
      </c>
      <c r="J224" s="48" t="str">
        <f t="array" ref="J224">XLOOKUP($D224,REGOLITOS!$A:$A,REGOLITOS!J:J)</f>
        <v/>
      </c>
      <c r="K224" s="48" t="str">
        <f t="array" ref="K224">XLOOKUP($D224,REGOLITOS!$A:$A,REGOLITOS!K:K)</f>
        <v>Adulto Mayor</v>
      </c>
      <c r="L224" s="76" t="s">
        <v>1079</v>
      </c>
      <c r="M224" s="5" t="s">
        <v>1078</v>
      </c>
      <c r="N224" s="5" t="s">
        <v>1078</v>
      </c>
      <c r="O224" s="5" t="s">
        <v>1078</v>
      </c>
      <c r="P224" s="5" t="s">
        <v>1078</v>
      </c>
      <c r="Q224" s="5" t="s">
        <v>1080</v>
      </c>
      <c r="R224" s="5" t="s">
        <v>1080</v>
      </c>
      <c r="S224" s="5" t="s">
        <v>1078</v>
      </c>
      <c r="T224" s="5" t="s">
        <v>1080</v>
      </c>
      <c r="U224" s="5" t="s">
        <v>1078</v>
      </c>
      <c r="V224" s="5" t="s">
        <v>1080</v>
      </c>
      <c r="X224" s="71">
        <f t="shared" si="3"/>
        <v>6</v>
      </c>
      <c r="Y224" s="5" t="b">
        <v>1</v>
      </c>
    </row>
    <row r="225">
      <c r="A225" s="25" t="s">
        <v>61</v>
      </c>
      <c r="B225" s="25">
        <f t="array" ref="B225">XLOOKUP(A225, CURSOS!A:A, CURSOS!B:B)</f>
        <v>14</v>
      </c>
      <c r="C225" s="24" t="str">
        <f t="array" ref="C225">XLOOKUP(A225, CURSOS!A:A, CURSOS!C:C)</f>
        <v>GUARDIANES DE LA NOCHE</v>
      </c>
      <c r="D225" s="70" t="s">
        <v>223</v>
      </c>
      <c r="E225" s="48">
        <f t="array" ref="E225">XLOOKUP($D225,REGOLITOS!$A:$A,REGOLITOS!E:E)</f>
        <v>54</v>
      </c>
      <c r="F225" s="48" t="str">
        <f t="array" ref="F225">XLOOKUP($D225,REGOLITOS!$A:$A,REGOLITOS!F:F)</f>
        <v>Oficina</v>
      </c>
      <c r="G225" s="48" t="str">
        <f t="array" ref="G225">XLOOKUP($D225,REGOLITOS!$A:$A,REGOLITOS!G:G)</f>
        <v>Ciudad de México</v>
      </c>
      <c r="H225" s="48" t="str">
        <f t="array" ref="H225">XLOOKUP($D225,REGOLITOS!$A:$A,REGOLITOS!H:H)</f>
        <v>55 55 0079 0079</v>
      </c>
      <c r="I225" s="48" t="str">
        <f t="array" ref="I225">XLOOKUP($D225,REGOLITOS!$A:$A,REGOLITOS!I:I)</f>
        <v>usuario79@ejemplo.com</v>
      </c>
      <c r="J225" s="48" t="str">
        <f t="array" ref="J225">XLOOKUP($D225,REGOLITOS!$A:$A,REGOLITOS!J:J)</f>
        <v/>
      </c>
      <c r="K225" s="48" t="str">
        <f t="array" ref="K225">XLOOKUP($D225,REGOLITOS!$A:$A,REGOLITOS!K:K)</f>
        <v>Adulto</v>
      </c>
      <c r="L225" s="76" t="s">
        <v>1079</v>
      </c>
      <c r="M225" s="5" t="s">
        <v>1080</v>
      </c>
      <c r="N225" s="5" t="s">
        <v>1080</v>
      </c>
      <c r="O225" s="5" t="s">
        <v>1078</v>
      </c>
      <c r="P225" s="5" t="s">
        <v>1078</v>
      </c>
      <c r="Q225" s="5" t="s">
        <v>1078</v>
      </c>
      <c r="R225" s="5" t="s">
        <v>1080</v>
      </c>
      <c r="S225" s="5" t="s">
        <v>1080</v>
      </c>
      <c r="T225" s="5" t="s">
        <v>1078</v>
      </c>
      <c r="U225" s="5" t="s">
        <v>1078</v>
      </c>
      <c r="V225" s="5" t="s">
        <v>1078</v>
      </c>
      <c r="X225" s="71">
        <f t="shared" si="3"/>
        <v>6</v>
      </c>
      <c r="Y225" s="5" t="b">
        <v>1</v>
      </c>
    </row>
    <row r="226">
      <c r="A226" s="25" t="s">
        <v>61</v>
      </c>
      <c r="B226" s="25">
        <f t="array" ref="B226">XLOOKUP(A226, CURSOS!A:A, CURSOS!B:B)</f>
        <v>14</v>
      </c>
      <c r="C226" s="24" t="str">
        <f t="array" ref="C226">XLOOKUP(A226, CURSOS!A:A, CURSOS!C:C)</f>
        <v>GUARDIANES DE LA NOCHE</v>
      </c>
      <c r="D226" s="70" t="s">
        <v>231</v>
      </c>
      <c r="E226" s="48">
        <f t="array" ref="E226">XLOOKUP($D226,REGOLITOS!$A:$A,REGOLITOS!E:E)</f>
        <v>94</v>
      </c>
      <c r="F226" s="48" t="str">
        <f t="array" ref="F226">XLOOKUP($D226,REGOLITOS!$A:$A,REGOLITOS!F:F)</f>
        <v>Estudiante </v>
      </c>
      <c r="G226" s="48" t="str">
        <f t="array" ref="G226">XLOOKUP($D226,REGOLITOS!$A:$A,REGOLITOS!G:G)</f>
        <v>Veracruz</v>
      </c>
      <c r="H226" s="48" t="str">
        <f t="array" ref="H226">XLOOKUP($D226,REGOLITOS!$A:$A,REGOLITOS!H:H)</f>
        <v>55 55 0084 0084</v>
      </c>
      <c r="I226" s="48" t="str">
        <f t="array" ref="I226">XLOOKUP($D226,REGOLITOS!$A:$A,REGOLITOS!I:I)</f>
        <v>usuario84@ejemplo.com</v>
      </c>
      <c r="J226" s="48" t="str">
        <f t="array" ref="J226">XLOOKUP($D226,REGOLITOS!$A:$A,REGOLITOS!J:J)</f>
        <v/>
      </c>
      <c r="K226" s="48" t="str">
        <f t="array" ref="K226">XLOOKUP($D226,REGOLITOS!$A:$A,REGOLITOS!K:K)</f>
        <v>Adulto Mayor</v>
      </c>
      <c r="L226" s="76" t="s">
        <v>1079</v>
      </c>
      <c r="M226" s="5" t="s">
        <v>1078</v>
      </c>
      <c r="N226" s="5" t="s">
        <v>1078</v>
      </c>
      <c r="O226" s="5" t="s">
        <v>1078</v>
      </c>
      <c r="P226" s="5" t="s">
        <v>1078</v>
      </c>
      <c r="Q226" s="5" t="s">
        <v>1078</v>
      </c>
      <c r="R226" s="5" t="s">
        <v>1078</v>
      </c>
      <c r="S226" s="5" t="s">
        <v>1078</v>
      </c>
      <c r="T226" s="5" t="s">
        <v>1080</v>
      </c>
      <c r="U226" s="5" t="s">
        <v>1080</v>
      </c>
      <c r="V226" s="5" t="s">
        <v>1078</v>
      </c>
      <c r="X226" s="71">
        <f t="shared" si="3"/>
        <v>8</v>
      </c>
      <c r="Y226" s="5" t="b">
        <v>1</v>
      </c>
    </row>
    <row r="227">
      <c r="A227" s="25" t="s">
        <v>61</v>
      </c>
      <c r="B227" s="25">
        <f t="array" ref="B227">XLOOKUP(A227, CURSOS!A:A, CURSOS!B:B)</f>
        <v>14</v>
      </c>
      <c r="C227" s="24" t="str">
        <f t="array" ref="C227">XLOOKUP(A227, CURSOS!A:A, CURSOS!C:C)</f>
        <v>GUARDIANES DE LA NOCHE</v>
      </c>
      <c r="D227" s="70" t="s">
        <v>234</v>
      </c>
      <c r="E227" s="48">
        <f t="array" ref="E227">XLOOKUP($D227,REGOLITOS!$A:$A,REGOLITOS!E:E)</f>
        <v>44</v>
      </c>
      <c r="F227" s="48" t="str">
        <f t="array" ref="F227">XLOOKUP($D227,REGOLITOS!$A:$A,REGOLITOS!F:F)</f>
        <v>Estudiante </v>
      </c>
      <c r="G227" s="48" t="str">
        <f t="array" ref="G227">XLOOKUP($D227,REGOLITOS!$A:$A,REGOLITOS!G:G)</f>
        <v>Estado de México</v>
      </c>
      <c r="H227" s="48" t="str">
        <f t="array" ref="H227">XLOOKUP($D227,REGOLITOS!$A:$A,REGOLITOS!H:H)</f>
        <v>55 55 0086 0086</v>
      </c>
      <c r="I227" s="48" t="str">
        <f t="array" ref="I227">XLOOKUP($D227,REGOLITOS!$A:$A,REGOLITOS!I:I)</f>
        <v>usuario86@ejemplo.com</v>
      </c>
      <c r="J227" s="48" t="str">
        <f t="array" ref="J227">XLOOKUP($D227,REGOLITOS!$A:$A,REGOLITOS!J:J)</f>
        <v/>
      </c>
      <c r="K227" s="48" t="str">
        <f t="array" ref="K227">XLOOKUP($D227,REGOLITOS!$A:$A,REGOLITOS!K:K)</f>
        <v>Adulto</v>
      </c>
      <c r="L227" s="76" t="s">
        <v>1079</v>
      </c>
      <c r="M227" s="5" t="s">
        <v>1078</v>
      </c>
      <c r="N227" s="5" t="s">
        <v>1078</v>
      </c>
      <c r="O227" s="5" t="s">
        <v>1078</v>
      </c>
      <c r="P227" s="5" t="s">
        <v>1078</v>
      </c>
      <c r="Q227" s="5" t="s">
        <v>1078</v>
      </c>
      <c r="R227" s="5" t="s">
        <v>1078</v>
      </c>
      <c r="S227" s="5" t="s">
        <v>1078</v>
      </c>
      <c r="T227" s="5" t="s">
        <v>1080</v>
      </c>
      <c r="U227" s="5" t="s">
        <v>1078</v>
      </c>
      <c r="V227" s="5" t="s">
        <v>1080</v>
      </c>
      <c r="X227" s="71">
        <f t="shared" si="3"/>
        <v>8</v>
      </c>
      <c r="Y227" s="5" t="b">
        <v>1</v>
      </c>
    </row>
    <row r="228">
      <c r="A228" s="25" t="s">
        <v>61</v>
      </c>
      <c r="B228" s="25">
        <f t="array" ref="B228">XLOOKUP(A228, CURSOS!A:A, CURSOS!B:B)</f>
        <v>14</v>
      </c>
      <c r="C228" s="24" t="str">
        <f t="array" ref="C228">XLOOKUP(A228, CURSOS!A:A, CURSOS!C:C)</f>
        <v>GUARDIANES DE LA NOCHE</v>
      </c>
      <c r="D228" s="70" t="s">
        <v>236</v>
      </c>
      <c r="E228" s="48">
        <f t="array" ref="E228">XLOOKUP($D228,REGOLITOS!$A:$A,REGOLITOS!E:E)</f>
        <v>75</v>
      </c>
      <c r="F228" s="48" t="str">
        <f t="array" ref="F228">XLOOKUP($D228,REGOLITOS!$A:$A,REGOLITOS!F:F)</f>
        <v>Estudiante</v>
      </c>
      <c r="G228" s="48" t="str">
        <f t="array" ref="G228">XLOOKUP($D228,REGOLITOS!$A:$A,REGOLITOS!G:G)</f>
        <v>Oaxaca</v>
      </c>
      <c r="H228" s="48" t="str">
        <f t="array" ref="H228">XLOOKUP($D228,REGOLITOS!$A:$A,REGOLITOS!H:H)</f>
        <v>55 55 0088 0088</v>
      </c>
      <c r="I228" s="48" t="str">
        <f t="array" ref="I228">XLOOKUP($D228,REGOLITOS!$A:$A,REGOLITOS!I:I)</f>
        <v>usuario88@ejemplo.com</v>
      </c>
      <c r="J228" s="48" t="str">
        <f t="array" ref="J228">XLOOKUP($D228,REGOLITOS!$A:$A,REGOLITOS!J:J)</f>
        <v/>
      </c>
      <c r="K228" s="48" t="str">
        <f t="array" ref="K228">XLOOKUP($D228,REGOLITOS!$A:$A,REGOLITOS!K:K)</f>
        <v>Adulto Mayor</v>
      </c>
      <c r="L228" s="76" t="s">
        <v>1079</v>
      </c>
      <c r="M228" s="5" t="s">
        <v>1078</v>
      </c>
      <c r="N228" s="5" t="s">
        <v>1078</v>
      </c>
      <c r="O228" s="5" t="s">
        <v>1078</v>
      </c>
      <c r="P228" s="5" t="s">
        <v>1078</v>
      </c>
      <c r="Q228" s="5" t="s">
        <v>1080</v>
      </c>
      <c r="R228" s="5" t="s">
        <v>1078</v>
      </c>
      <c r="S228" s="5" t="s">
        <v>1078</v>
      </c>
      <c r="T228" s="5" t="s">
        <v>1080</v>
      </c>
      <c r="U228" s="5" t="s">
        <v>1078</v>
      </c>
      <c r="V228" s="5" t="s">
        <v>1078</v>
      </c>
      <c r="X228" s="71">
        <f t="shared" si="3"/>
        <v>8</v>
      </c>
      <c r="Y228" s="5" t="b">
        <v>1</v>
      </c>
    </row>
    <row r="229">
      <c r="A229" s="25" t="s">
        <v>61</v>
      </c>
      <c r="B229" s="25">
        <f t="array" ref="B229">XLOOKUP(A229, CURSOS!A:A, CURSOS!B:B)</f>
        <v>14</v>
      </c>
      <c r="C229" s="24" t="str">
        <f t="array" ref="C229">XLOOKUP(A229, CURSOS!A:A, CURSOS!C:C)</f>
        <v>GUARDIANES DE LA NOCHE</v>
      </c>
      <c r="D229" s="70" t="s">
        <v>241</v>
      </c>
      <c r="E229" s="48">
        <f t="array" ref="E229">XLOOKUP($D229,REGOLITOS!$A:$A,REGOLITOS!E:E)</f>
        <v>11</v>
      </c>
      <c r="F229" s="48" t="str">
        <f t="array" ref="F229">XLOOKUP($D229,REGOLITOS!$A:$A,REGOLITOS!F:F)</f>
        <v>Estudiante </v>
      </c>
      <c r="G229" s="48" t="str">
        <f t="array" ref="G229">XLOOKUP($D229,REGOLITOS!$A:$A,REGOLITOS!G:G)</f>
        <v>Jalisco</v>
      </c>
      <c r="H229" s="48" t="str">
        <f t="array" ref="H229">XLOOKUP($D229,REGOLITOS!$A:$A,REGOLITOS!H:H)</f>
        <v>55 55 0091 0091</v>
      </c>
      <c r="I229" s="48" t="str">
        <f t="array" ref="I229">XLOOKUP($D229,REGOLITOS!$A:$A,REGOLITOS!I:I)</f>
        <v>usuario91@ejemplo.com</v>
      </c>
      <c r="J229" s="48" t="str">
        <f t="array" ref="J229">XLOOKUP($D229,REGOLITOS!$A:$A,REGOLITOS!J:J)</f>
        <v>Tutor_091</v>
      </c>
      <c r="K229" s="48" t="str">
        <f t="array" ref="K229">XLOOKUP($D229,REGOLITOS!$A:$A,REGOLITOS!K:K)</f>
        <v>Infancia</v>
      </c>
      <c r="L229" s="76" t="s">
        <v>1079</v>
      </c>
      <c r="M229" s="5" t="s">
        <v>1078</v>
      </c>
      <c r="N229" s="5" t="s">
        <v>1080</v>
      </c>
      <c r="O229" s="5" t="s">
        <v>1078</v>
      </c>
      <c r="P229" s="5" t="s">
        <v>1080</v>
      </c>
      <c r="Q229" s="5" t="s">
        <v>1080</v>
      </c>
      <c r="R229" s="5" t="s">
        <v>1078</v>
      </c>
      <c r="S229" s="5" t="s">
        <v>1078</v>
      </c>
      <c r="T229" s="5" t="s">
        <v>1078</v>
      </c>
      <c r="U229" s="5" t="s">
        <v>1080</v>
      </c>
      <c r="V229" s="5" t="s">
        <v>1078</v>
      </c>
      <c r="X229" s="71">
        <f t="shared" si="3"/>
        <v>6</v>
      </c>
      <c r="Y229" s="5" t="b">
        <v>1</v>
      </c>
    </row>
    <row r="230">
      <c r="A230" s="25" t="s">
        <v>61</v>
      </c>
      <c r="B230" s="25">
        <f t="array" ref="B230">XLOOKUP(A230, CURSOS!A:A, CURSOS!B:B)</f>
        <v>14</v>
      </c>
      <c r="C230" s="24" t="str">
        <f t="array" ref="C230">XLOOKUP(A230, CURSOS!A:A, CURSOS!C:C)</f>
        <v>GUARDIANES DE LA NOCHE</v>
      </c>
      <c r="D230" s="70" t="s">
        <v>242</v>
      </c>
      <c r="E230" s="48">
        <f t="array" ref="E230">XLOOKUP($D230,REGOLITOS!$A:$A,REGOLITOS!E:E)</f>
        <v>52</v>
      </c>
      <c r="F230" s="48" t="str">
        <f t="array" ref="F230">XLOOKUP($D230,REGOLITOS!$A:$A,REGOLITOS!F:F)</f>
        <v>Empleado </v>
      </c>
      <c r="G230" s="48" t="str">
        <f t="array" ref="G230">XLOOKUP($D230,REGOLITOS!$A:$A,REGOLITOS!G:G)</f>
        <v>Guerrero</v>
      </c>
      <c r="H230" s="48" t="str">
        <f t="array" ref="H230">XLOOKUP($D230,REGOLITOS!$A:$A,REGOLITOS!H:H)</f>
        <v>55 55 0092 0092</v>
      </c>
      <c r="I230" s="48" t="str">
        <f t="array" ref="I230">XLOOKUP($D230,REGOLITOS!$A:$A,REGOLITOS!I:I)</f>
        <v>usuario92@ejemplo.com</v>
      </c>
      <c r="J230" s="48" t="str">
        <f t="array" ref="J230">XLOOKUP($D230,REGOLITOS!$A:$A,REGOLITOS!J:J)</f>
        <v/>
      </c>
      <c r="K230" s="48" t="str">
        <f t="array" ref="K230">XLOOKUP($D230,REGOLITOS!$A:$A,REGOLITOS!K:K)</f>
        <v>Adulto</v>
      </c>
      <c r="L230" s="76" t="s">
        <v>1079</v>
      </c>
      <c r="M230" s="5" t="s">
        <v>1080</v>
      </c>
      <c r="N230" s="5" t="s">
        <v>1078</v>
      </c>
      <c r="O230" s="5" t="s">
        <v>1080</v>
      </c>
      <c r="P230" s="5" t="s">
        <v>1078</v>
      </c>
      <c r="Q230" s="5" t="s">
        <v>1078</v>
      </c>
      <c r="R230" s="5" t="s">
        <v>1078</v>
      </c>
      <c r="S230" s="5" t="s">
        <v>1078</v>
      </c>
      <c r="T230" s="5" t="s">
        <v>1078</v>
      </c>
      <c r="U230" s="5" t="s">
        <v>1080</v>
      </c>
      <c r="V230" s="5" t="s">
        <v>1078</v>
      </c>
      <c r="X230" s="71">
        <f t="shared" si="3"/>
        <v>7</v>
      </c>
      <c r="Y230" s="5" t="b">
        <v>1</v>
      </c>
    </row>
    <row r="231">
      <c r="A231" s="25" t="s">
        <v>61</v>
      </c>
      <c r="B231" s="25">
        <f t="array" ref="B231">XLOOKUP(A231, CURSOS!A:A, CURSOS!B:B)</f>
        <v>14</v>
      </c>
      <c r="C231" s="24" t="str">
        <f t="array" ref="C231">XLOOKUP(A231, CURSOS!A:A, CURSOS!C:C)</f>
        <v>GUARDIANES DE LA NOCHE</v>
      </c>
      <c r="D231" s="70" t="s">
        <v>244</v>
      </c>
      <c r="E231" s="48">
        <f t="array" ref="E231">XLOOKUP($D231,REGOLITOS!$A:$A,REGOLITOS!E:E)</f>
        <v>60</v>
      </c>
      <c r="F231" s="48" t="str">
        <f t="array" ref="F231">XLOOKUP($D231,REGOLITOS!$A:$A,REGOLITOS!F:F)</f>
        <v>Turismo</v>
      </c>
      <c r="G231" s="48" t="str">
        <f t="array" ref="G231">XLOOKUP($D231,REGOLITOS!$A:$A,REGOLITOS!G:G)</f>
        <v>Yucatán</v>
      </c>
      <c r="H231" s="48" t="str">
        <f t="array" ref="H231">XLOOKUP($D231,REGOLITOS!$A:$A,REGOLITOS!H:H)</f>
        <v>55 55 0093 0093</v>
      </c>
      <c r="I231" s="48" t="str">
        <f t="array" ref="I231">XLOOKUP($D231,REGOLITOS!$A:$A,REGOLITOS!I:I)</f>
        <v>usuario93@ejemplo.com</v>
      </c>
      <c r="J231" s="48" t="str">
        <f t="array" ref="J231">XLOOKUP($D231,REGOLITOS!$A:$A,REGOLITOS!J:J)</f>
        <v/>
      </c>
      <c r="K231" s="48" t="str">
        <f t="array" ref="K231">XLOOKUP($D231,REGOLITOS!$A:$A,REGOLITOS!K:K)</f>
        <v>Adulto Mayor</v>
      </c>
      <c r="L231" s="76" t="s">
        <v>1079</v>
      </c>
      <c r="M231" s="5" t="s">
        <v>1078</v>
      </c>
      <c r="N231" s="5" t="s">
        <v>1078</v>
      </c>
      <c r="O231" s="5" t="s">
        <v>1078</v>
      </c>
      <c r="P231" s="5" t="s">
        <v>1078</v>
      </c>
      <c r="Q231" s="5" t="s">
        <v>1078</v>
      </c>
      <c r="R231" s="5" t="s">
        <v>1078</v>
      </c>
      <c r="S231" s="5" t="s">
        <v>1078</v>
      </c>
      <c r="T231" s="5" t="s">
        <v>1080</v>
      </c>
      <c r="U231" s="5" t="s">
        <v>1078</v>
      </c>
      <c r="V231" s="5" t="s">
        <v>1078</v>
      </c>
      <c r="X231" s="71">
        <f t="shared" si="3"/>
        <v>9</v>
      </c>
      <c r="Y231" s="5" t="b">
        <v>1</v>
      </c>
    </row>
    <row r="232">
      <c r="A232" s="25" t="s">
        <v>61</v>
      </c>
      <c r="B232" s="25">
        <f t="array" ref="B232">XLOOKUP(A232, CURSOS!A:A, CURSOS!B:B)</f>
        <v>14</v>
      </c>
      <c r="C232" s="24" t="str">
        <f t="array" ref="C232">XLOOKUP(A232, CURSOS!A:A, CURSOS!C:C)</f>
        <v>GUARDIANES DE LA NOCHE</v>
      </c>
      <c r="D232" s="70" t="s">
        <v>250</v>
      </c>
      <c r="E232" s="48">
        <f t="array" ref="E232">XLOOKUP($D232,REGOLITOS!$A:$A,REGOLITOS!E:E)</f>
        <v>65</v>
      </c>
      <c r="F232" s="48" t="str">
        <f t="array" ref="F232">XLOOKUP($D232,REGOLITOS!$A:$A,REGOLITOS!F:F)</f>
        <v>Ingeniería Industrial</v>
      </c>
      <c r="G232" s="48" t="str">
        <f t="array" ref="G232">XLOOKUP($D232,REGOLITOS!$A:$A,REGOLITOS!G:G)</f>
        <v>Jalisco</v>
      </c>
      <c r="H232" s="48" t="str">
        <f t="array" ref="H232">XLOOKUP($D232,REGOLITOS!$A:$A,REGOLITOS!H:H)</f>
        <v>55 55 0096 0096</v>
      </c>
      <c r="I232" s="48" t="str">
        <f t="array" ref="I232">XLOOKUP($D232,REGOLITOS!$A:$A,REGOLITOS!I:I)</f>
        <v>usuario96@ejemplo.com</v>
      </c>
      <c r="J232" s="48" t="str">
        <f t="array" ref="J232">XLOOKUP($D232,REGOLITOS!$A:$A,REGOLITOS!J:J)</f>
        <v/>
      </c>
      <c r="K232" s="48" t="str">
        <f t="array" ref="K232">XLOOKUP($D232,REGOLITOS!$A:$A,REGOLITOS!K:K)</f>
        <v>Adulto Mayor</v>
      </c>
      <c r="L232" s="76" t="s">
        <v>1079</v>
      </c>
      <c r="M232" s="5" t="s">
        <v>1078</v>
      </c>
      <c r="N232" s="5" t="s">
        <v>1078</v>
      </c>
      <c r="O232" s="5" t="s">
        <v>1078</v>
      </c>
      <c r="P232" s="5" t="s">
        <v>1078</v>
      </c>
      <c r="Q232" s="5" t="s">
        <v>1080</v>
      </c>
      <c r="R232" s="5" t="s">
        <v>1078</v>
      </c>
      <c r="S232" s="5" t="s">
        <v>1080</v>
      </c>
      <c r="T232" s="5" t="s">
        <v>1078</v>
      </c>
      <c r="U232" s="5" t="s">
        <v>1078</v>
      </c>
      <c r="V232" s="5" t="s">
        <v>1078</v>
      </c>
      <c r="X232" s="71">
        <f t="shared" si="3"/>
        <v>8</v>
      </c>
      <c r="Y232" s="5" t="b">
        <v>1</v>
      </c>
    </row>
    <row r="233">
      <c r="A233" s="25" t="s">
        <v>61</v>
      </c>
      <c r="B233" s="25">
        <f t="array" ref="B233">XLOOKUP(A233, CURSOS!A:A, CURSOS!B:B)</f>
        <v>14</v>
      </c>
      <c r="C233" s="24" t="str">
        <f t="array" ref="C233">XLOOKUP(A233, CURSOS!A:A, CURSOS!C:C)</f>
        <v>GUARDIANES DE LA NOCHE</v>
      </c>
      <c r="D233" s="70" t="s">
        <v>258</v>
      </c>
      <c r="E233" s="48">
        <f t="array" ref="E233">XLOOKUP($D233,REGOLITOS!$A:$A,REGOLITOS!E:E)</f>
        <v>66</v>
      </c>
      <c r="F233" s="48" t="str">
        <f t="array" ref="F233">XLOOKUP($D233,REGOLITOS!$A:$A,REGOLITOS!F:F)</f>
        <v>Estudiante HS</v>
      </c>
      <c r="G233" s="48" t="str">
        <f t="array" ref="G233">XLOOKUP($D233,REGOLITOS!$A:$A,REGOLITOS!G:G)</f>
        <v>Jalisco</v>
      </c>
      <c r="H233" s="48" t="str">
        <f t="array" ref="H233">XLOOKUP($D233,REGOLITOS!$A:$A,REGOLITOS!H:H)</f>
        <v>55 55 0103 0103</v>
      </c>
      <c r="I233" s="48" t="str">
        <f t="array" ref="I233">XLOOKUP($D233,REGOLITOS!$A:$A,REGOLITOS!I:I)</f>
        <v>usuario103@ejemplo.com</v>
      </c>
      <c r="J233" s="48" t="str">
        <f t="array" ref="J233">XLOOKUP($D233,REGOLITOS!$A:$A,REGOLITOS!J:J)</f>
        <v/>
      </c>
      <c r="K233" s="48" t="str">
        <f t="array" ref="K233">XLOOKUP($D233,REGOLITOS!$A:$A,REGOLITOS!K:K)</f>
        <v>Adulto Mayor</v>
      </c>
      <c r="L233" s="76" t="s">
        <v>1079</v>
      </c>
      <c r="M233" s="5" t="s">
        <v>1078</v>
      </c>
      <c r="N233" s="5" t="s">
        <v>1080</v>
      </c>
      <c r="O233" s="5" t="s">
        <v>1078</v>
      </c>
      <c r="P233" s="5" t="s">
        <v>1078</v>
      </c>
      <c r="Q233" s="5" t="s">
        <v>1078</v>
      </c>
      <c r="R233" s="5" t="s">
        <v>1080</v>
      </c>
      <c r="S233" s="5" t="s">
        <v>1078</v>
      </c>
      <c r="T233" s="5" t="s">
        <v>1080</v>
      </c>
      <c r="U233" s="5" t="s">
        <v>1080</v>
      </c>
      <c r="V233" s="5" t="s">
        <v>1080</v>
      </c>
      <c r="X233" s="71">
        <f t="shared" si="3"/>
        <v>5</v>
      </c>
      <c r="Y233" s="5" t="b">
        <v>1</v>
      </c>
    </row>
    <row r="234">
      <c r="A234" s="25" t="s">
        <v>61</v>
      </c>
      <c r="B234" s="25">
        <f t="array" ref="B234">XLOOKUP(A234, CURSOS!A:A, CURSOS!B:B)</f>
        <v>14</v>
      </c>
      <c r="C234" s="24" t="str">
        <f t="array" ref="C234">XLOOKUP(A234, CURSOS!A:A, CURSOS!C:C)</f>
        <v>GUARDIANES DE LA NOCHE</v>
      </c>
      <c r="D234" s="70" t="s">
        <v>266</v>
      </c>
      <c r="E234" s="48">
        <f t="array" ref="E234">XLOOKUP($D234,REGOLITOS!$A:$A,REGOLITOS!E:E)</f>
        <v>27</v>
      </c>
      <c r="F234" s="48" t="str">
        <f t="array" ref="F234">XLOOKUP($D234,REGOLITOS!$A:$A,REGOLITOS!F:F)</f>
        <v>Docente</v>
      </c>
      <c r="G234" s="48" t="str">
        <f t="array" ref="G234">XLOOKUP($D234,REGOLITOS!$A:$A,REGOLITOS!G:G)</f>
        <v>Yucatán</v>
      </c>
      <c r="H234" s="48" t="str">
        <f t="array" ref="H234">XLOOKUP($D234,REGOLITOS!$A:$A,REGOLITOS!H:H)</f>
        <v>55 55 0108 0108</v>
      </c>
      <c r="I234" s="48" t="str">
        <f t="array" ref="I234">XLOOKUP($D234,REGOLITOS!$A:$A,REGOLITOS!I:I)</f>
        <v>usuario108@ejemplo.com</v>
      </c>
      <c r="J234" s="48" t="str">
        <f t="array" ref="J234">XLOOKUP($D234,REGOLITOS!$A:$A,REGOLITOS!J:J)</f>
        <v/>
      </c>
      <c r="K234" s="48" t="str">
        <f t="array" ref="K234">XLOOKUP($D234,REGOLITOS!$A:$A,REGOLITOS!K:K)</f>
        <v>Jóven adulto</v>
      </c>
      <c r="L234" s="76" t="s">
        <v>1079</v>
      </c>
      <c r="M234" s="5" t="s">
        <v>1078</v>
      </c>
      <c r="N234" s="5" t="s">
        <v>1080</v>
      </c>
      <c r="O234" s="5" t="s">
        <v>1078</v>
      </c>
      <c r="P234" s="5" t="s">
        <v>1078</v>
      </c>
      <c r="Q234" s="5" t="s">
        <v>1080</v>
      </c>
      <c r="R234" s="5" t="s">
        <v>1078</v>
      </c>
      <c r="S234" s="5" t="s">
        <v>1078</v>
      </c>
      <c r="T234" s="5" t="s">
        <v>1078</v>
      </c>
      <c r="U234" s="5" t="s">
        <v>1078</v>
      </c>
      <c r="V234" s="5" t="s">
        <v>1080</v>
      </c>
      <c r="X234" s="71">
        <f t="shared" si="3"/>
        <v>7</v>
      </c>
      <c r="Y234" s="5" t="b">
        <v>1</v>
      </c>
    </row>
    <row r="235">
      <c r="A235" s="25" t="s">
        <v>61</v>
      </c>
      <c r="B235" s="25">
        <f t="array" ref="B235">XLOOKUP(A235, CURSOS!A:A, CURSOS!B:B)</f>
        <v>14</v>
      </c>
      <c r="C235" s="24" t="str">
        <f t="array" ref="C235">XLOOKUP(A235, CURSOS!A:A, CURSOS!C:C)</f>
        <v>GUARDIANES DE LA NOCHE</v>
      </c>
      <c r="D235" s="70" t="s">
        <v>267</v>
      </c>
      <c r="E235" s="48">
        <f t="array" ref="E235">XLOOKUP($D235,REGOLITOS!$A:$A,REGOLITOS!E:E)</f>
        <v>47</v>
      </c>
      <c r="F235" s="48" t="str">
        <f t="array" ref="F235">XLOOKUP($D235,REGOLITOS!$A:$A,REGOLITOS!F:F)</f>
        <v>Estudiante</v>
      </c>
      <c r="G235" s="48" t="str">
        <f t="array" ref="G235">XLOOKUP($D235,REGOLITOS!$A:$A,REGOLITOS!G:G)</f>
        <v>Querétaro</v>
      </c>
      <c r="H235" s="48" t="str">
        <f t="array" ref="H235">XLOOKUP($D235,REGOLITOS!$A:$A,REGOLITOS!H:H)</f>
        <v>55 55 0109 0109</v>
      </c>
      <c r="I235" s="48" t="str">
        <f t="array" ref="I235">XLOOKUP($D235,REGOLITOS!$A:$A,REGOLITOS!I:I)</f>
        <v>usuario109@ejemplo.com</v>
      </c>
      <c r="J235" s="48" t="str">
        <f t="array" ref="J235">XLOOKUP($D235,REGOLITOS!$A:$A,REGOLITOS!J:J)</f>
        <v/>
      </c>
      <c r="K235" s="48" t="str">
        <f t="array" ref="K235">XLOOKUP($D235,REGOLITOS!$A:$A,REGOLITOS!K:K)</f>
        <v>Adulto</v>
      </c>
      <c r="L235" s="76" t="s">
        <v>1079</v>
      </c>
      <c r="M235" s="5" t="s">
        <v>1078</v>
      </c>
      <c r="N235" s="5" t="s">
        <v>1078</v>
      </c>
      <c r="O235" s="5" t="s">
        <v>1078</v>
      </c>
      <c r="P235" s="5" t="s">
        <v>1078</v>
      </c>
      <c r="Q235" s="5" t="s">
        <v>1078</v>
      </c>
      <c r="R235" s="5" t="s">
        <v>1080</v>
      </c>
      <c r="S235" s="5" t="s">
        <v>1080</v>
      </c>
      <c r="T235" s="5" t="s">
        <v>1080</v>
      </c>
      <c r="U235" s="5" t="s">
        <v>1078</v>
      </c>
      <c r="V235" s="5" t="s">
        <v>1080</v>
      </c>
      <c r="X235" s="71">
        <f t="shared" si="3"/>
        <v>6</v>
      </c>
      <c r="Y235" s="5" t="b">
        <v>1</v>
      </c>
    </row>
    <row r="236">
      <c r="A236" s="25" t="s">
        <v>61</v>
      </c>
      <c r="B236" s="25">
        <f t="array" ref="B236">XLOOKUP(A236, CURSOS!A:A, CURSOS!B:B)</f>
        <v>14</v>
      </c>
      <c r="C236" s="24" t="str">
        <f t="array" ref="C236">XLOOKUP(A236, CURSOS!A:A, CURSOS!C:C)</f>
        <v>GUARDIANES DE LA NOCHE</v>
      </c>
      <c r="D236" s="70" t="s">
        <v>274</v>
      </c>
      <c r="E236" s="48">
        <f t="array" ref="E236">XLOOKUP($D236,REGOLITOS!$A:$A,REGOLITOS!E:E)</f>
        <v>9</v>
      </c>
      <c r="F236" s="48" t="str">
        <f t="array" ref="F236">XLOOKUP($D236,REGOLITOS!$A:$A,REGOLITOS!F:F)</f>
        <v>Jubilado </v>
      </c>
      <c r="G236" s="48" t="str">
        <f t="array" ref="G236">XLOOKUP($D236,REGOLITOS!$A:$A,REGOLITOS!G:G)</f>
        <v>Ciudad de México</v>
      </c>
      <c r="H236" s="48" t="str">
        <f t="array" ref="H236">XLOOKUP($D236,REGOLITOS!$A:$A,REGOLITOS!H:H)</f>
        <v>55 55 0114 0114</v>
      </c>
      <c r="I236" s="48" t="str">
        <f t="array" ref="I236">XLOOKUP($D236,REGOLITOS!$A:$A,REGOLITOS!I:I)</f>
        <v>usuario114@ejemplo.com</v>
      </c>
      <c r="J236" s="48" t="str">
        <f t="array" ref="J236">XLOOKUP($D236,REGOLITOS!$A:$A,REGOLITOS!J:J)</f>
        <v>Tutor_114</v>
      </c>
      <c r="K236" s="48" t="str">
        <f t="array" ref="K236">XLOOKUP($D236,REGOLITOS!$A:$A,REGOLITOS!K:K)</f>
        <v>Infancia</v>
      </c>
      <c r="L236" s="76" t="s">
        <v>1079</v>
      </c>
      <c r="M236" s="5" t="s">
        <v>1080</v>
      </c>
      <c r="N236" s="5" t="s">
        <v>1080</v>
      </c>
      <c r="O236" s="5" t="s">
        <v>1080</v>
      </c>
      <c r="P236" s="5" t="s">
        <v>1078</v>
      </c>
      <c r="Q236" s="5" t="s">
        <v>1080</v>
      </c>
      <c r="R236" s="5" t="s">
        <v>1078</v>
      </c>
      <c r="S236" s="5" t="s">
        <v>1078</v>
      </c>
      <c r="T236" s="5" t="s">
        <v>1080</v>
      </c>
      <c r="U236" s="5" t="s">
        <v>1078</v>
      </c>
      <c r="V236" s="5" t="s">
        <v>1080</v>
      </c>
      <c r="X236" s="71">
        <f t="shared" si="3"/>
        <v>4</v>
      </c>
      <c r="Y236" s="5" t="b">
        <v>1</v>
      </c>
    </row>
    <row r="237">
      <c r="A237" s="25" t="s">
        <v>61</v>
      </c>
      <c r="B237" s="25">
        <f t="array" ref="B237">XLOOKUP(A237, CURSOS!A:A, CURSOS!B:B)</f>
        <v>14</v>
      </c>
      <c r="C237" s="24" t="str">
        <f t="array" ref="C237">XLOOKUP(A237, CURSOS!A:A, CURSOS!C:C)</f>
        <v>GUARDIANES DE LA NOCHE</v>
      </c>
      <c r="D237" s="70" t="s">
        <v>280</v>
      </c>
      <c r="E237" s="48">
        <f t="array" ref="E237">XLOOKUP($D237,REGOLITOS!$A:$A,REGOLITOS!E:E)</f>
        <v>21</v>
      </c>
      <c r="F237" s="48" t="str">
        <f t="array" ref="F237">XLOOKUP($D237,REGOLITOS!$A:$A,REGOLITOS!F:F)</f>
        <v>Estudiante </v>
      </c>
      <c r="G237" s="48" t="str">
        <f t="array" ref="G237">XLOOKUP($D237,REGOLITOS!$A:$A,REGOLITOS!G:G)</f>
        <v>Estado de México</v>
      </c>
      <c r="H237" s="48" t="str">
        <f t="array" ref="H237">XLOOKUP($D237,REGOLITOS!$A:$A,REGOLITOS!H:H)</f>
        <v>55 55 0119 0119</v>
      </c>
      <c r="I237" s="48" t="str">
        <f t="array" ref="I237">XLOOKUP($D237,REGOLITOS!$A:$A,REGOLITOS!I:I)</f>
        <v>usuario119@ejemplo.com</v>
      </c>
      <c r="J237" s="48" t="str">
        <f t="array" ref="J237">XLOOKUP($D237,REGOLITOS!$A:$A,REGOLITOS!J:J)</f>
        <v/>
      </c>
      <c r="K237" s="48" t="str">
        <f t="array" ref="K237">XLOOKUP($D237,REGOLITOS!$A:$A,REGOLITOS!K:K)</f>
        <v>Jóven adulto</v>
      </c>
      <c r="L237" s="76" t="s">
        <v>1079</v>
      </c>
      <c r="M237" s="5" t="s">
        <v>1080</v>
      </c>
      <c r="N237" s="5" t="s">
        <v>1078</v>
      </c>
      <c r="O237" s="5" t="s">
        <v>1078</v>
      </c>
      <c r="P237" s="5" t="s">
        <v>1078</v>
      </c>
      <c r="Q237" s="5" t="s">
        <v>1078</v>
      </c>
      <c r="R237" s="5" t="s">
        <v>1080</v>
      </c>
      <c r="S237" s="5" t="s">
        <v>1080</v>
      </c>
      <c r="T237" s="5" t="s">
        <v>1080</v>
      </c>
      <c r="U237" s="5" t="s">
        <v>1080</v>
      </c>
      <c r="V237" s="5" t="s">
        <v>1080</v>
      </c>
      <c r="X237" s="71">
        <f t="shared" si="3"/>
        <v>4</v>
      </c>
      <c r="Y237" s="5" t="b">
        <v>1</v>
      </c>
    </row>
    <row r="238">
      <c r="A238" s="25" t="s">
        <v>61</v>
      </c>
      <c r="B238" s="25">
        <f t="array" ref="B238">XLOOKUP(A238, CURSOS!A:A, CURSOS!B:B)</f>
        <v>14</v>
      </c>
      <c r="C238" s="24" t="str">
        <f t="array" ref="C238">XLOOKUP(A238, CURSOS!A:A, CURSOS!C:C)</f>
        <v>GUARDIANES DE LA NOCHE</v>
      </c>
      <c r="D238" s="70" t="s">
        <v>287</v>
      </c>
      <c r="E238" s="48">
        <f t="array" ref="E238">XLOOKUP($D238,REGOLITOS!$A:$A,REGOLITOS!E:E)</f>
        <v>66</v>
      </c>
      <c r="F238" s="48" t="str">
        <f t="array" ref="F238">XLOOKUP($D238,REGOLITOS!$A:$A,REGOLITOS!F:F)</f>
        <v>Trabajo</v>
      </c>
      <c r="G238" s="48" t="str">
        <f t="array" ref="G238">XLOOKUP($D238,REGOLITOS!$A:$A,REGOLITOS!G:G)</f>
        <v>Morelos</v>
      </c>
      <c r="H238" s="48" t="str">
        <f t="array" ref="H238">XLOOKUP($D238,REGOLITOS!$A:$A,REGOLITOS!H:H)</f>
        <v>55 55 0125 0125</v>
      </c>
      <c r="I238" s="48" t="str">
        <f t="array" ref="I238">XLOOKUP($D238,REGOLITOS!$A:$A,REGOLITOS!I:I)</f>
        <v>usuario125@ejemplo.com</v>
      </c>
      <c r="J238" s="48" t="str">
        <f t="array" ref="J238">XLOOKUP($D238,REGOLITOS!$A:$A,REGOLITOS!J:J)</f>
        <v/>
      </c>
      <c r="K238" s="48" t="str">
        <f t="array" ref="K238">XLOOKUP($D238,REGOLITOS!$A:$A,REGOLITOS!K:K)</f>
        <v>Adulto Mayor</v>
      </c>
      <c r="L238" s="76" t="s">
        <v>1079</v>
      </c>
      <c r="M238" s="5" t="s">
        <v>1078</v>
      </c>
      <c r="N238" s="5" t="s">
        <v>1078</v>
      </c>
      <c r="O238" s="5" t="s">
        <v>1078</v>
      </c>
      <c r="P238" s="5" t="s">
        <v>1078</v>
      </c>
      <c r="Q238" s="5" t="s">
        <v>1080</v>
      </c>
      <c r="R238" s="5" t="s">
        <v>1078</v>
      </c>
      <c r="S238" s="5" t="s">
        <v>1078</v>
      </c>
      <c r="T238" s="5" t="s">
        <v>1080</v>
      </c>
      <c r="U238" s="5" t="s">
        <v>1080</v>
      </c>
      <c r="V238" s="5" t="s">
        <v>1080</v>
      </c>
      <c r="X238" s="71">
        <f t="shared" si="3"/>
        <v>6</v>
      </c>
      <c r="Y238" s="5" t="b">
        <v>1</v>
      </c>
    </row>
    <row r="239">
      <c r="A239" s="25" t="s">
        <v>61</v>
      </c>
      <c r="B239" s="25">
        <f t="array" ref="B239">XLOOKUP(A239, CURSOS!A:A, CURSOS!B:B)</f>
        <v>14</v>
      </c>
      <c r="C239" s="24" t="str">
        <f t="array" ref="C239">XLOOKUP(A239, CURSOS!A:A, CURSOS!C:C)</f>
        <v>GUARDIANES DE LA NOCHE</v>
      </c>
      <c r="D239" s="70" t="s">
        <v>298</v>
      </c>
      <c r="E239" s="48">
        <f t="array" ref="E239">XLOOKUP($D239,REGOLITOS!$A:$A,REGOLITOS!E:E)</f>
        <v>97</v>
      </c>
      <c r="F239" s="48" t="str">
        <f t="array" ref="F239">XLOOKUP($D239,REGOLITOS!$A:$A,REGOLITOS!F:F)</f>
        <v>Ingeniero en iluminación </v>
      </c>
      <c r="G239" s="48" t="str">
        <f t="array" ref="G239">XLOOKUP($D239,REGOLITOS!$A:$A,REGOLITOS!G:G)</f>
        <v>Ciudad de México</v>
      </c>
      <c r="H239" s="48" t="str">
        <f t="array" ref="H239">XLOOKUP($D239,REGOLITOS!$A:$A,REGOLITOS!H:H)</f>
        <v>55 55 0131 0131</v>
      </c>
      <c r="I239" s="48" t="str">
        <f t="array" ref="I239">XLOOKUP($D239,REGOLITOS!$A:$A,REGOLITOS!I:I)</f>
        <v>usuario131@ejemplo.com</v>
      </c>
      <c r="J239" s="48" t="str">
        <f t="array" ref="J239">XLOOKUP($D239,REGOLITOS!$A:$A,REGOLITOS!J:J)</f>
        <v/>
      </c>
      <c r="K239" s="48" t="str">
        <f t="array" ref="K239">XLOOKUP($D239,REGOLITOS!$A:$A,REGOLITOS!K:K)</f>
        <v>Adulto Mayor</v>
      </c>
      <c r="L239" s="76" t="s">
        <v>1079</v>
      </c>
      <c r="M239" s="5" t="s">
        <v>1078</v>
      </c>
      <c r="N239" s="5" t="s">
        <v>1078</v>
      </c>
      <c r="O239" s="5" t="s">
        <v>1078</v>
      </c>
      <c r="P239" s="5" t="s">
        <v>1078</v>
      </c>
      <c r="Q239" s="5" t="s">
        <v>1078</v>
      </c>
      <c r="R239" s="5" t="s">
        <v>1078</v>
      </c>
      <c r="S239" s="5" t="s">
        <v>1078</v>
      </c>
      <c r="T239" s="5" t="s">
        <v>1080</v>
      </c>
      <c r="U239" s="5" t="s">
        <v>1078</v>
      </c>
      <c r="V239" s="5" t="s">
        <v>1078</v>
      </c>
      <c r="X239" s="71">
        <f t="shared" si="3"/>
        <v>9</v>
      </c>
      <c r="Y239" s="5" t="b">
        <v>1</v>
      </c>
    </row>
    <row r="240">
      <c r="A240" s="25" t="s">
        <v>61</v>
      </c>
      <c r="B240" s="25">
        <f t="array" ref="B240">XLOOKUP(A240, CURSOS!A:A, CURSOS!B:B)</f>
        <v>14</v>
      </c>
      <c r="C240" s="24" t="str">
        <f t="array" ref="C240">XLOOKUP(A240, CURSOS!A:A, CURSOS!C:C)</f>
        <v>GUARDIANES DE LA NOCHE</v>
      </c>
      <c r="D240" s="70" t="s">
        <v>306</v>
      </c>
      <c r="E240" s="48">
        <f t="array" ref="E240">XLOOKUP($D240,REGOLITOS!$A:$A,REGOLITOS!E:E)</f>
        <v>26</v>
      </c>
      <c r="F240" s="48" t="str">
        <f t="array" ref="F240">XLOOKUP($D240,REGOLITOS!$A:$A,REGOLITOS!F:F)</f>
        <v>Desconocido</v>
      </c>
      <c r="G240" s="48" t="str">
        <f t="array" ref="G240">XLOOKUP($D240,REGOLITOS!$A:$A,REGOLITOS!G:G)</f>
        <v>Desconocido</v>
      </c>
      <c r="H240" s="48" t="str">
        <f t="array" ref="H240">XLOOKUP($D240,REGOLITOS!$A:$A,REGOLITOS!H:H)</f>
        <v>55 55 0136 0136</v>
      </c>
      <c r="I240" s="48" t="str">
        <f t="array" ref="I240">XLOOKUP($D240,REGOLITOS!$A:$A,REGOLITOS!I:I)</f>
        <v>usuario136@ejemplo.com</v>
      </c>
      <c r="J240" s="48" t="str">
        <f t="array" ref="J240">XLOOKUP($D240,REGOLITOS!$A:$A,REGOLITOS!J:J)</f>
        <v/>
      </c>
      <c r="K240" s="48" t="str">
        <f t="array" ref="K240">XLOOKUP($D240,REGOLITOS!$A:$A,REGOLITOS!K:K)</f>
        <v>Jóven adulto</v>
      </c>
      <c r="L240" s="76" t="s">
        <v>1079</v>
      </c>
      <c r="M240" s="5" t="s">
        <v>1078</v>
      </c>
      <c r="N240" s="5" t="s">
        <v>1080</v>
      </c>
      <c r="O240" s="5" t="s">
        <v>1080</v>
      </c>
      <c r="P240" s="5" t="s">
        <v>1080</v>
      </c>
      <c r="Q240" s="5" t="s">
        <v>1080</v>
      </c>
      <c r="R240" s="5" t="s">
        <v>1078</v>
      </c>
      <c r="S240" s="5" t="s">
        <v>1080</v>
      </c>
      <c r="T240" s="5" t="s">
        <v>1078</v>
      </c>
      <c r="U240" s="5" t="s">
        <v>1078</v>
      </c>
      <c r="V240" s="5" t="s">
        <v>1080</v>
      </c>
      <c r="X240" s="71">
        <f t="shared" si="3"/>
        <v>4</v>
      </c>
      <c r="Y240" s="5" t="b">
        <v>1</v>
      </c>
    </row>
    <row r="241">
      <c r="A241" s="25" t="s">
        <v>61</v>
      </c>
      <c r="B241" s="25">
        <f t="array" ref="B241">XLOOKUP(A241, CURSOS!A:A, CURSOS!B:B)</f>
        <v>14</v>
      </c>
      <c r="C241" s="24" t="str">
        <f t="array" ref="C241">XLOOKUP(A241, CURSOS!A:A, CURSOS!C:C)</f>
        <v>GUARDIANES DE LA NOCHE</v>
      </c>
      <c r="D241" s="70" t="s">
        <v>307</v>
      </c>
      <c r="E241" s="48">
        <f t="array" ref="E241">XLOOKUP($D241,REGOLITOS!$A:$A,REGOLITOS!E:E)</f>
        <v>56</v>
      </c>
      <c r="F241" s="48" t="str">
        <f t="array" ref="F241">XLOOKUP($D241,REGOLITOS!$A:$A,REGOLITOS!F:F)</f>
        <v>Estudiante </v>
      </c>
      <c r="G241" s="48" t="str">
        <f t="array" ref="G241">XLOOKUP($D241,REGOLITOS!$A:$A,REGOLITOS!G:G)</f>
        <v>Ciudad de México</v>
      </c>
      <c r="H241" s="48" t="str">
        <f t="array" ref="H241">XLOOKUP($D241,REGOLITOS!$A:$A,REGOLITOS!H:H)</f>
        <v>55 55 0137 0137</v>
      </c>
      <c r="I241" s="48" t="str">
        <f t="array" ref="I241">XLOOKUP($D241,REGOLITOS!$A:$A,REGOLITOS!I:I)</f>
        <v>usuario137@ejemplo.com</v>
      </c>
      <c r="J241" s="48" t="str">
        <f t="array" ref="J241">XLOOKUP($D241,REGOLITOS!$A:$A,REGOLITOS!J:J)</f>
        <v/>
      </c>
      <c r="K241" s="48" t="str">
        <f t="array" ref="K241">XLOOKUP($D241,REGOLITOS!$A:$A,REGOLITOS!K:K)</f>
        <v>Adulto</v>
      </c>
      <c r="L241" s="76" t="s">
        <v>1079</v>
      </c>
      <c r="M241" s="5" t="s">
        <v>1080</v>
      </c>
      <c r="N241" s="5" t="s">
        <v>1080</v>
      </c>
      <c r="O241" s="5" t="s">
        <v>1078</v>
      </c>
      <c r="P241" s="5" t="s">
        <v>1080</v>
      </c>
      <c r="Q241" s="5" t="s">
        <v>1078</v>
      </c>
      <c r="R241" s="5" t="s">
        <v>1080</v>
      </c>
      <c r="S241" s="5" t="s">
        <v>1078</v>
      </c>
      <c r="T241" s="5" t="s">
        <v>1080</v>
      </c>
      <c r="U241" s="5" t="s">
        <v>1078</v>
      </c>
      <c r="V241" s="5" t="s">
        <v>1078</v>
      </c>
      <c r="X241" s="71">
        <f t="shared" si="3"/>
        <v>5</v>
      </c>
      <c r="Y241" s="5" t="b">
        <v>1</v>
      </c>
    </row>
    <row r="242">
      <c r="A242" s="25" t="s">
        <v>61</v>
      </c>
      <c r="B242" s="25">
        <f t="array" ref="B242">XLOOKUP(A242, CURSOS!A:A, CURSOS!B:B)</f>
        <v>14</v>
      </c>
      <c r="C242" s="24" t="str">
        <f t="array" ref="C242">XLOOKUP(A242, CURSOS!A:A, CURSOS!C:C)</f>
        <v>GUARDIANES DE LA NOCHE</v>
      </c>
      <c r="D242" s="70" t="s">
        <v>314</v>
      </c>
      <c r="E242" s="48">
        <f t="array" ref="E242">XLOOKUP($D242,REGOLITOS!$A:$A,REGOLITOS!E:E)</f>
        <v>8</v>
      </c>
      <c r="F242" s="48" t="str">
        <f t="array" ref="F242">XLOOKUP($D242,REGOLITOS!$A:$A,REGOLITOS!F:F)</f>
        <v>Estudiante</v>
      </c>
      <c r="G242" s="48" t="str">
        <f t="array" ref="G242">XLOOKUP($D242,REGOLITOS!$A:$A,REGOLITOS!G:G)</f>
        <v>Ciudad de México</v>
      </c>
      <c r="H242" s="48" t="str">
        <f t="array" ref="H242">XLOOKUP($D242,REGOLITOS!$A:$A,REGOLITOS!H:H)</f>
        <v>55 55 0142 0142</v>
      </c>
      <c r="I242" s="48" t="str">
        <f t="array" ref="I242">XLOOKUP($D242,REGOLITOS!$A:$A,REGOLITOS!I:I)</f>
        <v>usuario142@ejemplo.com</v>
      </c>
      <c r="J242" s="48" t="str">
        <f t="array" ref="J242">XLOOKUP($D242,REGOLITOS!$A:$A,REGOLITOS!J:J)</f>
        <v>Tutor_142</v>
      </c>
      <c r="K242" s="48" t="str">
        <f t="array" ref="K242">XLOOKUP($D242,REGOLITOS!$A:$A,REGOLITOS!K:K)</f>
        <v>Infancia</v>
      </c>
      <c r="L242" s="76" t="s">
        <v>1079</v>
      </c>
      <c r="M242" s="5" t="s">
        <v>1078</v>
      </c>
      <c r="N242" s="5" t="s">
        <v>1078</v>
      </c>
      <c r="O242" s="5" t="s">
        <v>1078</v>
      </c>
      <c r="P242" s="5" t="s">
        <v>1078</v>
      </c>
      <c r="Q242" s="5" t="s">
        <v>1078</v>
      </c>
      <c r="R242" s="5" t="s">
        <v>1078</v>
      </c>
      <c r="S242" s="5" t="s">
        <v>1078</v>
      </c>
      <c r="T242" s="5" t="s">
        <v>1078</v>
      </c>
      <c r="U242" s="5" t="s">
        <v>1078</v>
      </c>
      <c r="V242" s="5" t="s">
        <v>1078</v>
      </c>
      <c r="X242" s="71">
        <f t="shared" si="3"/>
        <v>10</v>
      </c>
      <c r="Y242" s="5" t="b">
        <v>1</v>
      </c>
    </row>
    <row r="243">
      <c r="A243" s="25" t="s">
        <v>61</v>
      </c>
      <c r="B243" s="25">
        <f t="array" ref="B243">XLOOKUP(A243, CURSOS!A:A, CURSOS!B:B)</f>
        <v>14</v>
      </c>
      <c r="C243" s="24" t="str">
        <f t="array" ref="C243">XLOOKUP(A243, CURSOS!A:A, CURSOS!C:C)</f>
        <v>GUARDIANES DE LA NOCHE</v>
      </c>
      <c r="D243" s="70" t="s">
        <v>318</v>
      </c>
      <c r="E243" s="48">
        <f t="array" ref="E243">XLOOKUP($D243,REGOLITOS!$A:$A,REGOLITOS!E:E)</f>
        <v>73</v>
      </c>
      <c r="F243" s="48" t="str">
        <f t="array" ref="F243">XLOOKUP($D243,REGOLITOS!$A:$A,REGOLITOS!F:F)</f>
        <v>Oficinista</v>
      </c>
      <c r="G243" s="48" t="str">
        <f t="array" ref="G243">XLOOKUP($D243,REGOLITOS!$A:$A,REGOLITOS!G:G)</f>
        <v>Querétaro</v>
      </c>
      <c r="H243" s="48" t="str">
        <f t="array" ref="H243">XLOOKUP($D243,REGOLITOS!$A:$A,REGOLITOS!H:H)</f>
        <v>55 55 0145 0145</v>
      </c>
      <c r="I243" s="48" t="str">
        <f t="array" ref="I243">XLOOKUP($D243,REGOLITOS!$A:$A,REGOLITOS!I:I)</f>
        <v>usuario145@ejemplo.com</v>
      </c>
      <c r="J243" s="48" t="str">
        <f t="array" ref="J243">XLOOKUP($D243,REGOLITOS!$A:$A,REGOLITOS!J:J)</f>
        <v/>
      </c>
      <c r="K243" s="48" t="str">
        <f t="array" ref="K243">XLOOKUP($D243,REGOLITOS!$A:$A,REGOLITOS!K:K)</f>
        <v>Adulto Mayor</v>
      </c>
      <c r="L243" s="76" t="s">
        <v>1079</v>
      </c>
      <c r="M243" s="5" t="s">
        <v>1078</v>
      </c>
      <c r="N243" s="5" t="s">
        <v>1080</v>
      </c>
      <c r="O243" s="5" t="s">
        <v>1078</v>
      </c>
      <c r="P243" s="5" t="s">
        <v>1078</v>
      </c>
      <c r="Q243" s="5" t="s">
        <v>1080</v>
      </c>
      <c r="R243" s="5" t="s">
        <v>1080</v>
      </c>
      <c r="S243" s="5" t="s">
        <v>1078</v>
      </c>
      <c r="T243" s="5" t="s">
        <v>1078</v>
      </c>
      <c r="U243" s="5" t="s">
        <v>1078</v>
      </c>
      <c r="V243" s="5" t="s">
        <v>1080</v>
      </c>
      <c r="X243" s="71">
        <f t="shared" si="3"/>
        <v>6</v>
      </c>
      <c r="Y243" s="5" t="b">
        <v>1</v>
      </c>
    </row>
    <row r="244">
      <c r="A244" s="25" t="s">
        <v>61</v>
      </c>
      <c r="B244" s="25">
        <f t="array" ref="B244">XLOOKUP(A244, CURSOS!A:A, CURSOS!B:B)</f>
        <v>14</v>
      </c>
      <c r="C244" s="24" t="str">
        <f t="array" ref="C244">XLOOKUP(A244, CURSOS!A:A, CURSOS!C:C)</f>
        <v>GUARDIANES DE LA NOCHE</v>
      </c>
      <c r="D244" s="70" t="s">
        <v>320</v>
      </c>
      <c r="E244" s="48">
        <f t="array" ref="E244">XLOOKUP($D244,REGOLITOS!$A:$A,REGOLITOS!E:E)</f>
        <v>62</v>
      </c>
      <c r="F244" s="48" t="str">
        <f t="array" ref="F244">XLOOKUP($D244,REGOLITOS!$A:$A,REGOLITOS!F:F)</f>
        <v>Estudiante</v>
      </c>
      <c r="G244" s="48" t="str">
        <f t="array" ref="G244">XLOOKUP($D244,REGOLITOS!$A:$A,REGOLITOS!G:G)</f>
        <v>Ciudad de México</v>
      </c>
      <c r="H244" s="48" t="str">
        <f t="array" ref="H244">XLOOKUP($D244,REGOLITOS!$A:$A,REGOLITOS!H:H)</f>
        <v>55 55 0146 0146</v>
      </c>
      <c r="I244" s="48" t="str">
        <f t="array" ref="I244">XLOOKUP($D244,REGOLITOS!$A:$A,REGOLITOS!I:I)</f>
        <v>usuario146@ejemplo.com</v>
      </c>
      <c r="J244" s="48" t="str">
        <f t="array" ref="J244">XLOOKUP($D244,REGOLITOS!$A:$A,REGOLITOS!J:J)</f>
        <v/>
      </c>
      <c r="K244" s="48" t="str">
        <f t="array" ref="K244">XLOOKUP($D244,REGOLITOS!$A:$A,REGOLITOS!K:K)</f>
        <v>Adulto Mayor</v>
      </c>
      <c r="L244" s="76" t="s">
        <v>1079</v>
      </c>
      <c r="M244" s="5" t="s">
        <v>1078</v>
      </c>
      <c r="N244" s="5" t="s">
        <v>1078</v>
      </c>
      <c r="O244" s="5" t="s">
        <v>1080</v>
      </c>
      <c r="P244" s="5" t="s">
        <v>1078</v>
      </c>
      <c r="Q244" s="5" t="s">
        <v>1078</v>
      </c>
      <c r="R244" s="5" t="s">
        <v>1078</v>
      </c>
      <c r="S244" s="5" t="s">
        <v>1080</v>
      </c>
      <c r="T244" s="5" t="s">
        <v>1080</v>
      </c>
      <c r="U244" s="5" t="s">
        <v>1078</v>
      </c>
      <c r="V244" s="5" t="s">
        <v>1078</v>
      </c>
      <c r="X244" s="71">
        <f t="shared" si="3"/>
        <v>7</v>
      </c>
      <c r="Y244" s="5" t="b">
        <v>1</v>
      </c>
    </row>
    <row r="245">
      <c r="A245" s="25" t="s">
        <v>61</v>
      </c>
      <c r="B245" s="25">
        <f t="array" ref="B245">XLOOKUP(A245, CURSOS!A:A, CURSOS!B:B)</f>
        <v>14</v>
      </c>
      <c r="C245" s="24" t="str">
        <f t="array" ref="C245">XLOOKUP(A245, CURSOS!A:A, CURSOS!C:C)</f>
        <v>GUARDIANES DE LA NOCHE</v>
      </c>
      <c r="D245" s="70" t="s">
        <v>334</v>
      </c>
      <c r="E245" s="48">
        <f t="array" ref="E245">XLOOKUP($D245,REGOLITOS!$A:$A,REGOLITOS!E:E)</f>
        <v>17</v>
      </c>
      <c r="F245" s="48" t="str">
        <f t="array" ref="F245">XLOOKUP($D245,REGOLITOS!$A:$A,REGOLITOS!F:F)</f>
        <v>Trabajo en la aviación </v>
      </c>
      <c r="G245" s="48" t="str">
        <f t="array" ref="G245">XLOOKUP($D245,REGOLITOS!$A:$A,REGOLITOS!G:G)</f>
        <v>Ciudad de México</v>
      </c>
      <c r="H245" s="48" t="str">
        <f t="array" ref="H245">XLOOKUP($D245,REGOLITOS!$A:$A,REGOLITOS!H:H)</f>
        <v>55 55 0156 0156</v>
      </c>
      <c r="I245" s="48" t="str">
        <f t="array" ref="I245">XLOOKUP($D245,REGOLITOS!$A:$A,REGOLITOS!I:I)</f>
        <v>usuario156@ejemplo.com</v>
      </c>
      <c r="J245" s="48" t="str">
        <f t="array" ref="J245">XLOOKUP($D245,REGOLITOS!$A:$A,REGOLITOS!J:J)</f>
        <v>Tutor_156</v>
      </c>
      <c r="K245" s="48" t="str">
        <f t="array" ref="K245">XLOOKUP($D245,REGOLITOS!$A:$A,REGOLITOS!K:K)</f>
        <v>Adolescente</v>
      </c>
      <c r="L245" s="76" t="s">
        <v>1079</v>
      </c>
      <c r="M245" s="5" t="s">
        <v>1080</v>
      </c>
      <c r="N245" s="5" t="s">
        <v>1080</v>
      </c>
      <c r="O245" s="5" t="s">
        <v>1078</v>
      </c>
      <c r="P245" s="5" t="s">
        <v>1078</v>
      </c>
      <c r="Q245" s="5" t="s">
        <v>1078</v>
      </c>
      <c r="R245" s="5" t="s">
        <v>1078</v>
      </c>
      <c r="S245" s="5" t="s">
        <v>1080</v>
      </c>
      <c r="T245" s="5" t="s">
        <v>1078</v>
      </c>
      <c r="U245" s="5" t="s">
        <v>1080</v>
      </c>
      <c r="V245" s="5" t="s">
        <v>1078</v>
      </c>
      <c r="X245" s="71">
        <f t="shared" si="3"/>
        <v>6</v>
      </c>
      <c r="Y245" s="5" t="b">
        <v>1</v>
      </c>
    </row>
    <row r="246">
      <c r="A246" s="25" t="s">
        <v>61</v>
      </c>
      <c r="B246" s="25">
        <f t="array" ref="B246">XLOOKUP(A246, CURSOS!A:A, CURSOS!B:B)</f>
        <v>14</v>
      </c>
      <c r="C246" s="24" t="str">
        <f t="array" ref="C246">XLOOKUP(A246, CURSOS!A:A, CURSOS!C:C)</f>
        <v>GUARDIANES DE LA NOCHE</v>
      </c>
      <c r="D246" s="70" t="s">
        <v>346</v>
      </c>
      <c r="E246" s="48">
        <f t="array" ref="E246">XLOOKUP($D246,REGOLITOS!$A:$A,REGOLITOS!E:E)</f>
        <v>78</v>
      </c>
      <c r="F246" s="48" t="str">
        <f t="array" ref="F246">XLOOKUP($D246,REGOLITOS!$A:$A,REGOLITOS!F:F)</f>
        <v>Estudiante </v>
      </c>
      <c r="G246" s="48" t="str">
        <f t="array" ref="G246">XLOOKUP($D246,REGOLITOS!$A:$A,REGOLITOS!G:G)</f>
        <v>Guatemala</v>
      </c>
      <c r="H246" s="48" t="str">
        <f t="array" ref="H246">XLOOKUP($D246,REGOLITOS!$A:$A,REGOLITOS!H:H)</f>
        <v>55 55 0164 0164</v>
      </c>
      <c r="I246" s="48" t="str">
        <f t="array" ref="I246">XLOOKUP($D246,REGOLITOS!$A:$A,REGOLITOS!I:I)</f>
        <v>usuario164@ejemplo.com</v>
      </c>
      <c r="J246" s="48" t="str">
        <f t="array" ref="J246">XLOOKUP($D246,REGOLITOS!$A:$A,REGOLITOS!J:J)</f>
        <v/>
      </c>
      <c r="K246" s="48" t="str">
        <f t="array" ref="K246">XLOOKUP($D246,REGOLITOS!$A:$A,REGOLITOS!K:K)</f>
        <v>Adulto Mayor</v>
      </c>
      <c r="L246" s="76" t="s">
        <v>1079</v>
      </c>
      <c r="M246" s="5" t="s">
        <v>1078</v>
      </c>
      <c r="N246" s="5" t="s">
        <v>1078</v>
      </c>
      <c r="O246" s="5" t="s">
        <v>1078</v>
      </c>
      <c r="P246" s="5" t="s">
        <v>1078</v>
      </c>
      <c r="Q246" s="5" t="s">
        <v>1078</v>
      </c>
      <c r="R246" s="5" t="s">
        <v>1080</v>
      </c>
      <c r="S246" s="5" t="s">
        <v>1080</v>
      </c>
      <c r="T246" s="5" t="s">
        <v>1080</v>
      </c>
      <c r="U246" s="5" t="s">
        <v>1078</v>
      </c>
      <c r="V246" s="5" t="s">
        <v>1078</v>
      </c>
      <c r="X246" s="71">
        <f t="shared" si="3"/>
        <v>7</v>
      </c>
      <c r="Y246" s="5" t="b">
        <v>1</v>
      </c>
    </row>
    <row r="247">
      <c r="A247" s="25" t="s">
        <v>61</v>
      </c>
      <c r="B247" s="25">
        <f t="array" ref="B247">XLOOKUP(A247, CURSOS!A:A, CURSOS!B:B)</f>
        <v>14</v>
      </c>
      <c r="C247" s="24" t="str">
        <f t="array" ref="C247">XLOOKUP(A247, CURSOS!A:A, CURSOS!C:C)</f>
        <v>GUARDIANES DE LA NOCHE</v>
      </c>
      <c r="D247" s="70" t="s">
        <v>354</v>
      </c>
      <c r="E247" s="48">
        <f t="array" ref="E247">XLOOKUP($D247,REGOLITOS!$A:$A,REGOLITOS!E:E)</f>
        <v>53</v>
      </c>
      <c r="F247" s="48" t="str">
        <f t="array" ref="F247">XLOOKUP($D247,REGOLITOS!$A:$A,REGOLITOS!F:F)</f>
        <v>Estudiante</v>
      </c>
      <c r="G247" s="48" t="str">
        <f t="array" ref="G247">XLOOKUP($D247,REGOLITOS!$A:$A,REGOLITOS!G:G)</f>
        <v>Ciudad de México</v>
      </c>
      <c r="H247" s="48" t="str">
        <f t="array" ref="H247">XLOOKUP($D247,REGOLITOS!$A:$A,REGOLITOS!H:H)</f>
        <v>55 55 0169 0169</v>
      </c>
      <c r="I247" s="48" t="str">
        <f t="array" ref="I247">XLOOKUP($D247,REGOLITOS!$A:$A,REGOLITOS!I:I)</f>
        <v>usuario169@ejemplo.com</v>
      </c>
      <c r="J247" s="48" t="str">
        <f t="array" ref="J247">XLOOKUP($D247,REGOLITOS!$A:$A,REGOLITOS!J:J)</f>
        <v/>
      </c>
      <c r="K247" s="48" t="str">
        <f t="array" ref="K247">XLOOKUP($D247,REGOLITOS!$A:$A,REGOLITOS!K:K)</f>
        <v>Adulto</v>
      </c>
      <c r="L247" s="76" t="s">
        <v>1079</v>
      </c>
      <c r="M247" s="5" t="s">
        <v>1078</v>
      </c>
      <c r="N247" s="5" t="s">
        <v>1080</v>
      </c>
      <c r="O247" s="5" t="s">
        <v>1078</v>
      </c>
      <c r="P247" s="5" t="s">
        <v>1080</v>
      </c>
      <c r="Q247" s="5" t="s">
        <v>1078</v>
      </c>
      <c r="R247" s="5" t="s">
        <v>1078</v>
      </c>
      <c r="S247" s="5" t="s">
        <v>1078</v>
      </c>
      <c r="T247" s="5" t="s">
        <v>1078</v>
      </c>
      <c r="U247" s="5" t="s">
        <v>1080</v>
      </c>
      <c r="V247" s="5" t="s">
        <v>1080</v>
      </c>
      <c r="X247" s="71">
        <f t="shared" si="3"/>
        <v>6</v>
      </c>
      <c r="Y247" s="5" t="b">
        <v>1</v>
      </c>
    </row>
    <row r="248">
      <c r="A248" s="25" t="s">
        <v>61</v>
      </c>
      <c r="B248" s="25">
        <f t="array" ref="B248">XLOOKUP(A248, CURSOS!A:A, CURSOS!B:B)</f>
        <v>14</v>
      </c>
      <c r="C248" s="24" t="str">
        <f t="array" ref="C248">XLOOKUP(A248, CURSOS!A:A, CURSOS!C:C)</f>
        <v>GUARDIANES DE LA NOCHE</v>
      </c>
      <c r="D248" s="70" t="s">
        <v>355</v>
      </c>
      <c r="E248" s="48">
        <f t="array" ref="E248">XLOOKUP($D248,REGOLITOS!$A:$A,REGOLITOS!E:E)</f>
        <v>45</v>
      </c>
      <c r="F248" s="48" t="str">
        <f t="array" ref="F248">XLOOKUP($D248,REGOLITOS!$A:$A,REGOLITOS!F:F)</f>
        <v>Estudiante</v>
      </c>
      <c r="G248" s="48" t="str">
        <f t="array" ref="G248">XLOOKUP($D248,REGOLITOS!$A:$A,REGOLITOS!G:G)</f>
        <v>Estado de México</v>
      </c>
      <c r="H248" s="48" t="str">
        <f t="array" ref="H248">XLOOKUP($D248,REGOLITOS!$A:$A,REGOLITOS!H:H)</f>
        <v>55 55 0170 0170</v>
      </c>
      <c r="I248" s="48" t="str">
        <f t="array" ref="I248">XLOOKUP($D248,REGOLITOS!$A:$A,REGOLITOS!I:I)</f>
        <v>usuario170@ejemplo.com</v>
      </c>
      <c r="J248" s="48" t="str">
        <f t="array" ref="J248">XLOOKUP($D248,REGOLITOS!$A:$A,REGOLITOS!J:J)</f>
        <v/>
      </c>
      <c r="K248" s="48" t="str">
        <f t="array" ref="K248">XLOOKUP($D248,REGOLITOS!$A:$A,REGOLITOS!K:K)</f>
        <v>Adulto</v>
      </c>
      <c r="L248" s="76" t="s">
        <v>1079</v>
      </c>
      <c r="M248" s="5" t="s">
        <v>1078</v>
      </c>
      <c r="N248" s="5" t="s">
        <v>1078</v>
      </c>
      <c r="O248" s="5" t="s">
        <v>1078</v>
      </c>
      <c r="P248" s="5" t="s">
        <v>1078</v>
      </c>
      <c r="Q248" s="5" t="s">
        <v>1078</v>
      </c>
      <c r="R248" s="5" t="s">
        <v>1080</v>
      </c>
      <c r="S248" s="5" t="s">
        <v>1080</v>
      </c>
      <c r="T248" s="5" t="s">
        <v>1080</v>
      </c>
      <c r="U248" s="5" t="s">
        <v>1080</v>
      </c>
      <c r="V248" s="5" t="s">
        <v>1080</v>
      </c>
      <c r="X248" s="71">
        <f t="shared" si="3"/>
        <v>5</v>
      </c>
      <c r="Y248" s="5" t="b">
        <v>1</v>
      </c>
    </row>
    <row r="249">
      <c r="A249" s="25" t="s">
        <v>61</v>
      </c>
      <c r="B249" s="25">
        <f t="array" ref="B249">XLOOKUP(A249, CURSOS!A:A, CURSOS!B:B)</f>
        <v>14</v>
      </c>
      <c r="C249" s="24" t="str">
        <f t="array" ref="C249">XLOOKUP(A249, CURSOS!A:A, CURSOS!C:C)</f>
        <v>GUARDIANES DE LA NOCHE</v>
      </c>
      <c r="D249" s="70" t="s">
        <v>357</v>
      </c>
      <c r="E249" s="48">
        <f t="array" ref="E249">XLOOKUP($D249,REGOLITOS!$A:$A,REGOLITOS!E:E)</f>
        <v>54</v>
      </c>
      <c r="F249" s="48" t="str">
        <f t="array" ref="F249">XLOOKUP($D249,REGOLITOS!$A:$A,REGOLITOS!F:F)</f>
        <v>Empleada </v>
      </c>
      <c r="G249" s="48" t="str">
        <f t="array" ref="G249">XLOOKUP($D249,REGOLITOS!$A:$A,REGOLITOS!G:G)</f>
        <v>Hidalgo</v>
      </c>
      <c r="H249" s="48" t="str">
        <f t="array" ref="H249">XLOOKUP($D249,REGOLITOS!$A:$A,REGOLITOS!H:H)</f>
        <v>55 55 0172 0172</v>
      </c>
      <c r="I249" s="48" t="str">
        <f t="array" ref="I249">XLOOKUP($D249,REGOLITOS!$A:$A,REGOLITOS!I:I)</f>
        <v>usuario172@ejemplo.com</v>
      </c>
      <c r="J249" s="48" t="str">
        <f t="array" ref="J249">XLOOKUP($D249,REGOLITOS!$A:$A,REGOLITOS!J:J)</f>
        <v/>
      </c>
      <c r="K249" s="48" t="str">
        <f t="array" ref="K249">XLOOKUP($D249,REGOLITOS!$A:$A,REGOLITOS!K:K)</f>
        <v>Adulto</v>
      </c>
      <c r="L249" s="76" t="s">
        <v>1079</v>
      </c>
      <c r="M249" s="5" t="s">
        <v>1078</v>
      </c>
      <c r="N249" s="5" t="s">
        <v>1078</v>
      </c>
      <c r="O249" s="5" t="s">
        <v>1078</v>
      </c>
      <c r="P249" s="5" t="s">
        <v>1078</v>
      </c>
      <c r="Q249" s="5" t="s">
        <v>1078</v>
      </c>
      <c r="R249" s="5" t="s">
        <v>1078</v>
      </c>
      <c r="S249" s="5" t="s">
        <v>1078</v>
      </c>
      <c r="T249" s="5" t="s">
        <v>1078</v>
      </c>
      <c r="U249" s="5" t="s">
        <v>1078</v>
      </c>
      <c r="V249" s="5" t="s">
        <v>1080</v>
      </c>
      <c r="X249" s="71">
        <f t="shared" si="3"/>
        <v>9</v>
      </c>
      <c r="Y249" s="5" t="b">
        <v>1</v>
      </c>
    </row>
    <row r="250">
      <c r="A250" s="25" t="s">
        <v>61</v>
      </c>
      <c r="B250" s="25">
        <f t="array" ref="B250">XLOOKUP(A250, CURSOS!A:A, CURSOS!B:B)</f>
        <v>14</v>
      </c>
      <c r="C250" s="24" t="str">
        <f t="array" ref="C250">XLOOKUP(A250, CURSOS!A:A, CURSOS!C:C)</f>
        <v>GUARDIANES DE LA NOCHE</v>
      </c>
      <c r="D250" s="70" t="s">
        <v>362</v>
      </c>
      <c r="E250" s="48">
        <f t="array" ref="E250">XLOOKUP($D250,REGOLITOS!$A:$A,REGOLITOS!E:E)</f>
        <v>66</v>
      </c>
      <c r="F250" s="48" t="str">
        <f t="array" ref="F250">XLOOKUP($D250,REGOLITOS!$A:$A,REGOLITOS!F:F)</f>
        <v>Estudiante HS</v>
      </c>
      <c r="G250" s="48" t="str">
        <f t="array" ref="G250">XLOOKUP($D250,REGOLITOS!$A:$A,REGOLITOS!G:G)</f>
        <v>Ecuador</v>
      </c>
      <c r="H250" s="48" t="str">
        <f t="array" ref="H250">XLOOKUP($D250,REGOLITOS!$A:$A,REGOLITOS!H:H)</f>
        <v>55 55 0176 0176</v>
      </c>
      <c r="I250" s="48" t="str">
        <f t="array" ref="I250">XLOOKUP($D250,REGOLITOS!$A:$A,REGOLITOS!I:I)</f>
        <v>usuario176@ejemplo.com</v>
      </c>
      <c r="J250" s="48" t="str">
        <f t="array" ref="J250">XLOOKUP($D250,REGOLITOS!$A:$A,REGOLITOS!J:J)</f>
        <v/>
      </c>
      <c r="K250" s="48" t="str">
        <f t="array" ref="K250">XLOOKUP($D250,REGOLITOS!$A:$A,REGOLITOS!K:K)</f>
        <v>Adulto Mayor</v>
      </c>
      <c r="L250" s="76" t="s">
        <v>1079</v>
      </c>
      <c r="M250" s="5" t="s">
        <v>1080</v>
      </c>
      <c r="N250" s="5" t="s">
        <v>1080</v>
      </c>
      <c r="O250" s="5" t="s">
        <v>1078</v>
      </c>
      <c r="P250" s="5" t="s">
        <v>1080</v>
      </c>
      <c r="Q250" s="5" t="s">
        <v>1080</v>
      </c>
      <c r="R250" s="5" t="s">
        <v>1078</v>
      </c>
      <c r="S250" s="5" t="s">
        <v>1078</v>
      </c>
      <c r="T250" s="5" t="s">
        <v>1080</v>
      </c>
      <c r="U250" s="5" t="s">
        <v>1078</v>
      </c>
      <c r="V250" s="5" t="s">
        <v>1080</v>
      </c>
      <c r="X250" s="71">
        <f t="shared" si="3"/>
        <v>4</v>
      </c>
      <c r="Y250" s="5" t="b">
        <v>1</v>
      </c>
    </row>
    <row r="251">
      <c r="A251" s="25" t="s">
        <v>61</v>
      </c>
      <c r="B251" s="25">
        <f t="array" ref="B251">XLOOKUP(A251, CURSOS!A:A, CURSOS!B:B)</f>
        <v>14</v>
      </c>
      <c r="C251" s="24" t="str">
        <f t="array" ref="C251">XLOOKUP(A251, CURSOS!A:A, CURSOS!C:C)</f>
        <v>GUARDIANES DE LA NOCHE</v>
      </c>
      <c r="D251" s="70" t="s">
        <v>114</v>
      </c>
      <c r="E251" s="48">
        <f t="array" ref="E251">XLOOKUP($D251,REGOLITOS!$A:$A,REGOLITOS!E:E)</f>
        <v>67</v>
      </c>
      <c r="F251" s="48" t="str">
        <f t="array" ref="F251">XLOOKUP($D251,REGOLITOS!$A:$A,REGOLITOS!F:F)</f>
        <v>Estudiante</v>
      </c>
      <c r="G251" s="48" t="str">
        <f t="array" ref="G251">XLOOKUP($D251,REGOLITOS!$A:$A,REGOLITOS!G:G)</f>
        <v>Chile</v>
      </c>
      <c r="H251" s="48" t="str">
        <f t="array" ref="H251">XLOOKUP($D251,REGOLITOS!$A:$A,REGOLITOS!H:H)</f>
        <v>55 55 0011 0011</v>
      </c>
      <c r="I251" s="48" t="str">
        <f t="array" ref="I251">XLOOKUP($D251,REGOLITOS!$A:$A,REGOLITOS!I:I)</f>
        <v>usuario11@ejemplo.com</v>
      </c>
      <c r="J251" s="48" t="str">
        <f t="array" ref="J251">XLOOKUP($D251,REGOLITOS!$A:$A,REGOLITOS!J:J)</f>
        <v/>
      </c>
      <c r="K251" s="48" t="str">
        <f t="array" ref="K251">XLOOKUP($D251,REGOLITOS!$A:$A,REGOLITOS!K:K)</f>
        <v>Adulto Mayor</v>
      </c>
      <c r="L251" s="76" t="s">
        <v>1079</v>
      </c>
      <c r="M251" s="5" t="s">
        <v>1080</v>
      </c>
      <c r="N251" s="5" t="s">
        <v>1080</v>
      </c>
      <c r="O251" s="5" t="s">
        <v>1078</v>
      </c>
      <c r="P251" s="5" t="s">
        <v>1080</v>
      </c>
      <c r="Q251" s="5" t="s">
        <v>1080</v>
      </c>
      <c r="R251" s="5" t="s">
        <v>1080</v>
      </c>
      <c r="S251" s="5" t="s">
        <v>1080</v>
      </c>
      <c r="T251" s="5" t="s">
        <v>1080</v>
      </c>
      <c r="U251" s="5" t="s">
        <v>1080</v>
      </c>
      <c r="V251" s="5" t="s">
        <v>1080</v>
      </c>
      <c r="X251" s="71">
        <f t="shared" si="3"/>
        <v>1</v>
      </c>
      <c r="Y251" s="5" t="b">
        <v>0</v>
      </c>
    </row>
    <row r="252">
      <c r="A252" s="25" t="s">
        <v>61</v>
      </c>
      <c r="B252" s="25">
        <f t="array" ref="B252">XLOOKUP(A252, CURSOS!A:A, CURSOS!B:B)</f>
        <v>14</v>
      </c>
      <c r="C252" s="24" t="str">
        <f t="array" ref="C252">XLOOKUP(A252, CURSOS!A:A, CURSOS!C:C)</f>
        <v>GUARDIANES DE LA NOCHE</v>
      </c>
      <c r="D252" s="70" t="s">
        <v>137</v>
      </c>
      <c r="E252" s="48">
        <f t="array" ref="E252">XLOOKUP($D252,REGOLITOS!$A:$A,REGOLITOS!E:E)</f>
        <v>16</v>
      </c>
      <c r="F252" s="48" t="str">
        <f t="array" ref="F252">XLOOKUP($D252,REGOLITOS!$A:$A,REGOLITOS!F:F)</f>
        <v>Profesor </v>
      </c>
      <c r="G252" s="48" t="str">
        <f t="array" ref="G252">XLOOKUP($D252,REGOLITOS!$A:$A,REGOLITOS!G:G)</f>
        <v>Chiapas</v>
      </c>
      <c r="H252" s="48" t="str">
        <f t="array" ref="H252">XLOOKUP($D252,REGOLITOS!$A:$A,REGOLITOS!H:H)</f>
        <v>55 55 0023 0023</v>
      </c>
      <c r="I252" s="48" t="str">
        <f t="array" ref="I252">XLOOKUP($D252,REGOLITOS!$A:$A,REGOLITOS!I:I)</f>
        <v>usuario23@ejemplo.com</v>
      </c>
      <c r="J252" s="48" t="str">
        <f t="array" ref="J252">XLOOKUP($D252,REGOLITOS!$A:$A,REGOLITOS!J:J)</f>
        <v>Tutor_023</v>
      </c>
      <c r="K252" s="48" t="str">
        <f t="array" ref="K252">XLOOKUP($D252,REGOLITOS!$A:$A,REGOLITOS!K:K)</f>
        <v>Adolescente</v>
      </c>
      <c r="L252" s="76" t="s">
        <v>1079</v>
      </c>
      <c r="M252" s="5" t="s">
        <v>1080</v>
      </c>
      <c r="N252" s="5" t="s">
        <v>1080</v>
      </c>
      <c r="O252" s="5" t="s">
        <v>1080</v>
      </c>
      <c r="P252" s="5" t="s">
        <v>1080</v>
      </c>
      <c r="Q252" s="5" t="s">
        <v>1080</v>
      </c>
      <c r="R252" s="5" t="s">
        <v>1078</v>
      </c>
      <c r="S252" s="5" t="s">
        <v>1080</v>
      </c>
      <c r="T252" s="5" t="s">
        <v>1080</v>
      </c>
      <c r="U252" s="5" t="s">
        <v>1080</v>
      </c>
      <c r="V252" s="5" t="s">
        <v>1080</v>
      </c>
      <c r="X252" s="71">
        <f t="shared" si="3"/>
        <v>1</v>
      </c>
      <c r="Y252" s="5" t="b">
        <v>0</v>
      </c>
    </row>
    <row r="253">
      <c r="A253" s="25" t="s">
        <v>61</v>
      </c>
      <c r="B253" s="25">
        <f t="array" ref="B253">XLOOKUP(A253, CURSOS!A:A, CURSOS!B:B)</f>
        <v>14</v>
      </c>
      <c r="C253" s="24" t="str">
        <f t="array" ref="C253">XLOOKUP(A253, CURSOS!A:A, CURSOS!C:C)</f>
        <v>GUARDIANES DE LA NOCHE</v>
      </c>
      <c r="D253" s="70" t="s">
        <v>140</v>
      </c>
      <c r="E253" s="48">
        <f t="array" ref="E253">XLOOKUP($D253,REGOLITOS!$A:$A,REGOLITOS!E:E)</f>
        <v>23</v>
      </c>
      <c r="F253" s="48" t="str">
        <f t="array" ref="F253">XLOOKUP($D253,REGOLITOS!$A:$A,REGOLITOS!F:F)</f>
        <v>Hogar </v>
      </c>
      <c r="G253" s="48" t="str">
        <f t="array" ref="G253">XLOOKUP($D253,REGOLITOS!$A:$A,REGOLITOS!G:G)</f>
        <v>Ciudad de México</v>
      </c>
      <c r="H253" s="48" t="str">
        <f t="array" ref="H253">XLOOKUP($D253,REGOLITOS!$A:$A,REGOLITOS!H:H)</f>
        <v>55 55 0024 0024</v>
      </c>
      <c r="I253" s="48" t="str">
        <f t="array" ref="I253">XLOOKUP($D253,REGOLITOS!$A:$A,REGOLITOS!I:I)</f>
        <v>usuario24@ejemplo.com</v>
      </c>
      <c r="J253" s="48" t="str">
        <f t="array" ref="J253">XLOOKUP($D253,REGOLITOS!$A:$A,REGOLITOS!J:J)</f>
        <v/>
      </c>
      <c r="K253" s="48" t="str">
        <f t="array" ref="K253">XLOOKUP($D253,REGOLITOS!$A:$A,REGOLITOS!K:K)</f>
        <v>Jóven adulto</v>
      </c>
      <c r="L253" s="76" t="s">
        <v>1079</v>
      </c>
      <c r="M253" s="5" t="s">
        <v>1080</v>
      </c>
      <c r="N253" s="5" t="s">
        <v>1080</v>
      </c>
      <c r="O253" s="5" t="s">
        <v>1080</v>
      </c>
      <c r="P253" s="5" t="s">
        <v>1078</v>
      </c>
      <c r="Q253" s="5" t="s">
        <v>1078</v>
      </c>
      <c r="R253" s="5" t="s">
        <v>1080</v>
      </c>
      <c r="S253" s="5" t="s">
        <v>1080</v>
      </c>
      <c r="T253" s="5" t="s">
        <v>1080</v>
      </c>
      <c r="U253" s="5" t="s">
        <v>1080</v>
      </c>
      <c r="V253" s="5" t="s">
        <v>1080</v>
      </c>
      <c r="X253" s="71">
        <f t="shared" si="3"/>
        <v>2</v>
      </c>
      <c r="Y253" s="5" t="b">
        <v>0</v>
      </c>
    </row>
    <row r="254">
      <c r="A254" s="25" t="s">
        <v>61</v>
      </c>
      <c r="B254" s="25">
        <f t="array" ref="B254">XLOOKUP(A254, CURSOS!A:A, CURSOS!B:B)</f>
        <v>14</v>
      </c>
      <c r="C254" s="24" t="str">
        <f t="array" ref="C254">XLOOKUP(A254, CURSOS!A:A, CURSOS!C:C)</f>
        <v>GUARDIANES DE LA NOCHE</v>
      </c>
      <c r="D254" s="70" t="s">
        <v>144</v>
      </c>
      <c r="E254" s="48">
        <f t="array" ref="E254">XLOOKUP($D254,REGOLITOS!$A:$A,REGOLITOS!E:E)</f>
        <v>18</v>
      </c>
      <c r="F254" s="48" t="str">
        <f t="array" ref="F254">XLOOKUP($D254,REGOLITOS!$A:$A,REGOLITOS!F:F)</f>
        <v>Estudiante </v>
      </c>
      <c r="G254" s="48" t="str">
        <f t="array" ref="G254">XLOOKUP($D254,REGOLITOS!$A:$A,REGOLITOS!G:G)</f>
        <v>Ecuador</v>
      </c>
      <c r="H254" s="48" t="str">
        <f t="array" ref="H254">XLOOKUP($D254,REGOLITOS!$A:$A,REGOLITOS!H:H)</f>
        <v>55 55 0026 0026</v>
      </c>
      <c r="I254" s="48" t="str">
        <f t="array" ref="I254">XLOOKUP($D254,REGOLITOS!$A:$A,REGOLITOS!I:I)</f>
        <v>usuario26@ejemplo.com</v>
      </c>
      <c r="J254" s="48" t="str">
        <f t="array" ref="J254">XLOOKUP($D254,REGOLITOS!$A:$A,REGOLITOS!J:J)</f>
        <v>Tutor_026</v>
      </c>
      <c r="K254" s="48" t="str">
        <f t="array" ref="K254">XLOOKUP($D254,REGOLITOS!$A:$A,REGOLITOS!K:K)</f>
        <v>Jóven adulto</v>
      </c>
      <c r="L254" s="76" t="s">
        <v>1079</v>
      </c>
      <c r="M254" s="5" t="s">
        <v>1080</v>
      </c>
      <c r="N254" s="5" t="s">
        <v>1080</v>
      </c>
      <c r="O254" s="5" t="s">
        <v>1080</v>
      </c>
      <c r="P254" s="5" t="s">
        <v>1080</v>
      </c>
      <c r="Q254" s="5" t="s">
        <v>1078</v>
      </c>
      <c r="R254" s="5" t="s">
        <v>1080</v>
      </c>
      <c r="S254" s="5" t="s">
        <v>1080</v>
      </c>
      <c r="T254" s="5" t="s">
        <v>1080</v>
      </c>
      <c r="U254" s="5" t="s">
        <v>1080</v>
      </c>
      <c r="V254" s="5" t="s">
        <v>1080</v>
      </c>
      <c r="X254" s="71">
        <f t="shared" si="3"/>
        <v>1</v>
      </c>
      <c r="Y254" s="5" t="b">
        <v>0</v>
      </c>
    </row>
    <row r="255">
      <c r="A255" s="25" t="s">
        <v>61</v>
      </c>
      <c r="B255" s="25">
        <f t="array" ref="B255">XLOOKUP(A255, CURSOS!A:A, CURSOS!B:B)</f>
        <v>14</v>
      </c>
      <c r="C255" s="24" t="str">
        <f t="array" ref="C255">XLOOKUP(A255, CURSOS!A:A, CURSOS!C:C)</f>
        <v>GUARDIANES DE LA NOCHE</v>
      </c>
      <c r="D255" s="70" t="s">
        <v>158</v>
      </c>
      <c r="E255" s="48">
        <f t="array" ref="E255">XLOOKUP($D255,REGOLITOS!$A:$A,REGOLITOS!E:E)</f>
        <v>98</v>
      </c>
      <c r="F255" s="48" t="str">
        <f t="array" ref="F255">XLOOKUP($D255,REGOLITOS!$A:$A,REGOLITOS!F:F)</f>
        <v>Estudiante</v>
      </c>
      <c r="G255" s="48" t="str">
        <f t="array" ref="G255">XLOOKUP($D255,REGOLITOS!$A:$A,REGOLITOS!G:G)</f>
        <v>Sinaloa</v>
      </c>
      <c r="H255" s="48" t="str">
        <f t="array" ref="H255">XLOOKUP($D255,REGOLITOS!$A:$A,REGOLITOS!H:H)</f>
        <v>55 55 0036 0036</v>
      </c>
      <c r="I255" s="48" t="str">
        <f t="array" ref="I255">XLOOKUP($D255,REGOLITOS!$A:$A,REGOLITOS!I:I)</f>
        <v>usuario36@ejemplo.com</v>
      </c>
      <c r="J255" s="48" t="str">
        <f t="array" ref="J255">XLOOKUP($D255,REGOLITOS!$A:$A,REGOLITOS!J:J)</f>
        <v/>
      </c>
      <c r="K255" s="48" t="str">
        <f t="array" ref="K255">XLOOKUP($D255,REGOLITOS!$A:$A,REGOLITOS!K:K)</f>
        <v>Adulto Mayor</v>
      </c>
      <c r="L255" s="76" t="s">
        <v>1079</v>
      </c>
      <c r="M255" s="5" t="s">
        <v>1080</v>
      </c>
      <c r="N255" s="5" t="s">
        <v>1080</v>
      </c>
      <c r="O255" s="5" t="s">
        <v>1078</v>
      </c>
      <c r="P255" s="5" t="s">
        <v>1078</v>
      </c>
      <c r="Q255" s="5" t="s">
        <v>1080</v>
      </c>
      <c r="R255" s="5" t="s">
        <v>1080</v>
      </c>
      <c r="S255" s="5" t="s">
        <v>1080</v>
      </c>
      <c r="T255" s="5" t="s">
        <v>1080</v>
      </c>
      <c r="U255" s="5" t="s">
        <v>1080</v>
      </c>
      <c r="V255" s="5" t="s">
        <v>1080</v>
      </c>
      <c r="X255" s="71">
        <f t="shared" si="3"/>
        <v>2</v>
      </c>
      <c r="Y255" s="5" t="b">
        <v>0</v>
      </c>
    </row>
    <row r="256">
      <c r="A256" s="25" t="s">
        <v>61</v>
      </c>
      <c r="B256" s="25">
        <f t="array" ref="B256">XLOOKUP(A256, CURSOS!A:A, CURSOS!B:B)</f>
        <v>14</v>
      </c>
      <c r="C256" s="24" t="str">
        <f t="array" ref="C256">XLOOKUP(A256, CURSOS!A:A, CURSOS!C:C)</f>
        <v>GUARDIANES DE LA NOCHE</v>
      </c>
      <c r="D256" s="70" t="s">
        <v>164</v>
      </c>
      <c r="E256" s="48">
        <f t="array" ref="E256">XLOOKUP($D256,REGOLITOS!$A:$A,REGOLITOS!E:E)</f>
        <v>95</v>
      </c>
      <c r="F256" s="48" t="str">
        <f t="array" ref="F256">XLOOKUP($D256,REGOLITOS!$A:$A,REGOLITOS!F:F)</f>
        <v>Terapeuta alternativo</v>
      </c>
      <c r="G256" s="48" t="str">
        <f t="array" ref="G256">XLOOKUP($D256,REGOLITOS!$A:$A,REGOLITOS!G:G)</f>
        <v>San Luís Potosí</v>
      </c>
      <c r="H256" s="48" t="str">
        <f t="array" ref="H256">XLOOKUP($D256,REGOLITOS!$A:$A,REGOLITOS!H:H)</f>
        <v>55 55 0040 0040</v>
      </c>
      <c r="I256" s="48" t="str">
        <f t="array" ref="I256">XLOOKUP($D256,REGOLITOS!$A:$A,REGOLITOS!I:I)</f>
        <v>usuario40@ejemplo.com</v>
      </c>
      <c r="J256" s="48" t="str">
        <f t="array" ref="J256">XLOOKUP($D256,REGOLITOS!$A:$A,REGOLITOS!J:J)</f>
        <v/>
      </c>
      <c r="K256" s="48" t="str">
        <f t="array" ref="K256">XLOOKUP($D256,REGOLITOS!$A:$A,REGOLITOS!K:K)</f>
        <v>Adulto Mayor</v>
      </c>
      <c r="L256" s="76" t="s">
        <v>1079</v>
      </c>
      <c r="M256" s="5" t="s">
        <v>1078</v>
      </c>
      <c r="N256" s="5" t="s">
        <v>1080</v>
      </c>
      <c r="O256" s="5" t="s">
        <v>1080</v>
      </c>
      <c r="P256" s="5" t="s">
        <v>1080</v>
      </c>
      <c r="Q256" s="5" t="s">
        <v>1080</v>
      </c>
      <c r="R256" s="5" t="s">
        <v>1080</v>
      </c>
      <c r="S256" s="5" t="s">
        <v>1080</v>
      </c>
      <c r="T256" s="5" t="s">
        <v>1080</v>
      </c>
      <c r="U256" s="5" t="s">
        <v>1080</v>
      </c>
      <c r="V256" s="5" t="s">
        <v>1080</v>
      </c>
      <c r="X256" s="71">
        <f t="shared" si="3"/>
        <v>1</v>
      </c>
      <c r="Y256" s="5" t="b">
        <v>0</v>
      </c>
    </row>
    <row r="257">
      <c r="A257" s="25" t="s">
        <v>61</v>
      </c>
      <c r="B257" s="25">
        <f t="array" ref="B257">XLOOKUP(A257, CURSOS!A:A, CURSOS!B:B)</f>
        <v>14</v>
      </c>
      <c r="C257" s="24" t="str">
        <f t="array" ref="C257">XLOOKUP(A257, CURSOS!A:A, CURSOS!C:C)</f>
        <v>GUARDIANES DE LA NOCHE</v>
      </c>
      <c r="D257" s="70" t="s">
        <v>170</v>
      </c>
      <c r="E257" s="48">
        <f t="array" ref="E257">XLOOKUP($D257,REGOLITOS!$A:$A,REGOLITOS!E:E)</f>
        <v>53</v>
      </c>
      <c r="F257" s="48" t="str">
        <f t="array" ref="F257">XLOOKUP($D257,REGOLITOS!$A:$A,REGOLITOS!F:F)</f>
        <v>Empleado</v>
      </c>
      <c r="G257" s="48" t="str">
        <f t="array" ref="G257">XLOOKUP($D257,REGOLITOS!$A:$A,REGOLITOS!G:G)</f>
        <v>Estado de México</v>
      </c>
      <c r="H257" s="48" t="str">
        <f t="array" ref="H257">XLOOKUP($D257,REGOLITOS!$A:$A,REGOLITOS!H:H)</f>
        <v>55 55 0043 0043</v>
      </c>
      <c r="I257" s="48" t="str">
        <f t="array" ref="I257">XLOOKUP($D257,REGOLITOS!$A:$A,REGOLITOS!I:I)</f>
        <v>usuario43@ejemplo.com</v>
      </c>
      <c r="J257" s="48" t="str">
        <f t="array" ref="J257">XLOOKUP($D257,REGOLITOS!$A:$A,REGOLITOS!J:J)</f>
        <v/>
      </c>
      <c r="K257" s="48" t="str">
        <f t="array" ref="K257">XLOOKUP($D257,REGOLITOS!$A:$A,REGOLITOS!K:K)</f>
        <v>Adulto</v>
      </c>
      <c r="L257" s="76" t="s">
        <v>1079</v>
      </c>
      <c r="M257" s="5" t="s">
        <v>1080</v>
      </c>
      <c r="N257" s="5" t="s">
        <v>1078</v>
      </c>
      <c r="O257" s="5" t="s">
        <v>1080</v>
      </c>
      <c r="P257" s="5" t="s">
        <v>1080</v>
      </c>
      <c r="Q257" s="5" t="s">
        <v>1080</v>
      </c>
      <c r="R257" s="5" t="s">
        <v>1080</v>
      </c>
      <c r="S257" s="5" t="s">
        <v>1080</v>
      </c>
      <c r="T257" s="5" t="s">
        <v>1080</v>
      </c>
      <c r="U257" s="5" t="s">
        <v>1080</v>
      </c>
      <c r="V257" s="5" t="s">
        <v>1080</v>
      </c>
      <c r="X257" s="71">
        <f t="shared" si="3"/>
        <v>1</v>
      </c>
      <c r="Y257" s="5" t="b">
        <v>0</v>
      </c>
    </row>
    <row r="258">
      <c r="A258" s="25" t="s">
        <v>61</v>
      </c>
      <c r="B258" s="25">
        <f t="array" ref="B258">XLOOKUP(A258, CURSOS!A:A, CURSOS!B:B)</f>
        <v>14</v>
      </c>
      <c r="C258" s="24" t="str">
        <f t="array" ref="C258">XLOOKUP(A258, CURSOS!A:A, CURSOS!C:C)</f>
        <v>GUARDIANES DE LA NOCHE</v>
      </c>
      <c r="D258" s="70" t="s">
        <v>179</v>
      </c>
      <c r="E258" s="48">
        <f t="array" ref="E258">XLOOKUP($D258,REGOLITOS!$A:$A,REGOLITOS!E:E)</f>
        <v>21</v>
      </c>
      <c r="F258" s="48" t="str">
        <f t="array" ref="F258">XLOOKUP($D258,REGOLITOS!$A:$A,REGOLITOS!F:F)</f>
        <v>Desconocido</v>
      </c>
      <c r="G258" s="48" t="str">
        <f t="array" ref="G258">XLOOKUP($D258,REGOLITOS!$A:$A,REGOLITOS!G:G)</f>
        <v>Desconocido</v>
      </c>
      <c r="H258" s="48" t="str">
        <f t="array" ref="H258">XLOOKUP($D258,REGOLITOS!$A:$A,REGOLITOS!H:H)</f>
        <v>55 55 0048 0048</v>
      </c>
      <c r="I258" s="48" t="str">
        <f t="array" ref="I258">XLOOKUP($D258,REGOLITOS!$A:$A,REGOLITOS!I:I)</f>
        <v>usuario48@ejemplo.com</v>
      </c>
      <c r="J258" s="48" t="str">
        <f t="array" ref="J258">XLOOKUP($D258,REGOLITOS!$A:$A,REGOLITOS!J:J)</f>
        <v/>
      </c>
      <c r="K258" s="48" t="str">
        <f t="array" ref="K258">XLOOKUP($D258,REGOLITOS!$A:$A,REGOLITOS!K:K)</f>
        <v>Jóven adulto</v>
      </c>
      <c r="L258" s="76" t="s">
        <v>1079</v>
      </c>
      <c r="M258" s="5" t="s">
        <v>1080</v>
      </c>
      <c r="N258" s="5" t="s">
        <v>1080</v>
      </c>
      <c r="O258" s="5" t="s">
        <v>1080</v>
      </c>
      <c r="P258" s="5" t="s">
        <v>1080</v>
      </c>
      <c r="Q258" s="5" t="s">
        <v>1078</v>
      </c>
      <c r="R258" s="5" t="s">
        <v>1080</v>
      </c>
      <c r="S258" s="5" t="s">
        <v>1080</v>
      </c>
      <c r="T258" s="5" t="s">
        <v>1080</v>
      </c>
      <c r="U258" s="5" t="s">
        <v>1080</v>
      </c>
      <c r="V258" s="5" t="s">
        <v>1080</v>
      </c>
      <c r="X258" s="71">
        <f t="shared" si="3"/>
        <v>1</v>
      </c>
      <c r="Y258" s="5" t="b">
        <v>0</v>
      </c>
    </row>
    <row r="259">
      <c r="A259" s="25" t="s">
        <v>61</v>
      </c>
      <c r="B259" s="25">
        <f t="array" ref="B259">XLOOKUP(A259, CURSOS!A:A, CURSOS!B:B)</f>
        <v>14</v>
      </c>
      <c r="C259" s="24" t="str">
        <f t="array" ref="C259">XLOOKUP(A259, CURSOS!A:A, CURSOS!C:C)</f>
        <v>GUARDIANES DE LA NOCHE</v>
      </c>
      <c r="D259" s="70" t="s">
        <v>186</v>
      </c>
      <c r="E259" s="48">
        <f t="array" ref="E259">XLOOKUP($D259,REGOLITOS!$A:$A,REGOLITOS!E:E)</f>
        <v>30</v>
      </c>
      <c r="F259" s="48" t="str">
        <f t="array" ref="F259">XLOOKUP($D259,REGOLITOS!$A:$A,REGOLITOS!F:F)</f>
        <v>Desconocido</v>
      </c>
      <c r="G259" s="48" t="str">
        <f t="array" ref="G259">XLOOKUP($D259,REGOLITOS!$A:$A,REGOLITOS!G:G)</f>
        <v>Desconocido</v>
      </c>
      <c r="H259" s="48" t="str">
        <f t="array" ref="H259">XLOOKUP($D259,REGOLITOS!$A:$A,REGOLITOS!H:H)</f>
        <v>55 55 0054 0054</v>
      </c>
      <c r="I259" s="48" t="str">
        <f t="array" ref="I259">XLOOKUP($D259,REGOLITOS!$A:$A,REGOLITOS!I:I)</f>
        <v>usuario54@ejemplo.com</v>
      </c>
      <c r="J259" s="48" t="str">
        <f t="array" ref="J259">XLOOKUP($D259,REGOLITOS!$A:$A,REGOLITOS!J:J)</f>
        <v/>
      </c>
      <c r="K259" s="48" t="str">
        <f t="array" ref="K259">XLOOKUP($D259,REGOLITOS!$A:$A,REGOLITOS!K:K)</f>
        <v>Adulto</v>
      </c>
      <c r="L259" s="76" t="s">
        <v>1079</v>
      </c>
      <c r="M259" s="5" t="s">
        <v>1080</v>
      </c>
      <c r="N259" s="5" t="s">
        <v>1078</v>
      </c>
      <c r="O259" s="5" t="s">
        <v>1080</v>
      </c>
      <c r="P259" s="5" t="s">
        <v>1080</v>
      </c>
      <c r="Q259" s="5" t="s">
        <v>1080</v>
      </c>
      <c r="R259" s="5" t="s">
        <v>1080</v>
      </c>
      <c r="S259" s="5" t="s">
        <v>1080</v>
      </c>
      <c r="T259" s="5" t="s">
        <v>1080</v>
      </c>
      <c r="U259" s="5" t="s">
        <v>1080</v>
      </c>
      <c r="V259" s="5" t="s">
        <v>1080</v>
      </c>
      <c r="X259" s="71">
        <f t="shared" si="3"/>
        <v>1</v>
      </c>
      <c r="Y259" s="5" t="b">
        <v>0</v>
      </c>
    </row>
    <row r="260">
      <c r="A260" s="25" t="s">
        <v>61</v>
      </c>
      <c r="B260" s="25">
        <f t="array" ref="B260">XLOOKUP(A260, CURSOS!A:A, CURSOS!B:B)</f>
        <v>14</v>
      </c>
      <c r="C260" s="24" t="str">
        <f t="array" ref="C260">XLOOKUP(A260, CURSOS!A:A, CURSOS!C:C)</f>
        <v>GUARDIANES DE LA NOCHE</v>
      </c>
      <c r="D260" s="70" t="s">
        <v>197</v>
      </c>
      <c r="E260" s="48">
        <f t="array" ref="E260">XLOOKUP($D260,REGOLITOS!$A:$A,REGOLITOS!E:E)</f>
        <v>35</v>
      </c>
      <c r="F260" s="48" t="str">
        <f t="array" ref="F260">XLOOKUP($D260,REGOLITOS!$A:$A,REGOLITOS!F:F)</f>
        <v>Estudiante de Biología Marina</v>
      </c>
      <c r="G260" s="48" t="str">
        <f t="array" ref="G260">XLOOKUP($D260,REGOLITOS!$A:$A,REGOLITOS!G:G)</f>
        <v>Baja California Sur</v>
      </c>
      <c r="H260" s="48" t="str">
        <f t="array" ref="H260">XLOOKUP($D260,REGOLITOS!$A:$A,REGOLITOS!H:H)</f>
        <v>55 55 0062 0062</v>
      </c>
      <c r="I260" s="48" t="str">
        <f t="array" ref="I260">XLOOKUP($D260,REGOLITOS!$A:$A,REGOLITOS!I:I)</f>
        <v>usuario62@ejemplo.com</v>
      </c>
      <c r="J260" s="48" t="str">
        <f t="array" ref="J260">XLOOKUP($D260,REGOLITOS!$A:$A,REGOLITOS!J:J)</f>
        <v/>
      </c>
      <c r="K260" s="48" t="str">
        <f t="array" ref="K260">XLOOKUP($D260,REGOLITOS!$A:$A,REGOLITOS!K:K)</f>
        <v>Adulto</v>
      </c>
      <c r="L260" s="76" t="s">
        <v>1079</v>
      </c>
      <c r="M260" s="5" t="s">
        <v>1078</v>
      </c>
      <c r="N260" s="5" t="s">
        <v>1080</v>
      </c>
      <c r="O260" s="5" t="s">
        <v>1080</v>
      </c>
      <c r="P260" s="5" t="s">
        <v>1080</v>
      </c>
      <c r="Q260" s="5" t="s">
        <v>1078</v>
      </c>
      <c r="R260" s="5" t="s">
        <v>1080</v>
      </c>
      <c r="S260" s="5" t="s">
        <v>1080</v>
      </c>
      <c r="T260" s="5" t="s">
        <v>1080</v>
      </c>
      <c r="U260" s="5" t="s">
        <v>1080</v>
      </c>
      <c r="V260" s="5" t="s">
        <v>1080</v>
      </c>
      <c r="X260" s="71">
        <f t="shared" si="3"/>
        <v>2</v>
      </c>
      <c r="Y260" s="5" t="b">
        <v>0</v>
      </c>
    </row>
    <row r="261">
      <c r="A261" s="25" t="s">
        <v>61</v>
      </c>
      <c r="B261" s="25">
        <f t="array" ref="B261">XLOOKUP(A261, CURSOS!A:A, CURSOS!B:B)</f>
        <v>14</v>
      </c>
      <c r="C261" s="24" t="str">
        <f t="array" ref="C261">XLOOKUP(A261, CURSOS!A:A, CURSOS!C:C)</f>
        <v>GUARDIANES DE LA NOCHE</v>
      </c>
      <c r="D261" s="70" t="s">
        <v>200</v>
      </c>
      <c r="E261" s="48">
        <f t="array" ref="E261">XLOOKUP($D261,REGOLITOS!$A:$A,REGOLITOS!E:E)</f>
        <v>77</v>
      </c>
      <c r="F261" s="48" t="str">
        <f t="array" ref="F261">XLOOKUP($D261,REGOLITOS!$A:$A,REGOLITOS!F:F)</f>
        <v>Estudiante</v>
      </c>
      <c r="G261" s="48" t="str">
        <f t="array" ref="G261">XLOOKUP($D261,REGOLITOS!$A:$A,REGOLITOS!G:G)</f>
        <v>Ciudad de México</v>
      </c>
      <c r="H261" s="48" t="str">
        <f t="array" ref="H261">XLOOKUP($D261,REGOLITOS!$A:$A,REGOLITOS!H:H)</f>
        <v>55 55 0063 0063</v>
      </c>
      <c r="I261" s="48" t="str">
        <f t="array" ref="I261">XLOOKUP($D261,REGOLITOS!$A:$A,REGOLITOS!I:I)</f>
        <v>usuario63@ejemplo.com</v>
      </c>
      <c r="J261" s="48" t="str">
        <f t="array" ref="J261">XLOOKUP($D261,REGOLITOS!$A:$A,REGOLITOS!J:J)</f>
        <v/>
      </c>
      <c r="K261" s="48" t="str">
        <f t="array" ref="K261">XLOOKUP($D261,REGOLITOS!$A:$A,REGOLITOS!K:K)</f>
        <v>Adulto Mayor</v>
      </c>
      <c r="L261" s="76" t="s">
        <v>1079</v>
      </c>
      <c r="M261" s="5" t="s">
        <v>1080</v>
      </c>
      <c r="N261" s="5" t="s">
        <v>1078</v>
      </c>
      <c r="O261" s="5" t="s">
        <v>1080</v>
      </c>
      <c r="P261" s="5" t="s">
        <v>1080</v>
      </c>
      <c r="Q261" s="5" t="s">
        <v>1080</v>
      </c>
      <c r="R261" s="5" t="s">
        <v>1080</v>
      </c>
      <c r="S261" s="5" t="s">
        <v>1080</v>
      </c>
      <c r="T261" s="5" t="s">
        <v>1080</v>
      </c>
      <c r="U261" s="5" t="s">
        <v>1080</v>
      </c>
      <c r="V261" s="5" t="s">
        <v>1080</v>
      </c>
      <c r="X261" s="71">
        <f t="shared" si="3"/>
        <v>1</v>
      </c>
      <c r="Y261" s="5" t="b">
        <v>0</v>
      </c>
    </row>
    <row r="262">
      <c r="A262" s="25" t="s">
        <v>61</v>
      </c>
      <c r="B262" s="25">
        <f t="array" ref="B262">XLOOKUP(A262, CURSOS!A:A, CURSOS!B:B)</f>
        <v>14</v>
      </c>
      <c r="C262" s="24" t="str">
        <f t="array" ref="C262">XLOOKUP(A262, CURSOS!A:A, CURSOS!C:C)</f>
        <v>GUARDIANES DE LA NOCHE</v>
      </c>
      <c r="D262" s="70" t="s">
        <v>202</v>
      </c>
      <c r="E262" s="48">
        <f t="array" ref="E262">XLOOKUP($D262,REGOLITOS!$A:$A,REGOLITOS!E:E)</f>
        <v>81</v>
      </c>
      <c r="F262" s="48" t="str">
        <f t="array" ref="F262">XLOOKUP($D262,REGOLITOS!$A:$A,REGOLITOS!F:F)</f>
        <v>Diseñadora gráfica </v>
      </c>
      <c r="G262" s="48" t="str">
        <f t="array" ref="G262">XLOOKUP($D262,REGOLITOS!$A:$A,REGOLITOS!G:G)</f>
        <v>Estado de México</v>
      </c>
      <c r="H262" s="48" t="str">
        <f t="array" ref="H262">XLOOKUP($D262,REGOLITOS!$A:$A,REGOLITOS!H:H)</f>
        <v>55 55 0065 0065</v>
      </c>
      <c r="I262" s="48" t="str">
        <f t="array" ref="I262">XLOOKUP($D262,REGOLITOS!$A:$A,REGOLITOS!I:I)</f>
        <v>usuario65@ejemplo.com</v>
      </c>
      <c r="J262" s="48" t="str">
        <f t="array" ref="J262">XLOOKUP($D262,REGOLITOS!$A:$A,REGOLITOS!J:J)</f>
        <v/>
      </c>
      <c r="K262" s="48" t="str">
        <f t="array" ref="K262">XLOOKUP($D262,REGOLITOS!$A:$A,REGOLITOS!K:K)</f>
        <v>Adulto Mayor</v>
      </c>
      <c r="L262" s="76" t="s">
        <v>1079</v>
      </c>
      <c r="M262" s="5" t="s">
        <v>1080</v>
      </c>
      <c r="N262" s="5" t="s">
        <v>1080</v>
      </c>
      <c r="O262" s="5" t="s">
        <v>1078</v>
      </c>
      <c r="P262" s="5" t="s">
        <v>1080</v>
      </c>
      <c r="Q262" s="5" t="s">
        <v>1080</v>
      </c>
      <c r="R262" s="5" t="s">
        <v>1080</v>
      </c>
      <c r="S262" s="5" t="s">
        <v>1080</v>
      </c>
      <c r="T262" s="5" t="s">
        <v>1080</v>
      </c>
      <c r="U262" s="5" t="s">
        <v>1080</v>
      </c>
      <c r="V262" s="5" t="s">
        <v>1080</v>
      </c>
      <c r="X262" s="71">
        <f t="shared" si="3"/>
        <v>1</v>
      </c>
      <c r="Y262" s="5" t="b">
        <v>0</v>
      </c>
    </row>
    <row r="263">
      <c r="A263" s="25" t="s">
        <v>61</v>
      </c>
      <c r="B263" s="25">
        <f t="array" ref="B263">XLOOKUP(A263, CURSOS!A:A, CURSOS!B:B)</f>
        <v>14</v>
      </c>
      <c r="C263" s="24" t="str">
        <f t="array" ref="C263">XLOOKUP(A263, CURSOS!A:A, CURSOS!C:C)</f>
        <v>GUARDIANES DE LA NOCHE</v>
      </c>
      <c r="D263" s="70" t="s">
        <v>206</v>
      </c>
      <c r="E263" s="48">
        <f t="array" ref="E263">XLOOKUP($D263,REGOLITOS!$A:$A,REGOLITOS!E:E)</f>
        <v>15</v>
      </c>
      <c r="F263" s="48" t="str">
        <f t="array" ref="F263">XLOOKUP($D263,REGOLITOS!$A:$A,REGOLITOS!F:F)</f>
        <v>Ingeniería Sistemas</v>
      </c>
      <c r="G263" s="48" t="str">
        <f t="array" ref="G263">XLOOKUP($D263,REGOLITOS!$A:$A,REGOLITOS!G:G)</f>
        <v>Morelos</v>
      </c>
      <c r="H263" s="48" t="str">
        <f t="array" ref="H263">XLOOKUP($D263,REGOLITOS!$A:$A,REGOLITOS!H:H)</f>
        <v>55 55 0068 0068</v>
      </c>
      <c r="I263" s="48" t="str">
        <f t="array" ref="I263">XLOOKUP($D263,REGOLITOS!$A:$A,REGOLITOS!I:I)</f>
        <v>usuario68@ejemplo.com</v>
      </c>
      <c r="J263" s="48" t="str">
        <f t="array" ref="J263">XLOOKUP($D263,REGOLITOS!$A:$A,REGOLITOS!J:J)</f>
        <v>Tutor_068</v>
      </c>
      <c r="K263" s="48" t="str">
        <f t="array" ref="K263">XLOOKUP($D263,REGOLITOS!$A:$A,REGOLITOS!K:K)</f>
        <v>Adolescente</v>
      </c>
      <c r="L263" s="76" t="s">
        <v>1079</v>
      </c>
      <c r="M263" s="5" t="s">
        <v>1080</v>
      </c>
      <c r="N263" s="5" t="s">
        <v>1080</v>
      </c>
      <c r="O263" s="5" t="s">
        <v>1080</v>
      </c>
      <c r="P263" s="5" t="s">
        <v>1078</v>
      </c>
      <c r="Q263" s="5" t="s">
        <v>1080</v>
      </c>
      <c r="R263" s="5" t="s">
        <v>1080</v>
      </c>
      <c r="S263" s="5" t="s">
        <v>1080</v>
      </c>
      <c r="T263" s="5" t="s">
        <v>1080</v>
      </c>
      <c r="U263" s="5" t="s">
        <v>1080</v>
      </c>
      <c r="V263" s="5" t="s">
        <v>1080</v>
      </c>
      <c r="X263" s="71">
        <f t="shared" si="3"/>
        <v>1</v>
      </c>
      <c r="Y263" s="5" t="b">
        <v>0</v>
      </c>
    </row>
    <row r="264">
      <c r="A264" s="25" t="s">
        <v>61</v>
      </c>
      <c r="B264" s="25">
        <f t="array" ref="B264">XLOOKUP(A264, CURSOS!A:A, CURSOS!B:B)</f>
        <v>14</v>
      </c>
      <c r="C264" s="24" t="str">
        <f t="array" ref="C264">XLOOKUP(A264, CURSOS!A:A, CURSOS!C:C)</f>
        <v>GUARDIANES DE LA NOCHE</v>
      </c>
      <c r="D264" s="70" t="s">
        <v>212</v>
      </c>
      <c r="E264" s="48">
        <f t="array" ref="E264">XLOOKUP($D264,REGOLITOS!$A:$A,REGOLITOS!E:E)</f>
        <v>56</v>
      </c>
      <c r="F264" s="48" t="str">
        <f t="array" ref="F264">XLOOKUP($D264,REGOLITOS!$A:$A,REGOLITOS!F:F)</f>
        <v>Estudiante</v>
      </c>
      <c r="G264" s="48" t="str">
        <f t="array" ref="G264">XLOOKUP($D264,REGOLITOS!$A:$A,REGOLITOS!G:G)</f>
        <v>Baja California</v>
      </c>
      <c r="H264" s="48" t="str">
        <f t="array" ref="H264">XLOOKUP($D264,REGOLITOS!$A:$A,REGOLITOS!H:H)</f>
        <v>55 55 0071 0071</v>
      </c>
      <c r="I264" s="48" t="str">
        <f t="array" ref="I264">XLOOKUP($D264,REGOLITOS!$A:$A,REGOLITOS!I:I)</f>
        <v>usuario71@ejemplo.com</v>
      </c>
      <c r="J264" s="48" t="str">
        <f t="array" ref="J264">XLOOKUP($D264,REGOLITOS!$A:$A,REGOLITOS!J:J)</f>
        <v/>
      </c>
      <c r="K264" s="48" t="str">
        <f t="array" ref="K264">XLOOKUP($D264,REGOLITOS!$A:$A,REGOLITOS!K:K)</f>
        <v>Adulto</v>
      </c>
      <c r="L264" s="76" t="s">
        <v>1079</v>
      </c>
      <c r="M264" s="5" t="s">
        <v>1078</v>
      </c>
      <c r="N264" s="5" t="s">
        <v>1080</v>
      </c>
      <c r="O264" s="5" t="s">
        <v>1078</v>
      </c>
      <c r="P264" s="5" t="s">
        <v>1078</v>
      </c>
      <c r="Q264" s="5" t="s">
        <v>1080</v>
      </c>
      <c r="R264" s="5" t="s">
        <v>1080</v>
      </c>
      <c r="S264" s="5" t="s">
        <v>1080</v>
      </c>
      <c r="T264" s="5" t="s">
        <v>1080</v>
      </c>
      <c r="U264" s="5" t="s">
        <v>1080</v>
      </c>
      <c r="V264" s="5" t="s">
        <v>1080</v>
      </c>
      <c r="X264" s="71">
        <f t="shared" si="3"/>
        <v>3</v>
      </c>
      <c r="Y264" s="5" t="b">
        <v>0</v>
      </c>
    </row>
    <row r="265">
      <c r="A265" s="25" t="s">
        <v>61</v>
      </c>
      <c r="B265" s="25">
        <f t="array" ref="B265">XLOOKUP(A265, CURSOS!A:A, CURSOS!B:B)</f>
        <v>14</v>
      </c>
      <c r="C265" s="24" t="str">
        <f t="array" ref="C265">XLOOKUP(A265, CURSOS!A:A, CURSOS!C:C)</f>
        <v>GUARDIANES DE LA NOCHE</v>
      </c>
      <c r="D265" s="70" t="s">
        <v>218</v>
      </c>
      <c r="E265" s="48">
        <f t="array" ref="E265">XLOOKUP($D265,REGOLITOS!$A:$A,REGOLITOS!E:E)</f>
        <v>65</v>
      </c>
      <c r="F265" s="48" t="str">
        <f t="array" ref="F265">XLOOKUP($D265,REGOLITOS!$A:$A,REGOLITOS!F:F)</f>
        <v>Estudiante</v>
      </c>
      <c r="G265" s="48" t="str">
        <f t="array" ref="G265">XLOOKUP($D265,REGOLITOS!$A:$A,REGOLITOS!G:G)</f>
        <v>Sinaloa</v>
      </c>
      <c r="H265" s="48" t="str">
        <f t="array" ref="H265">XLOOKUP($D265,REGOLITOS!$A:$A,REGOLITOS!H:H)</f>
        <v>55 55 0075 0075</v>
      </c>
      <c r="I265" s="48" t="str">
        <f t="array" ref="I265">XLOOKUP($D265,REGOLITOS!$A:$A,REGOLITOS!I:I)</f>
        <v>usuario75@ejemplo.com</v>
      </c>
      <c r="J265" s="48" t="str">
        <f t="array" ref="J265">XLOOKUP($D265,REGOLITOS!$A:$A,REGOLITOS!J:J)</f>
        <v/>
      </c>
      <c r="K265" s="48" t="str">
        <f t="array" ref="K265">XLOOKUP($D265,REGOLITOS!$A:$A,REGOLITOS!K:K)</f>
        <v>Adulto Mayor</v>
      </c>
      <c r="L265" s="76" t="s">
        <v>1079</v>
      </c>
      <c r="M265" s="5" t="s">
        <v>1080</v>
      </c>
      <c r="N265" s="5" t="s">
        <v>1080</v>
      </c>
      <c r="O265" s="5" t="s">
        <v>1080</v>
      </c>
      <c r="P265" s="5" t="s">
        <v>1080</v>
      </c>
      <c r="Q265" s="5" t="s">
        <v>1078</v>
      </c>
      <c r="R265" s="5" t="s">
        <v>1080</v>
      </c>
      <c r="S265" s="5" t="s">
        <v>1080</v>
      </c>
      <c r="T265" s="5" t="s">
        <v>1080</v>
      </c>
      <c r="U265" s="5" t="s">
        <v>1080</v>
      </c>
      <c r="V265" s="5" t="s">
        <v>1080</v>
      </c>
      <c r="X265" s="71">
        <f t="shared" si="3"/>
        <v>1</v>
      </c>
      <c r="Y265" s="5" t="b">
        <v>0</v>
      </c>
    </row>
    <row r="266">
      <c r="A266" s="25" t="s">
        <v>61</v>
      </c>
      <c r="B266" s="25">
        <f t="array" ref="B266">XLOOKUP(A266, CURSOS!A:A, CURSOS!B:B)</f>
        <v>14</v>
      </c>
      <c r="C266" s="24" t="str">
        <f t="array" ref="C266">XLOOKUP(A266, CURSOS!A:A, CURSOS!C:C)</f>
        <v>GUARDIANES DE LA NOCHE</v>
      </c>
      <c r="D266" s="70" t="s">
        <v>219</v>
      </c>
      <c r="E266" s="48">
        <f t="array" ref="E266">XLOOKUP($D266,REGOLITOS!$A:$A,REGOLITOS!E:E)</f>
        <v>47</v>
      </c>
      <c r="F266" s="48" t="str">
        <f t="array" ref="F266">XLOOKUP($D266,REGOLITOS!$A:$A,REGOLITOS!F:F)</f>
        <v>Estudio</v>
      </c>
      <c r="G266" s="48" t="str">
        <f t="array" ref="G266">XLOOKUP($D266,REGOLITOS!$A:$A,REGOLITOS!G:G)</f>
        <v>Estado de México</v>
      </c>
      <c r="H266" s="48" t="str">
        <f t="array" ref="H266">XLOOKUP($D266,REGOLITOS!$A:$A,REGOLITOS!H:H)</f>
        <v>55 55 0076 0076</v>
      </c>
      <c r="I266" s="48" t="str">
        <f t="array" ref="I266">XLOOKUP($D266,REGOLITOS!$A:$A,REGOLITOS!I:I)</f>
        <v>usuario76@ejemplo.com</v>
      </c>
      <c r="J266" s="48" t="str">
        <f t="array" ref="J266">XLOOKUP($D266,REGOLITOS!$A:$A,REGOLITOS!J:J)</f>
        <v/>
      </c>
      <c r="K266" s="48" t="str">
        <f t="array" ref="K266">XLOOKUP($D266,REGOLITOS!$A:$A,REGOLITOS!K:K)</f>
        <v>Adulto</v>
      </c>
      <c r="L266" s="76" t="s">
        <v>1079</v>
      </c>
      <c r="M266" s="5" t="s">
        <v>1080</v>
      </c>
      <c r="N266" s="5" t="s">
        <v>1078</v>
      </c>
      <c r="O266" s="5" t="s">
        <v>1080</v>
      </c>
      <c r="P266" s="5" t="s">
        <v>1080</v>
      </c>
      <c r="Q266" s="5" t="s">
        <v>1080</v>
      </c>
      <c r="R266" s="5" t="s">
        <v>1080</v>
      </c>
      <c r="S266" s="5" t="s">
        <v>1080</v>
      </c>
      <c r="T266" s="5" t="s">
        <v>1080</v>
      </c>
      <c r="U266" s="5" t="s">
        <v>1080</v>
      </c>
      <c r="V266" s="5" t="s">
        <v>1080</v>
      </c>
      <c r="X266" s="71">
        <f t="shared" si="3"/>
        <v>1</v>
      </c>
      <c r="Y266" s="5" t="b">
        <v>0</v>
      </c>
    </row>
    <row r="267">
      <c r="A267" s="25" t="s">
        <v>61</v>
      </c>
      <c r="B267" s="25">
        <f t="array" ref="B267">XLOOKUP(A267, CURSOS!A:A, CURSOS!B:B)</f>
        <v>14</v>
      </c>
      <c r="C267" s="24" t="str">
        <f t="array" ref="C267">XLOOKUP(A267, CURSOS!A:A, CURSOS!C:C)</f>
        <v>GUARDIANES DE LA NOCHE</v>
      </c>
      <c r="D267" s="70" t="s">
        <v>221</v>
      </c>
      <c r="E267" s="48">
        <f t="array" ref="E267">XLOOKUP($D267,REGOLITOS!$A:$A,REGOLITOS!E:E)</f>
        <v>51</v>
      </c>
      <c r="F267" s="48" t="str">
        <f t="array" ref="F267">XLOOKUP($D267,REGOLITOS!$A:$A,REGOLITOS!F:F)</f>
        <v>Estudiante</v>
      </c>
      <c r="G267" s="48" t="str">
        <f t="array" ref="G267">XLOOKUP($D267,REGOLITOS!$A:$A,REGOLITOS!G:G)</f>
        <v>Oaxaca</v>
      </c>
      <c r="H267" s="48" t="str">
        <f t="array" ref="H267">XLOOKUP($D267,REGOLITOS!$A:$A,REGOLITOS!H:H)</f>
        <v>55 55 0077 0077</v>
      </c>
      <c r="I267" s="48" t="str">
        <f t="array" ref="I267">XLOOKUP($D267,REGOLITOS!$A:$A,REGOLITOS!I:I)</f>
        <v>usuario77@ejemplo.com</v>
      </c>
      <c r="J267" s="48" t="str">
        <f t="array" ref="J267">XLOOKUP($D267,REGOLITOS!$A:$A,REGOLITOS!J:J)</f>
        <v/>
      </c>
      <c r="K267" s="48" t="str">
        <f t="array" ref="K267">XLOOKUP($D267,REGOLITOS!$A:$A,REGOLITOS!K:K)</f>
        <v>Adulto</v>
      </c>
      <c r="L267" s="76" t="s">
        <v>1079</v>
      </c>
      <c r="M267" s="5" t="s">
        <v>1078</v>
      </c>
      <c r="N267" s="5" t="s">
        <v>1080</v>
      </c>
      <c r="O267" s="5" t="s">
        <v>1080</v>
      </c>
      <c r="P267" s="5" t="s">
        <v>1080</v>
      </c>
      <c r="Q267" s="5" t="s">
        <v>1080</v>
      </c>
      <c r="R267" s="5" t="s">
        <v>1080</v>
      </c>
      <c r="S267" s="5" t="s">
        <v>1080</v>
      </c>
      <c r="T267" s="5" t="s">
        <v>1080</v>
      </c>
      <c r="U267" s="5" t="s">
        <v>1080</v>
      </c>
      <c r="V267" s="5" t="s">
        <v>1080</v>
      </c>
      <c r="X267" s="71">
        <f t="shared" si="3"/>
        <v>1</v>
      </c>
      <c r="Y267" s="5" t="b">
        <v>0</v>
      </c>
    </row>
    <row r="268">
      <c r="A268" s="25" t="s">
        <v>61</v>
      </c>
      <c r="B268" s="25">
        <f t="array" ref="B268">XLOOKUP(A268, CURSOS!A:A, CURSOS!B:B)</f>
        <v>14</v>
      </c>
      <c r="C268" s="24" t="str">
        <f t="array" ref="C268">XLOOKUP(A268, CURSOS!A:A, CURSOS!C:C)</f>
        <v>GUARDIANES DE LA NOCHE</v>
      </c>
      <c r="D268" s="70" t="s">
        <v>239</v>
      </c>
      <c r="E268" s="48">
        <f t="array" ref="E268">XLOOKUP($D268,REGOLITOS!$A:$A,REGOLITOS!E:E)</f>
        <v>27</v>
      </c>
      <c r="F268" s="48" t="str">
        <f t="array" ref="F268">XLOOKUP($D268,REGOLITOS!$A:$A,REGOLITOS!F:F)</f>
        <v>Médico Cirujano Ortopedista</v>
      </c>
      <c r="G268" s="48" t="str">
        <f t="array" ref="G268">XLOOKUP($D268,REGOLITOS!$A:$A,REGOLITOS!G:G)</f>
        <v>Estado de México</v>
      </c>
      <c r="H268" s="48" t="str">
        <f t="array" ref="H268">XLOOKUP($D268,REGOLITOS!$A:$A,REGOLITOS!H:H)</f>
        <v>55 55 0090 0090</v>
      </c>
      <c r="I268" s="48" t="str">
        <f t="array" ref="I268">XLOOKUP($D268,REGOLITOS!$A:$A,REGOLITOS!I:I)</f>
        <v>usuario90@ejemplo.com</v>
      </c>
      <c r="J268" s="48" t="str">
        <f t="array" ref="J268">XLOOKUP($D268,REGOLITOS!$A:$A,REGOLITOS!J:J)</f>
        <v/>
      </c>
      <c r="K268" s="48" t="str">
        <f t="array" ref="K268">XLOOKUP($D268,REGOLITOS!$A:$A,REGOLITOS!K:K)</f>
        <v>Jóven adulto</v>
      </c>
      <c r="L268" s="76" t="s">
        <v>1079</v>
      </c>
      <c r="M268" s="5" t="s">
        <v>1080</v>
      </c>
      <c r="N268" s="5" t="s">
        <v>1080</v>
      </c>
      <c r="O268" s="5" t="s">
        <v>1080</v>
      </c>
      <c r="P268" s="5" t="s">
        <v>1080</v>
      </c>
      <c r="Q268" s="5" t="s">
        <v>1078</v>
      </c>
      <c r="R268" s="5" t="s">
        <v>1078</v>
      </c>
      <c r="S268" s="5" t="s">
        <v>1080</v>
      </c>
      <c r="T268" s="5" t="s">
        <v>1080</v>
      </c>
      <c r="U268" s="5" t="s">
        <v>1080</v>
      </c>
      <c r="V268" s="5" t="s">
        <v>1080</v>
      </c>
      <c r="X268" s="71">
        <f t="shared" si="3"/>
        <v>2</v>
      </c>
      <c r="Y268" s="5" t="b">
        <v>0</v>
      </c>
    </row>
    <row r="269">
      <c r="A269" s="25" t="s">
        <v>61</v>
      </c>
      <c r="B269" s="25">
        <f t="array" ref="B269">XLOOKUP(A269, CURSOS!A:A, CURSOS!B:B)</f>
        <v>14</v>
      </c>
      <c r="C269" s="24" t="str">
        <f t="array" ref="C269">XLOOKUP(A269, CURSOS!A:A, CURSOS!C:C)</f>
        <v>GUARDIANES DE LA NOCHE</v>
      </c>
      <c r="D269" s="70" t="s">
        <v>254</v>
      </c>
      <c r="E269" s="48">
        <f t="array" ref="E269">XLOOKUP($D269,REGOLITOS!$A:$A,REGOLITOS!E:E)</f>
        <v>14</v>
      </c>
      <c r="F269" s="48" t="str">
        <f t="array" ref="F269">XLOOKUP($D269,REGOLITOS!$A:$A,REGOLITOS!F:F)</f>
        <v>Estudiante </v>
      </c>
      <c r="G269" s="48" t="str">
        <f t="array" ref="G269">XLOOKUP($D269,REGOLITOS!$A:$A,REGOLITOS!G:G)</f>
        <v>Veracruz</v>
      </c>
      <c r="H269" s="48" t="str">
        <f t="array" ref="H269">XLOOKUP($D269,REGOLITOS!$A:$A,REGOLITOS!H:H)</f>
        <v>55 55 0099 0099</v>
      </c>
      <c r="I269" s="48" t="str">
        <f t="array" ref="I269">XLOOKUP($D269,REGOLITOS!$A:$A,REGOLITOS!I:I)</f>
        <v>usuario99@ejemplo.com</v>
      </c>
      <c r="J269" s="48" t="str">
        <f t="array" ref="J269">XLOOKUP($D269,REGOLITOS!$A:$A,REGOLITOS!J:J)</f>
        <v>Tutor_099</v>
      </c>
      <c r="K269" s="48" t="str">
        <f t="array" ref="K269">XLOOKUP($D269,REGOLITOS!$A:$A,REGOLITOS!K:K)</f>
        <v>Adolescente</v>
      </c>
      <c r="L269" s="76" t="s">
        <v>1079</v>
      </c>
      <c r="M269" s="5" t="s">
        <v>1080</v>
      </c>
      <c r="N269" s="5" t="s">
        <v>1078</v>
      </c>
      <c r="O269" s="5" t="s">
        <v>1078</v>
      </c>
      <c r="P269" s="5" t="s">
        <v>1080</v>
      </c>
      <c r="Q269" s="5" t="s">
        <v>1080</v>
      </c>
      <c r="R269" s="5" t="s">
        <v>1080</v>
      </c>
      <c r="S269" s="5" t="s">
        <v>1080</v>
      </c>
      <c r="T269" s="5" t="s">
        <v>1080</v>
      </c>
      <c r="U269" s="5" t="s">
        <v>1080</v>
      </c>
      <c r="V269" s="5" t="s">
        <v>1080</v>
      </c>
      <c r="X269" s="71">
        <f t="shared" si="3"/>
        <v>2</v>
      </c>
      <c r="Y269" s="5" t="b">
        <v>0</v>
      </c>
    </row>
    <row r="270">
      <c r="A270" s="25" t="s">
        <v>61</v>
      </c>
      <c r="B270" s="25">
        <f t="array" ref="B270">XLOOKUP(A270, CURSOS!A:A, CURSOS!B:B)</f>
        <v>14</v>
      </c>
      <c r="C270" s="24" t="str">
        <f t="array" ref="C270">XLOOKUP(A270, CURSOS!A:A, CURSOS!C:C)</f>
        <v>GUARDIANES DE LA NOCHE</v>
      </c>
      <c r="D270" s="70" t="s">
        <v>257</v>
      </c>
      <c r="E270" s="48">
        <f t="array" ref="E270">XLOOKUP($D270,REGOLITOS!$A:$A,REGOLITOS!E:E)</f>
        <v>27</v>
      </c>
      <c r="F270" s="48" t="str">
        <f t="array" ref="F270">XLOOKUP($D270,REGOLITOS!$A:$A,REGOLITOS!F:F)</f>
        <v>Estudiante</v>
      </c>
      <c r="G270" s="48" t="str">
        <f t="array" ref="G270">XLOOKUP($D270,REGOLITOS!$A:$A,REGOLITOS!G:G)</f>
        <v>Veracruz</v>
      </c>
      <c r="H270" s="48" t="str">
        <f t="array" ref="H270">XLOOKUP($D270,REGOLITOS!$A:$A,REGOLITOS!H:H)</f>
        <v>55 55 0102 0102</v>
      </c>
      <c r="I270" s="48" t="str">
        <f t="array" ref="I270">XLOOKUP($D270,REGOLITOS!$A:$A,REGOLITOS!I:I)</f>
        <v>usuario102@ejemplo.com</v>
      </c>
      <c r="J270" s="48" t="str">
        <f t="array" ref="J270">XLOOKUP($D270,REGOLITOS!$A:$A,REGOLITOS!J:J)</f>
        <v/>
      </c>
      <c r="K270" s="48" t="str">
        <f t="array" ref="K270">XLOOKUP($D270,REGOLITOS!$A:$A,REGOLITOS!K:K)</f>
        <v>Jóven adulto</v>
      </c>
      <c r="L270" s="76" t="s">
        <v>1079</v>
      </c>
      <c r="M270" s="5" t="s">
        <v>1080</v>
      </c>
      <c r="N270" s="5" t="s">
        <v>1078</v>
      </c>
      <c r="O270" s="5" t="s">
        <v>1078</v>
      </c>
      <c r="P270" s="5" t="s">
        <v>1080</v>
      </c>
      <c r="Q270" s="5" t="s">
        <v>1080</v>
      </c>
      <c r="R270" s="5" t="s">
        <v>1080</v>
      </c>
      <c r="S270" s="5" t="s">
        <v>1080</v>
      </c>
      <c r="T270" s="5" t="s">
        <v>1080</v>
      </c>
      <c r="U270" s="5" t="s">
        <v>1080</v>
      </c>
      <c r="V270" s="5" t="s">
        <v>1080</v>
      </c>
      <c r="X270" s="71">
        <f t="shared" si="3"/>
        <v>2</v>
      </c>
      <c r="Y270" s="5" t="b">
        <v>0</v>
      </c>
    </row>
    <row r="271">
      <c r="A271" s="25" t="s">
        <v>61</v>
      </c>
      <c r="B271" s="25">
        <f t="array" ref="B271">XLOOKUP(A271, CURSOS!A:A, CURSOS!B:B)</f>
        <v>14</v>
      </c>
      <c r="C271" s="24" t="str">
        <f t="array" ref="C271">XLOOKUP(A271, CURSOS!A:A, CURSOS!C:C)</f>
        <v>GUARDIANES DE LA NOCHE</v>
      </c>
      <c r="D271" s="70" t="s">
        <v>265</v>
      </c>
      <c r="E271" s="48">
        <f t="array" ref="E271">XLOOKUP($D271,REGOLITOS!$A:$A,REGOLITOS!E:E)</f>
        <v>84</v>
      </c>
      <c r="F271" s="48" t="str">
        <f t="array" ref="F271">XLOOKUP($D271,REGOLITOS!$A:$A,REGOLITOS!F:F)</f>
        <v>Estudiante</v>
      </c>
      <c r="G271" s="48" t="str">
        <f t="array" ref="G271">XLOOKUP($D271,REGOLITOS!$A:$A,REGOLITOS!G:G)</f>
        <v>Estado de México</v>
      </c>
      <c r="H271" s="48" t="str">
        <f t="array" ref="H271">XLOOKUP($D271,REGOLITOS!$A:$A,REGOLITOS!H:H)</f>
        <v>55 55 0107 0107</v>
      </c>
      <c r="I271" s="48" t="str">
        <f t="array" ref="I271">XLOOKUP($D271,REGOLITOS!$A:$A,REGOLITOS!I:I)</f>
        <v>usuario107@ejemplo.com</v>
      </c>
      <c r="J271" s="48" t="str">
        <f t="array" ref="J271">XLOOKUP($D271,REGOLITOS!$A:$A,REGOLITOS!J:J)</f>
        <v/>
      </c>
      <c r="K271" s="48" t="str">
        <f t="array" ref="K271">XLOOKUP($D271,REGOLITOS!$A:$A,REGOLITOS!K:K)</f>
        <v>Adulto Mayor</v>
      </c>
      <c r="L271" s="76" t="s">
        <v>1079</v>
      </c>
      <c r="M271" s="5" t="s">
        <v>1078</v>
      </c>
      <c r="N271" s="5" t="s">
        <v>1078</v>
      </c>
      <c r="O271" s="5" t="s">
        <v>1078</v>
      </c>
      <c r="P271" s="5" t="s">
        <v>1080</v>
      </c>
      <c r="Q271" s="5" t="s">
        <v>1080</v>
      </c>
      <c r="R271" s="5" t="s">
        <v>1080</v>
      </c>
      <c r="S271" s="5" t="s">
        <v>1080</v>
      </c>
      <c r="T271" s="5" t="s">
        <v>1080</v>
      </c>
      <c r="U271" s="5" t="s">
        <v>1080</v>
      </c>
      <c r="V271" s="5" t="s">
        <v>1080</v>
      </c>
      <c r="X271" s="71">
        <f t="shared" si="3"/>
        <v>3</v>
      </c>
      <c r="Y271" s="5" t="b">
        <v>0</v>
      </c>
    </row>
    <row r="272">
      <c r="A272" s="25" t="s">
        <v>61</v>
      </c>
      <c r="B272" s="25">
        <f t="array" ref="B272">XLOOKUP(A272, CURSOS!A:A, CURSOS!B:B)</f>
        <v>14</v>
      </c>
      <c r="C272" s="24" t="str">
        <f t="array" ref="C272">XLOOKUP(A272, CURSOS!A:A, CURSOS!C:C)</f>
        <v>GUARDIANES DE LA NOCHE</v>
      </c>
      <c r="D272" s="70" t="s">
        <v>268</v>
      </c>
      <c r="E272" s="48">
        <f t="array" ref="E272">XLOOKUP($D272,REGOLITOS!$A:$A,REGOLITOS!E:E)</f>
        <v>41</v>
      </c>
      <c r="F272" s="48" t="str">
        <f t="array" ref="F272">XLOOKUP($D272,REGOLITOS!$A:$A,REGOLITOS!F:F)</f>
        <v>Estudiante </v>
      </c>
      <c r="G272" s="48" t="str">
        <f t="array" ref="G272">XLOOKUP($D272,REGOLITOS!$A:$A,REGOLITOS!G:G)</f>
        <v>Oaxaca</v>
      </c>
      <c r="H272" s="48" t="str">
        <f t="array" ref="H272">XLOOKUP($D272,REGOLITOS!$A:$A,REGOLITOS!H:H)</f>
        <v>55 55 0110 0110</v>
      </c>
      <c r="I272" s="48" t="str">
        <f t="array" ref="I272">XLOOKUP($D272,REGOLITOS!$A:$A,REGOLITOS!I:I)</f>
        <v>usuario110@ejemplo.com</v>
      </c>
      <c r="J272" s="48" t="str">
        <f t="array" ref="J272">XLOOKUP($D272,REGOLITOS!$A:$A,REGOLITOS!J:J)</f>
        <v/>
      </c>
      <c r="K272" s="48" t="str">
        <f t="array" ref="K272">XLOOKUP($D272,REGOLITOS!$A:$A,REGOLITOS!K:K)</f>
        <v>Adulto</v>
      </c>
      <c r="L272" s="76" t="s">
        <v>1079</v>
      </c>
      <c r="M272" s="5" t="s">
        <v>1080</v>
      </c>
      <c r="N272" s="5" t="s">
        <v>1080</v>
      </c>
      <c r="O272" s="5" t="s">
        <v>1078</v>
      </c>
      <c r="P272" s="5" t="s">
        <v>1080</v>
      </c>
      <c r="Q272" s="5" t="s">
        <v>1080</v>
      </c>
      <c r="R272" s="5" t="s">
        <v>1080</v>
      </c>
      <c r="S272" s="5" t="s">
        <v>1080</v>
      </c>
      <c r="T272" s="5" t="s">
        <v>1080</v>
      </c>
      <c r="U272" s="5" t="s">
        <v>1080</v>
      </c>
      <c r="V272" s="5" t="s">
        <v>1080</v>
      </c>
      <c r="X272" s="71">
        <f t="shared" si="3"/>
        <v>1</v>
      </c>
      <c r="Y272" s="5" t="b">
        <v>0</v>
      </c>
    </row>
    <row r="273">
      <c r="A273" s="25" t="s">
        <v>61</v>
      </c>
      <c r="B273" s="25">
        <f t="array" ref="B273">XLOOKUP(A273, CURSOS!A:A, CURSOS!B:B)</f>
        <v>14</v>
      </c>
      <c r="C273" s="24" t="str">
        <f t="array" ref="C273">XLOOKUP(A273, CURSOS!A:A, CURSOS!C:C)</f>
        <v>GUARDIANES DE LA NOCHE</v>
      </c>
      <c r="D273" s="70" t="s">
        <v>272</v>
      </c>
      <c r="E273" s="48">
        <f t="array" ref="E273">XLOOKUP($D273,REGOLITOS!$A:$A,REGOLITOS!E:E)</f>
        <v>23</v>
      </c>
      <c r="F273" s="48" t="str">
        <f t="array" ref="F273">XLOOKUP($D273,REGOLITOS!$A:$A,REGOLITOS!F:F)</f>
        <v>Medico</v>
      </c>
      <c r="G273" s="48" t="str">
        <f t="array" ref="G273">XLOOKUP($D273,REGOLITOS!$A:$A,REGOLITOS!G:G)</f>
        <v>San Luís Potosí</v>
      </c>
      <c r="H273" s="48" t="str">
        <f t="array" ref="H273">XLOOKUP($D273,REGOLITOS!$A:$A,REGOLITOS!H:H)</f>
        <v>55 55 0113 0113</v>
      </c>
      <c r="I273" s="48" t="str">
        <f t="array" ref="I273">XLOOKUP($D273,REGOLITOS!$A:$A,REGOLITOS!I:I)</f>
        <v>usuario113@ejemplo.com</v>
      </c>
      <c r="J273" s="48" t="str">
        <f t="array" ref="J273">XLOOKUP($D273,REGOLITOS!$A:$A,REGOLITOS!J:J)</f>
        <v/>
      </c>
      <c r="K273" s="48" t="str">
        <f t="array" ref="K273">XLOOKUP($D273,REGOLITOS!$A:$A,REGOLITOS!K:K)</f>
        <v>Jóven adulto</v>
      </c>
      <c r="L273" s="76" t="s">
        <v>1079</v>
      </c>
      <c r="M273" s="5" t="s">
        <v>1080</v>
      </c>
      <c r="N273" s="5" t="s">
        <v>1080</v>
      </c>
      <c r="O273" s="5" t="s">
        <v>1080</v>
      </c>
      <c r="P273" s="5" t="s">
        <v>1078</v>
      </c>
      <c r="Q273" s="5" t="s">
        <v>1080</v>
      </c>
      <c r="R273" s="5" t="s">
        <v>1080</v>
      </c>
      <c r="S273" s="5" t="s">
        <v>1080</v>
      </c>
      <c r="T273" s="5" t="s">
        <v>1080</v>
      </c>
      <c r="U273" s="5" t="s">
        <v>1080</v>
      </c>
      <c r="V273" s="5" t="s">
        <v>1080</v>
      </c>
      <c r="X273" s="71">
        <f t="shared" si="3"/>
        <v>1</v>
      </c>
      <c r="Y273" s="5" t="b">
        <v>0</v>
      </c>
    </row>
    <row r="274">
      <c r="A274" s="25" t="s">
        <v>61</v>
      </c>
      <c r="B274" s="25">
        <f t="array" ref="B274">XLOOKUP(A274, CURSOS!A:A, CURSOS!B:B)</f>
        <v>14</v>
      </c>
      <c r="C274" s="24" t="str">
        <f t="array" ref="C274">XLOOKUP(A274, CURSOS!A:A, CURSOS!C:C)</f>
        <v>GUARDIANES DE LA NOCHE</v>
      </c>
      <c r="D274" s="70" t="s">
        <v>276</v>
      </c>
      <c r="E274" s="48">
        <f t="array" ref="E274">XLOOKUP($D274,REGOLITOS!$A:$A,REGOLITOS!E:E)</f>
        <v>60</v>
      </c>
      <c r="F274" s="48" t="str">
        <f t="array" ref="F274">XLOOKUP($D274,REGOLITOS!$A:$A,REGOLITOS!F:F)</f>
        <v>Estudiante</v>
      </c>
      <c r="G274" s="48" t="str">
        <f t="array" ref="G274">XLOOKUP($D274,REGOLITOS!$A:$A,REGOLITOS!G:G)</f>
        <v>Estado de México</v>
      </c>
      <c r="H274" s="48" t="str">
        <f t="array" ref="H274">XLOOKUP($D274,REGOLITOS!$A:$A,REGOLITOS!H:H)</f>
        <v>55 55 0115 0115</v>
      </c>
      <c r="I274" s="48" t="str">
        <f t="array" ref="I274">XLOOKUP($D274,REGOLITOS!$A:$A,REGOLITOS!I:I)</f>
        <v>usuario115@ejemplo.com</v>
      </c>
      <c r="J274" s="48" t="str">
        <f t="array" ref="J274">XLOOKUP($D274,REGOLITOS!$A:$A,REGOLITOS!J:J)</f>
        <v/>
      </c>
      <c r="K274" s="48" t="str">
        <f t="array" ref="K274">XLOOKUP($D274,REGOLITOS!$A:$A,REGOLITOS!K:K)</f>
        <v>Adulto Mayor</v>
      </c>
      <c r="L274" s="76" t="s">
        <v>1079</v>
      </c>
      <c r="M274" s="5" t="s">
        <v>1080</v>
      </c>
      <c r="N274" s="5" t="s">
        <v>1080</v>
      </c>
      <c r="O274" s="5" t="s">
        <v>1080</v>
      </c>
      <c r="P274" s="5" t="s">
        <v>1078</v>
      </c>
      <c r="Q274" s="5" t="s">
        <v>1080</v>
      </c>
      <c r="R274" s="5" t="s">
        <v>1080</v>
      </c>
      <c r="S274" s="5" t="s">
        <v>1080</v>
      </c>
      <c r="T274" s="5" t="s">
        <v>1080</v>
      </c>
      <c r="U274" s="5" t="s">
        <v>1080</v>
      </c>
      <c r="V274" s="5" t="s">
        <v>1080</v>
      </c>
      <c r="X274" s="71">
        <f t="shared" si="3"/>
        <v>1</v>
      </c>
      <c r="Y274" s="5" t="b">
        <v>0</v>
      </c>
    </row>
    <row r="275">
      <c r="A275" s="25" t="s">
        <v>61</v>
      </c>
      <c r="B275" s="25">
        <f t="array" ref="B275">XLOOKUP(A275, CURSOS!A:A, CURSOS!B:B)</f>
        <v>14</v>
      </c>
      <c r="C275" s="24" t="str">
        <f t="array" ref="C275">XLOOKUP(A275, CURSOS!A:A, CURSOS!C:C)</f>
        <v>GUARDIANES DE LA NOCHE</v>
      </c>
      <c r="D275" s="70" t="s">
        <v>279</v>
      </c>
      <c r="E275" s="48">
        <f t="array" ref="E275">XLOOKUP($D275,REGOLITOS!$A:$A,REGOLITOS!E:E)</f>
        <v>8</v>
      </c>
      <c r="F275" s="48" t="str">
        <f t="array" ref="F275">XLOOKUP($D275,REGOLITOS!$A:$A,REGOLITOS!F:F)</f>
        <v>Estudiante</v>
      </c>
      <c r="G275" s="48" t="str">
        <f t="array" ref="G275">XLOOKUP($D275,REGOLITOS!$A:$A,REGOLITOS!G:G)</f>
        <v>Baja California</v>
      </c>
      <c r="H275" s="48" t="str">
        <f t="array" ref="H275">XLOOKUP($D275,REGOLITOS!$A:$A,REGOLITOS!H:H)</f>
        <v>55 55 0118 0118</v>
      </c>
      <c r="I275" s="48" t="str">
        <f t="array" ref="I275">XLOOKUP($D275,REGOLITOS!$A:$A,REGOLITOS!I:I)</f>
        <v>usuario118@ejemplo.com</v>
      </c>
      <c r="J275" s="48" t="str">
        <f t="array" ref="J275">XLOOKUP($D275,REGOLITOS!$A:$A,REGOLITOS!J:J)</f>
        <v>Tutor_118</v>
      </c>
      <c r="K275" s="48" t="str">
        <f t="array" ref="K275">XLOOKUP($D275,REGOLITOS!$A:$A,REGOLITOS!K:K)</f>
        <v>Infancia</v>
      </c>
      <c r="L275" s="76" t="s">
        <v>1079</v>
      </c>
      <c r="M275" s="5" t="s">
        <v>1078</v>
      </c>
      <c r="N275" s="5" t="s">
        <v>1080</v>
      </c>
      <c r="O275" s="5" t="s">
        <v>1080</v>
      </c>
      <c r="P275" s="5" t="s">
        <v>1078</v>
      </c>
      <c r="Q275" s="5" t="s">
        <v>1078</v>
      </c>
      <c r="R275" s="5" t="s">
        <v>1080</v>
      </c>
      <c r="S275" s="5" t="s">
        <v>1080</v>
      </c>
      <c r="T275" s="5" t="s">
        <v>1080</v>
      </c>
      <c r="U275" s="5" t="s">
        <v>1080</v>
      </c>
      <c r="V275" s="5" t="s">
        <v>1080</v>
      </c>
      <c r="X275" s="71">
        <f t="shared" si="3"/>
        <v>3</v>
      </c>
      <c r="Y275" s="5" t="b">
        <v>0</v>
      </c>
    </row>
    <row r="276">
      <c r="A276" s="25" t="s">
        <v>61</v>
      </c>
      <c r="B276" s="25">
        <f t="array" ref="B276">XLOOKUP(A276, CURSOS!A:A, CURSOS!B:B)</f>
        <v>14</v>
      </c>
      <c r="C276" s="24" t="str">
        <f t="array" ref="C276">XLOOKUP(A276, CURSOS!A:A, CURSOS!C:C)</f>
        <v>GUARDIANES DE LA NOCHE</v>
      </c>
      <c r="D276" s="70" t="s">
        <v>286</v>
      </c>
      <c r="E276" s="48">
        <f t="array" ref="E276">XLOOKUP($D276,REGOLITOS!$A:$A,REGOLITOS!E:E)</f>
        <v>21</v>
      </c>
      <c r="F276" s="48" t="str">
        <f t="array" ref="F276">XLOOKUP($D276,REGOLITOS!$A:$A,REGOLITOS!F:F)</f>
        <v>Ama de casa</v>
      </c>
      <c r="G276" s="48" t="str">
        <f t="array" ref="G276">XLOOKUP($D276,REGOLITOS!$A:$A,REGOLITOS!G:G)</f>
        <v>Estado de México</v>
      </c>
      <c r="H276" s="48" t="str">
        <f t="array" ref="H276">XLOOKUP($D276,REGOLITOS!$A:$A,REGOLITOS!H:H)</f>
        <v>55 55 0124 0124</v>
      </c>
      <c r="I276" s="48" t="str">
        <f t="array" ref="I276">XLOOKUP($D276,REGOLITOS!$A:$A,REGOLITOS!I:I)</f>
        <v>usuario124@ejemplo.com</v>
      </c>
      <c r="J276" s="48" t="str">
        <f t="array" ref="J276">XLOOKUP($D276,REGOLITOS!$A:$A,REGOLITOS!J:J)</f>
        <v/>
      </c>
      <c r="K276" s="48" t="str">
        <f t="array" ref="K276">XLOOKUP($D276,REGOLITOS!$A:$A,REGOLITOS!K:K)</f>
        <v>Jóven adulto</v>
      </c>
      <c r="L276" s="76" t="s">
        <v>1079</v>
      </c>
      <c r="M276" s="5" t="s">
        <v>1080</v>
      </c>
      <c r="N276" s="5" t="s">
        <v>1080</v>
      </c>
      <c r="O276" s="5" t="s">
        <v>1080</v>
      </c>
      <c r="P276" s="5" t="s">
        <v>1078</v>
      </c>
      <c r="Q276" s="5" t="s">
        <v>1080</v>
      </c>
      <c r="R276" s="5" t="s">
        <v>1080</v>
      </c>
      <c r="S276" s="5" t="s">
        <v>1080</v>
      </c>
      <c r="T276" s="5" t="s">
        <v>1080</v>
      </c>
      <c r="U276" s="5" t="s">
        <v>1080</v>
      </c>
      <c r="V276" s="5" t="s">
        <v>1080</v>
      </c>
      <c r="X276" s="71">
        <f t="shared" si="3"/>
        <v>1</v>
      </c>
      <c r="Y276" s="5" t="b">
        <v>0</v>
      </c>
    </row>
    <row r="277">
      <c r="A277" s="25" t="s">
        <v>61</v>
      </c>
      <c r="B277" s="25">
        <f t="array" ref="B277">XLOOKUP(A277, CURSOS!A:A, CURSOS!B:B)</f>
        <v>14</v>
      </c>
      <c r="C277" s="24" t="str">
        <f t="array" ref="C277">XLOOKUP(A277, CURSOS!A:A, CURSOS!C:C)</f>
        <v>GUARDIANES DE LA NOCHE</v>
      </c>
      <c r="D277" s="70" t="s">
        <v>290</v>
      </c>
      <c r="E277" s="48">
        <f t="array" ref="E277">XLOOKUP($D277,REGOLITOS!$A:$A,REGOLITOS!E:E)</f>
        <v>76</v>
      </c>
      <c r="F277" s="48" t="str">
        <f t="array" ref="F277">XLOOKUP($D277,REGOLITOS!$A:$A,REGOLITOS!F:F)</f>
        <v>Empleada</v>
      </c>
      <c r="G277" s="48" t="str">
        <f t="array" ref="G277">XLOOKUP($D277,REGOLITOS!$A:$A,REGOLITOS!G:G)</f>
        <v>Nuevo León</v>
      </c>
      <c r="H277" s="48" t="str">
        <f t="array" ref="H277">XLOOKUP($D277,REGOLITOS!$A:$A,REGOLITOS!H:H)</f>
        <v>55 55 0127 0127</v>
      </c>
      <c r="I277" s="48" t="str">
        <f t="array" ref="I277">XLOOKUP($D277,REGOLITOS!$A:$A,REGOLITOS!I:I)</f>
        <v>usuario127@ejemplo.com</v>
      </c>
      <c r="J277" s="48" t="str">
        <f t="array" ref="J277">XLOOKUP($D277,REGOLITOS!$A:$A,REGOLITOS!J:J)</f>
        <v/>
      </c>
      <c r="K277" s="48" t="str">
        <f t="array" ref="K277">XLOOKUP($D277,REGOLITOS!$A:$A,REGOLITOS!K:K)</f>
        <v>Adulto Mayor</v>
      </c>
      <c r="L277" s="76" t="s">
        <v>1079</v>
      </c>
      <c r="M277" s="5" t="s">
        <v>1078</v>
      </c>
      <c r="N277" s="5" t="s">
        <v>1080</v>
      </c>
      <c r="O277" s="5" t="s">
        <v>1080</v>
      </c>
      <c r="P277" s="5" t="s">
        <v>1080</v>
      </c>
      <c r="Q277" s="5" t="s">
        <v>1080</v>
      </c>
      <c r="R277" s="5" t="s">
        <v>1080</v>
      </c>
      <c r="S277" s="5" t="s">
        <v>1080</v>
      </c>
      <c r="T277" s="5" t="s">
        <v>1080</v>
      </c>
      <c r="U277" s="5" t="s">
        <v>1080</v>
      </c>
      <c r="V277" s="5" t="s">
        <v>1080</v>
      </c>
      <c r="X277" s="71">
        <f t="shared" si="3"/>
        <v>1</v>
      </c>
      <c r="Y277" s="5" t="b">
        <v>0</v>
      </c>
    </row>
    <row r="278">
      <c r="A278" s="25" t="s">
        <v>61</v>
      </c>
      <c r="B278" s="25">
        <f t="array" ref="B278">XLOOKUP(A278, CURSOS!A:A, CURSOS!B:B)</f>
        <v>14</v>
      </c>
      <c r="C278" s="24" t="str">
        <f t="array" ref="C278">XLOOKUP(A278, CURSOS!A:A, CURSOS!C:C)</f>
        <v>GUARDIANES DE LA NOCHE</v>
      </c>
      <c r="D278" s="70" t="s">
        <v>302</v>
      </c>
      <c r="E278" s="48">
        <f t="array" ref="E278">XLOOKUP($D278,REGOLITOS!$A:$A,REGOLITOS!E:E)</f>
        <v>11</v>
      </c>
      <c r="F278" s="48" t="str">
        <f t="array" ref="F278">XLOOKUP($D278,REGOLITOS!$A:$A,REGOLITOS!F:F)</f>
        <v>Sistemas </v>
      </c>
      <c r="G278" s="48" t="str">
        <f t="array" ref="G278">XLOOKUP($D278,REGOLITOS!$A:$A,REGOLITOS!G:G)</f>
        <v>Querétaro</v>
      </c>
      <c r="H278" s="48" t="str">
        <f t="array" ref="H278">XLOOKUP($D278,REGOLITOS!$A:$A,REGOLITOS!H:H)</f>
        <v>55 55 0133 0133</v>
      </c>
      <c r="I278" s="48" t="str">
        <f t="array" ref="I278">XLOOKUP($D278,REGOLITOS!$A:$A,REGOLITOS!I:I)</f>
        <v>usuario133@ejemplo.com</v>
      </c>
      <c r="J278" s="48" t="str">
        <f t="array" ref="J278">XLOOKUP($D278,REGOLITOS!$A:$A,REGOLITOS!J:J)</f>
        <v>Tutor_133</v>
      </c>
      <c r="K278" s="48" t="str">
        <f t="array" ref="K278">XLOOKUP($D278,REGOLITOS!$A:$A,REGOLITOS!K:K)</f>
        <v>Infancia</v>
      </c>
      <c r="L278" s="76" t="s">
        <v>1079</v>
      </c>
      <c r="M278" s="5" t="s">
        <v>1078</v>
      </c>
      <c r="N278" s="5" t="s">
        <v>1080</v>
      </c>
      <c r="O278" s="5" t="s">
        <v>1078</v>
      </c>
      <c r="P278" s="5" t="s">
        <v>1080</v>
      </c>
      <c r="Q278" s="5" t="s">
        <v>1080</v>
      </c>
      <c r="R278" s="5" t="s">
        <v>1078</v>
      </c>
      <c r="S278" s="5" t="s">
        <v>1080</v>
      </c>
      <c r="T278" s="5" t="s">
        <v>1080</v>
      </c>
      <c r="U278" s="5" t="s">
        <v>1080</v>
      </c>
      <c r="V278" s="5" t="s">
        <v>1080</v>
      </c>
      <c r="X278" s="71">
        <f t="shared" si="3"/>
        <v>3</v>
      </c>
      <c r="Y278" s="5" t="b">
        <v>0</v>
      </c>
    </row>
    <row r="279">
      <c r="A279" s="25" t="s">
        <v>61</v>
      </c>
      <c r="B279" s="25">
        <f t="array" ref="B279">XLOOKUP(A279, CURSOS!A:A, CURSOS!B:B)</f>
        <v>14</v>
      </c>
      <c r="C279" s="24" t="str">
        <f t="array" ref="C279">XLOOKUP(A279, CURSOS!A:A, CURSOS!C:C)</f>
        <v>GUARDIANES DE LA NOCHE</v>
      </c>
      <c r="D279" s="70" t="s">
        <v>305</v>
      </c>
      <c r="E279" s="48">
        <f t="array" ref="E279">XLOOKUP($D279,REGOLITOS!$A:$A,REGOLITOS!E:E)</f>
        <v>74</v>
      </c>
      <c r="F279" s="48" t="str">
        <f t="array" ref="F279">XLOOKUP($D279,REGOLITOS!$A:$A,REGOLITOS!F:F)</f>
        <v>Empleado</v>
      </c>
      <c r="G279" s="48" t="str">
        <f t="array" ref="G279">XLOOKUP($D279,REGOLITOS!$A:$A,REGOLITOS!G:G)</f>
        <v>Ciudad de México</v>
      </c>
      <c r="H279" s="48" t="str">
        <f t="array" ref="H279">XLOOKUP($D279,REGOLITOS!$A:$A,REGOLITOS!H:H)</f>
        <v>55 55 0135 0135</v>
      </c>
      <c r="I279" s="48" t="str">
        <f t="array" ref="I279">XLOOKUP($D279,REGOLITOS!$A:$A,REGOLITOS!I:I)</f>
        <v>usuario135@ejemplo.com</v>
      </c>
      <c r="J279" s="48" t="str">
        <f t="array" ref="J279">XLOOKUP($D279,REGOLITOS!$A:$A,REGOLITOS!J:J)</f>
        <v/>
      </c>
      <c r="K279" s="48" t="str">
        <f t="array" ref="K279">XLOOKUP($D279,REGOLITOS!$A:$A,REGOLITOS!K:K)</f>
        <v>Adulto Mayor</v>
      </c>
      <c r="L279" s="76" t="s">
        <v>1079</v>
      </c>
      <c r="M279" s="5" t="s">
        <v>1078</v>
      </c>
      <c r="N279" s="5" t="s">
        <v>1080</v>
      </c>
      <c r="O279" s="5" t="s">
        <v>1080</v>
      </c>
      <c r="P279" s="5" t="s">
        <v>1080</v>
      </c>
      <c r="Q279" s="5" t="s">
        <v>1080</v>
      </c>
      <c r="R279" s="5" t="s">
        <v>1080</v>
      </c>
      <c r="S279" s="5" t="s">
        <v>1080</v>
      </c>
      <c r="T279" s="5" t="s">
        <v>1080</v>
      </c>
      <c r="U279" s="5" t="s">
        <v>1080</v>
      </c>
      <c r="V279" s="5" t="s">
        <v>1080</v>
      </c>
      <c r="X279" s="71">
        <f t="shared" si="3"/>
        <v>1</v>
      </c>
      <c r="Y279" s="5" t="b">
        <v>0</v>
      </c>
    </row>
    <row r="280">
      <c r="A280" s="25" t="s">
        <v>61</v>
      </c>
      <c r="B280" s="25">
        <f t="array" ref="B280">XLOOKUP(A280, CURSOS!A:A, CURSOS!B:B)</f>
        <v>14</v>
      </c>
      <c r="C280" s="24" t="str">
        <f t="array" ref="C280">XLOOKUP(A280, CURSOS!A:A, CURSOS!C:C)</f>
        <v>GUARDIANES DE LA NOCHE</v>
      </c>
      <c r="D280" s="70" t="s">
        <v>315</v>
      </c>
      <c r="E280" s="48">
        <f t="array" ref="E280">XLOOKUP($D280,REGOLITOS!$A:$A,REGOLITOS!E:E)</f>
        <v>68</v>
      </c>
      <c r="F280" s="48" t="str">
        <f t="array" ref="F280">XLOOKUP($D280,REGOLITOS!$A:$A,REGOLITOS!F:F)</f>
        <v>Profesora </v>
      </c>
      <c r="G280" s="48" t="str">
        <f t="array" ref="G280">XLOOKUP($D280,REGOLITOS!$A:$A,REGOLITOS!G:G)</f>
        <v>Ciudad de México</v>
      </c>
      <c r="H280" s="48" t="str">
        <f t="array" ref="H280">XLOOKUP($D280,REGOLITOS!$A:$A,REGOLITOS!H:H)</f>
        <v>55 55 0143 0143</v>
      </c>
      <c r="I280" s="48" t="str">
        <f t="array" ref="I280">XLOOKUP($D280,REGOLITOS!$A:$A,REGOLITOS!I:I)</f>
        <v>usuario143@ejemplo.com</v>
      </c>
      <c r="J280" s="48" t="str">
        <f t="array" ref="J280">XLOOKUP($D280,REGOLITOS!$A:$A,REGOLITOS!J:J)</f>
        <v/>
      </c>
      <c r="K280" s="48" t="str">
        <f t="array" ref="K280">XLOOKUP($D280,REGOLITOS!$A:$A,REGOLITOS!K:K)</f>
        <v>Adulto Mayor</v>
      </c>
      <c r="L280" s="76" t="s">
        <v>1079</v>
      </c>
      <c r="M280" s="5" t="s">
        <v>1080</v>
      </c>
      <c r="N280" s="5" t="s">
        <v>1078</v>
      </c>
      <c r="O280" s="5" t="s">
        <v>1080</v>
      </c>
      <c r="P280" s="5" t="s">
        <v>1080</v>
      </c>
      <c r="Q280" s="5" t="s">
        <v>1080</v>
      </c>
      <c r="R280" s="5" t="s">
        <v>1078</v>
      </c>
      <c r="S280" s="5" t="s">
        <v>1080</v>
      </c>
      <c r="T280" s="5" t="s">
        <v>1080</v>
      </c>
      <c r="U280" s="5" t="s">
        <v>1080</v>
      </c>
      <c r="V280" s="5" t="s">
        <v>1080</v>
      </c>
      <c r="X280" s="71">
        <f t="shared" si="3"/>
        <v>2</v>
      </c>
      <c r="Y280" s="5" t="b">
        <v>0</v>
      </c>
    </row>
    <row r="281">
      <c r="A281" s="25" t="s">
        <v>61</v>
      </c>
      <c r="B281" s="25">
        <f t="array" ref="B281">XLOOKUP(A281, CURSOS!A:A, CURSOS!B:B)</f>
        <v>14</v>
      </c>
      <c r="C281" s="24" t="str">
        <f t="array" ref="C281">XLOOKUP(A281, CURSOS!A:A, CURSOS!C:C)</f>
        <v>GUARDIANES DE LA NOCHE</v>
      </c>
      <c r="D281" s="70" t="s">
        <v>329</v>
      </c>
      <c r="E281" s="48">
        <f t="array" ref="E281">XLOOKUP($D281,REGOLITOS!$A:$A,REGOLITOS!E:E)</f>
        <v>48</v>
      </c>
      <c r="F281" s="48" t="str">
        <f t="array" ref="F281">XLOOKUP($D281,REGOLITOS!$A:$A,REGOLITOS!F:F)</f>
        <v>Hogar</v>
      </c>
      <c r="G281" s="48" t="str">
        <f t="array" ref="G281">XLOOKUP($D281,REGOLITOS!$A:$A,REGOLITOS!G:G)</f>
        <v>Estado de México</v>
      </c>
      <c r="H281" s="48" t="str">
        <f t="array" ref="H281">XLOOKUP($D281,REGOLITOS!$A:$A,REGOLITOS!H:H)</f>
        <v>55 55 0152 0152</v>
      </c>
      <c r="I281" s="48" t="str">
        <f t="array" ref="I281">XLOOKUP($D281,REGOLITOS!$A:$A,REGOLITOS!I:I)</f>
        <v>usuario152@ejemplo.com</v>
      </c>
      <c r="J281" s="48" t="str">
        <f t="array" ref="J281">XLOOKUP($D281,REGOLITOS!$A:$A,REGOLITOS!J:J)</f>
        <v/>
      </c>
      <c r="K281" s="48" t="str">
        <f t="array" ref="K281">XLOOKUP($D281,REGOLITOS!$A:$A,REGOLITOS!K:K)</f>
        <v>Adulto</v>
      </c>
      <c r="L281" s="76" t="s">
        <v>1079</v>
      </c>
      <c r="M281" s="5" t="s">
        <v>1080</v>
      </c>
      <c r="N281" s="5" t="s">
        <v>1080</v>
      </c>
      <c r="O281" s="5" t="s">
        <v>1080</v>
      </c>
      <c r="P281" s="5" t="s">
        <v>1080</v>
      </c>
      <c r="Q281" s="5" t="s">
        <v>1078</v>
      </c>
      <c r="R281" s="5" t="s">
        <v>1080</v>
      </c>
      <c r="S281" s="5" t="s">
        <v>1080</v>
      </c>
      <c r="T281" s="5" t="s">
        <v>1080</v>
      </c>
      <c r="U281" s="5" t="s">
        <v>1080</v>
      </c>
      <c r="V281" s="5" t="s">
        <v>1080</v>
      </c>
      <c r="X281" s="71">
        <f t="shared" si="3"/>
        <v>1</v>
      </c>
      <c r="Y281" s="5" t="b">
        <v>0</v>
      </c>
    </row>
    <row r="282">
      <c r="A282" s="25" t="s">
        <v>61</v>
      </c>
      <c r="B282" s="25">
        <f t="array" ref="B282">XLOOKUP(A282, CURSOS!A:A, CURSOS!B:B)</f>
        <v>14</v>
      </c>
      <c r="C282" s="24" t="str">
        <f t="array" ref="C282">XLOOKUP(A282, CURSOS!A:A, CURSOS!C:C)</f>
        <v>GUARDIANES DE LA NOCHE</v>
      </c>
      <c r="D282" s="70" t="s">
        <v>336</v>
      </c>
      <c r="E282" s="48">
        <f t="array" ref="E282">XLOOKUP($D282,REGOLITOS!$A:$A,REGOLITOS!E:E)</f>
        <v>98</v>
      </c>
      <c r="F282" s="48" t="str">
        <f t="array" ref="F282">XLOOKUP($D282,REGOLITOS!$A:$A,REGOLITOS!F:F)</f>
        <v>Docente </v>
      </c>
      <c r="G282" s="48" t="str">
        <f t="array" ref="G282">XLOOKUP($D282,REGOLITOS!$A:$A,REGOLITOS!G:G)</f>
        <v>Oaxaca</v>
      </c>
      <c r="H282" s="48" t="str">
        <f t="array" ref="H282">XLOOKUP($D282,REGOLITOS!$A:$A,REGOLITOS!H:H)</f>
        <v>55 55 0157 0157</v>
      </c>
      <c r="I282" s="48" t="str">
        <f t="array" ref="I282">XLOOKUP($D282,REGOLITOS!$A:$A,REGOLITOS!I:I)</f>
        <v>usuario157@ejemplo.com</v>
      </c>
      <c r="J282" s="48" t="str">
        <f t="array" ref="J282">XLOOKUP($D282,REGOLITOS!$A:$A,REGOLITOS!J:J)</f>
        <v/>
      </c>
      <c r="K282" s="48" t="str">
        <f t="array" ref="K282">XLOOKUP($D282,REGOLITOS!$A:$A,REGOLITOS!K:K)</f>
        <v>Adulto Mayor</v>
      </c>
      <c r="L282" s="76" t="s">
        <v>1079</v>
      </c>
      <c r="M282" s="5" t="s">
        <v>1080</v>
      </c>
      <c r="N282" s="5" t="s">
        <v>1078</v>
      </c>
      <c r="O282" s="5" t="s">
        <v>1078</v>
      </c>
      <c r="P282" s="5" t="s">
        <v>1080</v>
      </c>
      <c r="Q282" s="5" t="s">
        <v>1078</v>
      </c>
      <c r="R282" s="5" t="s">
        <v>1080</v>
      </c>
      <c r="S282" s="5" t="s">
        <v>1080</v>
      </c>
      <c r="T282" s="5" t="s">
        <v>1080</v>
      </c>
      <c r="U282" s="5" t="s">
        <v>1080</v>
      </c>
      <c r="V282" s="5" t="s">
        <v>1080</v>
      </c>
      <c r="X282" s="71">
        <f t="shared" si="3"/>
        <v>3</v>
      </c>
      <c r="Y282" s="5" t="b">
        <v>0</v>
      </c>
    </row>
    <row r="283">
      <c r="A283" s="25" t="s">
        <v>61</v>
      </c>
      <c r="B283" s="25">
        <f t="array" ref="B283">XLOOKUP(A283, CURSOS!A:A, CURSOS!B:B)</f>
        <v>14</v>
      </c>
      <c r="C283" s="24" t="str">
        <f t="array" ref="C283">XLOOKUP(A283, CURSOS!A:A, CURSOS!C:C)</f>
        <v>GUARDIANES DE LA NOCHE</v>
      </c>
      <c r="D283" s="70" t="s">
        <v>342</v>
      </c>
      <c r="E283" s="48">
        <f t="array" ref="E283">XLOOKUP($D283,REGOLITOS!$A:$A,REGOLITOS!E:E)</f>
        <v>43</v>
      </c>
      <c r="F283" s="48" t="str">
        <f t="array" ref="F283">XLOOKUP($D283,REGOLITOS!$A:$A,REGOLITOS!F:F)</f>
        <v>Estudiante </v>
      </c>
      <c r="G283" s="48" t="str">
        <f t="array" ref="G283">XLOOKUP($D283,REGOLITOS!$A:$A,REGOLITOS!G:G)</f>
        <v>Estado de México</v>
      </c>
      <c r="H283" s="48" t="str">
        <f t="array" ref="H283">XLOOKUP($D283,REGOLITOS!$A:$A,REGOLITOS!H:H)</f>
        <v>55 55 0160 0160</v>
      </c>
      <c r="I283" s="48" t="str">
        <f t="array" ref="I283">XLOOKUP($D283,REGOLITOS!$A:$A,REGOLITOS!I:I)</f>
        <v>usuario160@ejemplo.com</v>
      </c>
      <c r="J283" s="48" t="str">
        <f t="array" ref="J283">XLOOKUP($D283,REGOLITOS!$A:$A,REGOLITOS!J:J)</f>
        <v/>
      </c>
      <c r="K283" s="48" t="str">
        <f t="array" ref="K283">XLOOKUP($D283,REGOLITOS!$A:$A,REGOLITOS!K:K)</f>
        <v>Adulto</v>
      </c>
      <c r="L283" s="76" t="s">
        <v>1079</v>
      </c>
      <c r="M283" s="5" t="s">
        <v>1078</v>
      </c>
      <c r="N283" s="5" t="s">
        <v>1078</v>
      </c>
      <c r="O283" s="5" t="s">
        <v>1078</v>
      </c>
      <c r="P283" s="5" t="s">
        <v>1080</v>
      </c>
      <c r="Q283" s="5" t="s">
        <v>1080</v>
      </c>
      <c r="R283" s="5" t="s">
        <v>1080</v>
      </c>
      <c r="S283" s="5" t="s">
        <v>1080</v>
      </c>
      <c r="T283" s="5" t="s">
        <v>1080</v>
      </c>
      <c r="U283" s="5" t="s">
        <v>1080</v>
      </c>
      <c r="V283" s="5" t="s">
        <v>1080</v>
      </c>
      <c r="X283" s="71">
        <f t="shared" si="3"/>
        <v>3</v>
      </c>
      <c r="Y283" s="5" t="b">
        <v>0</v>
      </c>
    </row>
    <row r="284">
      <c r="A284" s="25" t="s">
        <v>61</v>
      </c>
      <c r="B284" s="25">
        <f t="array" ref="B284">XLOOKUP(A284, CURSOS!A:A, CURSOS!B:B)</f>
        <v>14</v>
      </c>
      <c r="C284" s="24" t="str">
        <f t="array" ref="C284">XLOOKUP(A284, CURSOS!A:A, CURSOS!C:C)</f>
        <v>GUARDIANES DE LA NOCHE</v>
      </c>
      <c r="D284" s="70" t="s">
        <v>343</v>
      </c>
      <c r="E284" s="48">
        <f t="array" ref="E284">XLOOKUP($D284,REGOLITOS!$A:$A,REGOLITOS!E:E)</f>
        <v>87</v>
      </c>
      <c r="F284" s="48" t="str">
        <f t="array" ref="F284">XLOOKUP($D284,REGOLITOS!$A:$A,REGOLITOS!F:F)</f>
        <v>Estudiante</v>
      </c>
      <c r="G284" s="48" t="str">
        <f t="array" ref="G284">XLOOKUP($D284,REGOLITOS!$A:$A,REGOLITOS!G:G)</f>
        <v>Hidalgo</v>
      </c>
      <c r="H284" s="48" t="str">
        <f t="array" ref="H284">XLOOKUP($D284,REGOLITOS!$A:$A,REGOLITOS!H:H)</f>
        <v>55 55 0161 0161</v>
      </c>
      <c r="I284" s="48" t="str">
        <f t="array" ref="I284">XLOOKUP($D284,REGOLITOS!$A:$A,REGOLITOS!I:I)</f>
        <v>usuario161@ejemplo.com</v>
      </c>
      <c r="J284" s="48" t="str">
        <f t="array" ref="J284">XLOOKUP($D284,REGOLITOS!$A:$A,REGOLITOS!J:J)</f>
        <v/>
      </c>
      <c r="K284" s="48" t="str">
        <f t="array" ref="K284">XLOOKUP($D284,REGOLITOS!$A:$A,REGOLITOS!K:K)</f>
        <v>Adulto Mayor</v>
      </c>
      <c r="L284" s="76" t="s">
        <v>1079</v>
      </c>
      <c r="M284" s="5" t="s">
        <v>1080</v>
      </c>
      <c r="N284" s="5" t="s">
        <v>1078</v>
      </c>
      <c r="O284" s="5" t="s">
        <v>1078</v>
      </c>
      <c r="P284" s="5" t="s">
        <v>1080</v>
      </c>
      <c r="Q284" s="5" t="s">
        <v>1080</v>
      </c>
      <c r="R284" s="5" t="s">
        <v>1080</v>
      </c>
      <c r="S284" s="5" t="s">
        <v>1080</v>
      </c>
      <c r="T284" s="5" t="s">
        <v>1080</v>
      </c>
      <c r="U284" s="5" t="s">
        <v>1080</v>
      </c>
      <c r="V284" s="5" t="s">
        <v>1080</v>
      </c>
      <c r="X284" s="71">
        <f t="shared" si="3"/>
        <v>2</v>
      </c>
      <c r="Y284" s="5" t="b">
        <v>0</v>
      </c>
    </row>
    <row r="285">
      <c r="A285" s="25" t="s">
        <v>61</v>
      </c>
      <c r="B285" s="25">
        <f t="array" ref="B285">XLOOKUP(A285, CURSOS!A:A, CURSOS!B:B)</f>
        <v>14</v>
      </c>
      <c r="C285" s="24" t="str">
        <f t="array" ref="C285">XLOOKUP(A285, CURSOS!A:A, CURSOS!C:C)</f>
        <v>GUARDIANES DE LA NOCHE</v>
      </c>
      <c r="D285" s="70" t="s">
        <v>344</v>
      </c>
      <c r="E285" s="48">
        <f t="array" ref="E285">XLOOKUP($D285,REGOLITOS!$A:$A,REGOLITOS!E:E)</f>
        <v>38</v>
      </c>
      <c r="F285" s="48" t="str">
        <f t="array" ref="F285">XLOOKUP($D285,REGOLITOS!$A:$A,REGOLITOS!F:F)</f>
        <v>Desconocido</v>
      </c>
      <c r="G285" s="48" t="str">
        <f t="array" ref="G285">XLOOKUP($D285,REGOLITOS!$A:$A,REGOLITOS!G:G)</f>
        <v>Desconocido</v>
      </c>
      <c r="H285" s="48" t="str">
        <f t="array" ref="H285">XLOOKUP($D285,REGOLITOS!$A:$A,REGOLITOS!H:H)</f>
        <v>55 55 0162 0162</v>
      </c>
      <c r="I285" s="48" t="str">
        <f t="array" ref="I285">XLOOKUP($D285,REGOLITOS!$A:$A,REGOLITOS!I:I)</f>
        <v>usuario162@ejemplo.com</v>
      </c>
      <c r="J285" s="48" t="str">
        <f t="array" ref="J285">XLOOKUP($D285,REGOLITOS!$A:$A,REGOLITOS!J:J)</f>
        <v/>
      </c>
      <c r="K285" s="48" t="str">
        <f t="array" ref="K285">XLOOKUP($D285,REGOLITOS!$A:$A,REGOLITOS!K:K)</f>
        <v>Adulto</v>
      </c>
      <c r="L285" s="76" t="s">
        <v>1079</v>
      </c>
      <c r="M285" s="5" t="s">
        <v>1080</v>
      </c>
      <c r="N285" s="5" t="s">
        <v>1080</v>
      </c>
      <c r="O285" s="5" t="s">
        <v>1078</v>
      </c>
      <c r="P285" s="5" t="s">
        <v>1078</v>
      </c>
      <c r="Q285" s="5" t="s">
        <v>1080</v>
      </c>
      <c r="R285" s="5" t="s">
        <v>1080</v>
      </c>
      <c r="S285" s="5" t="s">
        <v>1080</v>
      </c>
      <c r="T285" s="5" t="s">
        <v>1080</v>
      </c>
      <c r="U285" s="5" t="s">
        <v>1080</v>
      </c>
      <c r="V285" s="5" t="s">
        <v>1080</v>
      </c>
      <c r="X285" s="71">
        <f t="shared" si="3"/>
        <v>2</v>
      </c>
      <c r="Y285" s="5" t="b">
        <v>0</v>
      </c>
    </row>
    <row r="286">
      <c r="A286" s="25" t="s">
        <v>61</v>
      </c>
      <c r="B286" s="25">
        <f t="array" ref="B286">XLOOKUP(A286, CURSOS!A:A, CURSOS!B:B)</f>
        <v>14</v>
      </c>
      <c r="C286" s="24" t="str">
        <f t="array" ref="C286">XLOOKUP(A286, CURSOS!A:A, CURSOS!C:C)</f>
        <v>GUARDIANES DE LA NOCHE</v>
      </c>
      <c r="D286" s="70" t="s">
        <v>356</v>
      </c>
      <c r="E286" s="48">
        <f t="array" ref="E286">XLOOKUP($D286,REGOLITOS!$A:$A,REGOLITOS!E:E)</f>
        <v>60</v>
      </c>
      <c r="F286" s="48" t="str">
        <f t="array" ref="F286">XLOOKUP($D286,REGOLITOS!$A:$A,REGOLITOS!F:F)</f>
        <v>Estudiante</v>
      </c>
      <c r="G286" s="48" t="str">
        <f t="array" ref="G286">XLOOKUP($D286,REGOLITOS!$A:$A,REGOLITOS!G:G)</f>
        <v>Estado de México</v>
      </c>
      <c r="H286" s="48" t="str">
        <f t="array" ref="H286">XLOOKUP($D286,REGOLITOS!$A:$A,REGOLITOS!H:H)</f>
        <v>55 55 0171 0171</v>
      </c>
      <c r="I286" s="48" t="str">
        <f t="array" ref="I286">XLOOKUP($D286,REGOLITOS!$A:$A,REGOLITOS!I:I)</f>
        <v>usuario171@ejemplo.com</v>
      </c>
      <c r="J286" s="48" t="str">
        <f t="array" ref="J286">XLOOKUP($D286,REGOLITOS!$A:$A,REGOLITOS!J:J)</f>
        <v/>
      </c>
      <c r="K286" s="48" t="str">
        <f t="array" ref="K286">XLOOKUP($D286,REGOLITOS!$A:$A,REGOLITOS!K:K)</f>
        <v>Adulto Mayor</v>
      </c>
      <c r="L286" s="76" t="s">
        <v>1079</v>
      </c>
      <c r="M286" s="5" t="s">
        <v>1080</v>
      </c>
      <c r="N286" s="5" t="s">
        <v>1080</v>
      </c>
      <c r="O286" s="5" t="s">
        <v>1080</v>
      </c>
      <c r="P286" s="5" t="s">
        <v>1078</v>
      </c>
      <c r="Q286" s="5" t="s">
        <v>1078</v>
      </c>
      <c r="R286" s="5" t="s">
        <v>1080</v>
      </c>
      <c r="S286" s="5" t="s">
        <v>1080</v>
      </c>
      <c r="T286" s="5" t="s">
        <v>1080</v>
      </c>
      <c r="U286" s="5" t="s">
        <v>1080</v>
      </c>
      <c r="V286" s="5" t="s">
        <v>1080</v>
      </c>
      <c r="X286" s="71">
        <f t="shared" si="3"/>
        <v>2</v>
      </c>
      <c r="Y286" s="5" t="b">
        <v>0</v>
      </c>
    </row>
    <row r="287">
      <c r="A287" s="26" t="s">
        <v>64</v>
      </c>
      <c r="B287" s="26">
        <f t="array" ref="B287">XLOOKUP(A287, CURSOS!A:A, CURSOS!B:B)</f>
        <v>15</v>
      </c>
      <c r="C287" s="27" t="str">
        <f t="array" ref="C287">XLOOKUP(A287, CURSOS!A:A, CURSOS!C:C)</f>
        <v>EL DESPERTAR DEL COSMOS</v>
      </c>
      <c r="D287" s="70" t="s">
        <v>355</v>
      </c>
      <c r="E287" s="48">
        <f t="array" ref="E287">XLOOKUP($D287,REGOLITOS!$A:$A,REGOLITOS!E:E)</f>
        <v>45</v>
      </c>
      <c r="F287" s="48" t="str">
        <f t="array" ref="F287">XLOOKUP($D287,REGOLITOS!$A:$A,REGOLITOS!F:F)</f>
        <v>Estudiante</v>
      </c>
      <c r="G287" s="48" t="str">
        <f t="array" ref="G287">XLOOKUP($D287,REGOLITOS!$A:$A,REGOLITOS!G:G)</f>
        <v>Estado de México</v>
      </c>
      <c r="H287" s="48" t="str">
        <f t="array" ref="H287">XLOOKUP($D287,REGOLITOS!$A:$A,REGOLITOS!H:H)</f>
        <v>55 55 0170 0170</v>
      </c>
      <c r="I287" s="48" t="str">
        <f t="array" ref="I287">XLOOKUP($D287,REGOLITOS!$A:$A,REGOLITOS!I:I)</f>
        <v>usuario170@ejemplo.com</v>
      </c>
      <c r="J287" s="48" t="str">
        <f t="array" ref="J287">XLOOKUP($D287,REGOLITOS!$A:$A,REGOLITOS!J:J)</f>
        <v/>
      </c>
      <c r="K287" s="48" t="str">
        <f t="array" ref="K287">XLOOKUP($D287,REGOLITOS!$A:$A,REGOLITOS!K:K)</f>
        <v>Adulto</v>
      </c>
      <c r="L287" s="48">
        <v>200.0</v>
      </c>
      <c r="M287" s="5" t="s">
        <v>1078</v>
      </c>
      <c r="N287" s="5" t="s">
        <v>1078</v>
      </c>
      <c r="O287" s="5" t="s">
        <v>1078</v>
      </c>
      <c r="P287" s="5" t="s">
        <v>1078</v>
      </c>
      <c r="Q287" s="5" t="s">
        <v>1078</v>
      </c>
      <c r="R287" s="5" t="s">
        <v>1078</v>
      </c>
      <c r="X287" s="71">
        <f t="shared" si="3"/>
        <v>6</v>
      </c>
      <c r="Y287" s="5" t="b">
        <v>1</v>
      </c>
    </row>
    <row r="288">
      <c r="A288" s="26" t="s">
        <v>64</v>
      </c>
      <c r="B288" s="26">
        <f t="array" ref="B288">XLOOKUP(A288, CURSOS!A:A, CURSOS!B:B)</f>
        <v>15</v>
      </c>
      <c r="C288" s="27" t="str">
        <f t="array" ref="C288">XLOOKUP(A288, CURSOS!A:A, CURSOS!C:C)</f>
        <v>EL DESPERTAR DEL COSMOS</v>
      </c>
      <c r="D288" s="70" t="s">
        <v>172</v>
      </c>
      <c r="E288" s="48">
        <f t="array" ref="E288">XLOOKUP($D288,REGOLITOS!$A:$A,REGOLITOS!E:E)</f>
        <v>51</v>
      </c>
      <c r="F288" s="48" t="str">
        <f t="array" ref="F288">XLOOKUP($D288,REGOLITOS!$A:$A,REGOLITOS!F:F)</f>
        <v>Odontóloga</v>
      </c>
      <c r="G288" s="48" t="str">
        <f t="array" ref="G288">XLOOKUP($D288,REGOLITOS!$A:$A,REGOLITOS!G:G)</f>
        <v>Estado de México</v>
      </c>
      <c r="H288" s="48" t="str">
        <f t="array" ref="H288">XLOOKUP($D288,REGOLITOS!$A:$A,REGOLITOS!H:H)</f>
        <v>55 55 0044 0044</v>
      </c>
      <c r="I288" s="48" t="str">
        <f t="array" ref="I288">XLOOKUP($D288,REGOLITOS!$A:$A,REGOLITOS!I:I)</f>
        <v>usuario44@ejemplo.com</v>
      </c>
      <c r="J288" s="48" t="str">
        <f t="array" ref="J288">XLOOKUP($D288,REGOLITOS!$A:$A,REGOLITOS!J:J)</f>
        <v/>
      </c>
      <c r="K288" s="48" t="str">
        <f t="array" ref="K288">XLOOKUP($D288,REGOLITOS!$A:$A,REGOLITOS!K:K)</f>
        <v>Adulto</v>
      </c>
      <c r="L288" s="48" t="s">
        <v>1086</v>
      </c>
      <c r="M288" s="5" t="s">
        <v>1078</v>
      </c>
      <c r="N288" s="5" t="s">
        <v>1078</v>
      </c>
      <c r="O288" s="5" t="s">
        <v>1078</v>
      </c>
      <c r="P288" s="5" t="s">
        <v>1078</v>
      </c>
      <c r="Q288" s="5" t="s">
        <v>1078</v>
      </c>
      <c r="R288" s="5" t="s">
        <v>1078</v>
      </c>
      <c r="X288" s="71">
        <f t="shared" si="3"/>
        <v>6</v>
      </c>
      <c r="Y288" s="5" t="b">
        <v>1</v>
      </c>
    </row>
    <row r="289">
      <c r="A289" s="26" t="s">
        <v>64</v>
      </c>
      <c r="B289" s="26">
        <f t="array" ref="B289">XLOOKUP(A289, CURSOS!A:A, CURSOS!B:B)</f>
        <v>15</v>
      </c>
      <c r="C289" s="27" t="str">
        <f t="array" ref="C289">XLOOKUP(A289, CURSOS!A:A, CURSOS!C:C)</f>
        <v>EL DESPERTAR DEL COSMOS</v>
      </c>
      <c r="D289" s="70" t="s">
        <v>323</v>
      </c>
      <c r="E289" s="48">
        <f t="array" ref="E289">XLOOKUP($D289,REGOLITOS!$A:$A,REGOLITOS!E:E)</f>
        <v>62</v>
      </c>
      <c r="F289" s="48" t="str">
        <f t="array" ref="F289">XLOOKUP($D289,REGOLITOS!$A:$A,REGOLITOS!F:F)</f>
        <v>Optometrista</v>
      </c>
      <c r="G289" s="48" t="str">
        <f t="array" ref="G289">XLOOKUP($D289,REGOLITOS!$A:$A,REGOLITOS!G:G)</f>
        <v>Campeche</v>
      </c>
      <c r="H289" s="48" t="str">
        <f t="array" ref="H289">XLOOKUP($D289,REGOLITOS!$A:$A,REGOLITOS!H:H)</f>
        <v>55 55 0148 0148</v>
      </c>
      <c r="I289" s="48" t="str">
        <f t="array" ref="I289">XLOOKUP($D289,REGOLITOS!$A:$A,REGOLITOS!I:I)</f>
        <v>usuario148@ejemplo.com</v>
      </c>
      <c r="J289" s="48" t="str">
        <f t="array" ref="J289">XLOOKUP($D289,REGOLITOS!$A:$A,REGOLITOS!J:J)</f>
        <v/>
      </c>
      <c r="K289" s="48" t="str">
        <f t="array" ref="K289">XLOOKUP($D289,REGOLITOS!$A:$A,REGOLITOS!K:K)</f>
        <v>Adulto Mayor</v>
      </c>
      <c r="L289" s="48">
        <v>200.0</v>
      </c>
      <c r="M289" s="5" t="s">
        <v>1078</v>
      </c>
      <c r="N289" s="5" t="s">
        <v>1078</v>
      </c>
      <c r="O289" s="5" t="s">
        <v>1078</v>
      </c>
      <c r="P289" s="5" t="s">
        <v>1078</v>
      </c>
      <c r="Q289" s="5" t="s">
        <v>1078</v>
      </c>
      <c r="R289" s="5" t="s">
        <v>1078</v>
      </c>
      <c r="X289" s="71">
        <f t="shared" si="3"/>
        <v>6</v>
      </c>
      <c r="Y289" s="5" t="b">
        <v>1</v>
      </c>
    </row>
    <row r="290">
      <c r="A290" s="26" t="s">
        <v>64</v>
      </c>
      <c r="B290" s="26">
        <f t="array" ref="B290">XLOOKUP(A290, CURSOS!A:A, CURSOS!B:B)</f>
        <v>15</v>
      </c>
      <c r="C290" s="27" t="str">
        <f t="array" ref="C290">XLOOKUP(A290, CURSOS!A:A, CURSOS!C:C)</f>
        <v>EL DESPERTAR DEL COSMOS</v>
      </c>
      <c r="D290" s="70" t="s">
        <v>226</v>
      </c>
      <c r="E290" s="48">
        <f t="array" ref="E290">XLOOKUP($D290,REGOLITOS!$A:$A,REGOLITOS!E:E)</f>
        <v>8</v>
      </c>
      <c r="F290" s="48" t="str">
        <f t="array" ref="F290">XLOOKUP($D290,REGOLITOS!$A:$A,REGOLITOS!F:F)</f>
        <v>Estudiante</v>
      </c>
      <c r="G290" s="48" t="str">
        <f t="array" ref="G290">XLOOKUP($D290,REGOLITOS!$A:$A,REGOLITOS!G:G)</f>
        <v>Estado de México</v>
      </c>
      <c r="H290" s="48" t="str">
        <f t="array" ref="H290">XLOOKUP($D290,REGOLITOS!$A:$A,REGOLITOS!H:H)</f>
        <v>55 55 0081 0081</v>
      </c>
      <c r="I290" s="48" t="str">
        <f t="array" ref="I290">XLOOKUP($D290,REGOLITOS!$A:$A,REGOLITOS!I:I)</f>
        <v>usuario81@ejemplo.com</v>
      </c>
      <c r="J290" s="48" t="str">
        <f t="array" ref="J290">XLOOKUP($D290,REGOLITOS!$A:$A,REGOLITOS!J:J)</f>
        <v>Tutor_081</v>
      </c>
      <c r="K290" s="48" t="str">
        <f t="array" ref="K290">XLOOKUP($D290,REGOLITOS!$A:$A,REGOLITOS!K:K)</f>
        <v>Infancia</v>
      </c>
      <c r="L290" s="48">
        <v>200.0</v>
      </c>
      <c r="M290" s="5" t="s">
        <v>1078</v>
      </c>
      <c r="N290" s="5" t="s">
        <v>1078</v>
      </c>
      <c r="O290" s="5" t="s">
        <v>1078</v>
      </c>
      <c r="P290" s="5" t="s">
        <v>1078</v>
      </c>
      <c r="Q290" s="5" t="s">
        <v>1078</v>
      </c>
      <c r="R290" s="5" t="s">
        <v>1078</v>
      </c>
      <c r="X290" s="71">
        <f t="shared" si="3"/>
        <v>6</v>
      </c>
      <c r="Y290" s="5" t="b">
        <v>1</v>
      </c>
    </row>
    <row r="291">
      <c r="A291" s="26" t="s">
        <v>64</v>
      </c>
      <c r="B291" s="26">
        <f t="array" ref="B291">XLOOKUP(A291, CURSOS!A:A, CURSOS!B:B)</f>
        <v>15</v>
      </c>
      <c r="C291" s="27" t="str">
        <f t="array" ref="C291">XLOOKUP(A291, CURSOS!A:A, CURSOS!C:C)</f>
        <v>EL DESPERTAR DEL COSMOS</v>
      </c>
      <c r="D291" s="70" t="s">
        <v>343</v>
      </c>
      <c r="E291" s="48">
        <f t="array" ref="E291">XLOOKUP($D291,REGOLITOS!$A:$A,REGOLITOS!E:E)</f>
        <v>87</v>
      </c>
      <c r="F291" s="48" t="str">
        <f t="array" ref="F291">XLOOKUP($D291,REGOLITOS!$A:$A,REGOLITOS!F:F)</f>
        <v>Estudiante</v>
      </c>
      <c r="G291" s="48" t="str">
        <f t="array" ref="G291">XLOOKUP($D291,REGOLITOS!$A:$A,REGOLITOS!G:G)</f>
        <v>Hidalgo</v>
      </c>
      <c r="H291" s="48" t="str">
        <f t="array" ref="H291">XLOOKUP($D291,REGOLITOS!$A:$A,REGOLITOS!H:H)</f>
        <v>55 55 0161 0161</v>
      </c>
      <c r="I291" s="48" t="str">
        <f t="array" ref="I291">XLOOKUP($D291,REGOLITOS!$A:$A,REGOLITOS!I:I)</f>
        <v>usuario161@ejemplo.com</v>
      </c>
      <c r="J291" s="48" t="str">
        <f t="array" ref="J291">XLOOKUP($D291,REGOLITOS!$A:$A,REGOLITOS!J:J)</f>
        <v/>
      </c>
      <c r="K291" s="48" t="str">
        <f t="array" ref="K291">XLOOKUP($D291,REGOLITOS!$A:$A,REGOLITOS!K:K)</f>
        <v>Adulto Mayor</v>
      </c>
      <c r="L291" s="48">
        <v>200.0</v>
      </c>
      <c r="M291" s="5" t="s">
        <v>1078</v>
      </c>
      <c r="N291" s="5" t="s">
        <v>1078</v>
      </c>
      <c r="O291" s="5" t="s">
        <v>1078</v>
      </c>
      <c r="P291" s="5" t="s">
        <v>1078</v>
      </c>
      <c r="Q291" s="5" t="s">
        <v>1078</v>
      </c>
      <c r="R291" s="5" t="s">
        <v>1078</v>
      </c>
      <c r="X291" s="71">
        <f t="shared" si="3"/>
        <v>6</v>
      </c>
      <c r="Y291" s="5" t="b">
        <v>1</v>
      </c>
    </row>
    <row r="292">
      <c r="A292" s="26" t="s">
        <v>64</v>
      </c>
      <c r="B292" s="26">
        <f t="array" ref="B292">XLOOKUP(A292, CURSOS!A:A, CURSOS!B:B)</f>
        <v>15</v>
      </c>
      <c r="C292" s="27" t="str">
        <f t="array" ref="C292">XLOOKUP(A292, CURSOS!A:A, CURSOS!C:C)</f>
        <v>EL DESPERTAR DEL COSMOS</v>
      </c>
      <c r="D292" s="70" t="s">
        <v>232</v>
      </c>
      <c r="E292" s="48">
        <f t="array" ref="E292">XLOOKUP($D292,REGOLITOS!$A:$A,REGOLITOS!E:E)</f>
        <v>18</v>
      </c>
      <c r="F292" s="48" t="str">
        <f t="array" ref="F292">XLOOKUP($D292,REGOLITOS!$A:$A,REGOLITOS!F:F)</f>
        <v>Estudiante</v>
      </c>
      <c r="G292" s="48" t="str">
        <f t="array" ref="G292">XLOOKUP($D292,REGOLITOS!$A:$A,REGOLITOS!G:G)</f>
        <v>Hidalgo</v>
      </c>
      <c r="H292" s="48" t="str">
        <f t="array" ref="H292">XLOOKUP($D292,REGOLITOS!$A:$A,REGOLITOS!H:H)</f>
        <v>55 55 0085 0085</v>
      </c>
      <c r="I292" s="48" t="str">
        <f t="array" ref="I292">XLOOKUP($D292,REGOLITOS!$A:$A,REGOLITOS!I:I)</f>
        <v>usuario85@ejemplo.com</v>
      </c>
      <c r="J292" s="48" t="str">
        <f t="array" ref="J292">XLOOKUP($D292,REGOLITOS!$A:$A,REGOLITOS!J:J)</f>
        <v>Tutor_085</v>
      </c>
      <c r="K292" s="48" t="str">
        <f t="array" ref="K292">XLOOKUP($D292,REGOLITOS!$A:$A,REGOLITOS!K:K)</f>
        <v>Jóven adulto</v>
      </c>
      <c r="L292" s="48">
        <v>160.0</v>
      </c>
      <c r="M292" s="5" t="s">
        <v>1078</v>
      </c>
      <c r="N292" s="5" t="s">
        <v>1078</v>
      </c>
      <c r="O292" s="5" t="s">
        <v>1078</v>
      </c>
      <c r="P292" s="5" t="s">
        <v>1078</v>
      </c>
      <c r="Q292" s="5" t="s">
        <v>1078</v>
      </c>
      <c r="R292" s="5" t="s">
        <v>1078</v>
      </c>
      <c r="X292" s="71">
        <f t="shared" si="3"/>
        <v>6</v>
      </c>
      <c r="Y292" s="5" t="b">
        <v>1</v>
      </c>
    </row>
    <row r="293">
      <c r="A293" s="26" t="s">
        <v>64</v>
      </c>
      <c r="B293" s="26">
        <f t="array" ref="B293">XLOOKUP(A293, CURSOS!A:A, CURSOS!B:B)</f>
        <v>15</v>
      </c>
      <c r="C293" s="27" t="str">
        <f t="array" ref="C293">XLOOKUP(A293, CURSOS!A:A, CURSOS!C:C)</f>
        <v>EL DESPERTAR DEL COSMOS</v>
      </c>
      <c r="D293" s="70" t="s">
        <v>147</v>
      </c>
      <c r="E293" s="48">
        <f t="array" ref="E293">XLOOKUP($D293,REGOLITOS!$A:$A,REGOLITOS!E:E)</f>
        <v>15</v>
      </c>
      <c r="F293" s="48" t="str">
        <f t="array" ref="F293">XLOOKUP($D293,REGOLITOS!$A:$A,REGOLITOS!F:F)</f>
        <v>Ingeniería Civil</v>
      </c>
      <c r="G293" s="48" t="str">
        <f t="array" ref="G293">XLOOKUP($D293,REGOLITOS!$A:$A,REGOLITOS!G:G)</f>
        <v>Ciudad de México</v>
      </c>
      <c r="H293" s="48" t="str">
        <f t="array" ref="H293">XLOOKUP($D293,REGOLITOS!$A:$A,REGOLITOS!H:H)</f>
        <v>55 55 0028 0028</v>
      </c>
      <c r="I293" s="48" t="str">
        <f t="array" ref="I293">XLOOKUP($D293,REGOLITOS!$A:$A,REGOLITOS!I:I)</f>
        <v>usuario28@ejemplo.com</v>
      </c>
      <c r="J293" s="48" t="str">
        <f t="array" ref="J293">XLOOKUP($D293,REGOLITOS!$A:$A,REGOLITOS!J:J)</f>
        <v>Tutor_028</v>
      </c>
      <c r="K293" s="48" t="str">
        <f t="array" ref="K293">XLOOKUP($D293,REGOLITOS!$A:$A,REGOLITOS!K:K)</f>
        <v>Adolescente</v>
      </c>
      <c r="L293" s="48">
        <v>160.0</v>
      </c>
      <c r="M293" s="5" t="s">
        <v>1078</v>
      </c>
      <c r="N293" s="5" t="s">
        <v>1078</v>
      </c>
      <c r="O293" s="5" t="s">
        <v>1078</v>
      </c>
      <c r="P293" s="5" t="s">
        <v>1078</v>
      </c>
      <c r="Q293" s="5" t="s">
        <v>1078</v>
      </c>
      <c r="R293" s="5" t="s">
        <v>1078</v>
      </c>
      <c r="X293" s="71">
        <f t="shared" si="3"/>
        <v>6</v>
      </c>
      <c r="Y293" s="5" t="b">
        <v>1</v>
      </c>
    </row>
    <row r="294">
      <c r="A294" s="26" t="s">
        <v>64</v>
      </c>
      <c r="B294" s="26">
        <f t="array" ref="B294">XLOOKUP(A294, CURSOS!A:A, CURSOS!B:B)</f>
        <v>15</v>
      </c>
      <c r="C294" s="27" t="str">
        <f t="array" ref="C294">XLOOKUP(A294, CURSOS!A:A, CURSOS!C:C)</f>
        <v>EL DESPERTAR DEL COSMOS</v>
      </c>
      <c r="D294" s="70" t="s">
        <v>134</v>
      </c>
      <c r="E294" s="48">
        <f t="array" ref="E294">XLOOKUP($D294,REGOLITOS!$A:$A,REGOLITOS!E:E)</f>
        <v>9</v>
      </c>
      <c r="F294" s="48" t="str">
        <f t="array" ref="F294">XLOOKUP($D294,REGOLITOS!$A:$A,REGOLITOS!F:F)</f>
        <v>Bióloga</v>
      </c>
      <c r="G294" s="48" t="str">
        <f t="array" ref="G294">XLOOKUP($D294,REGOLITOS!$A:$A,REGOLITOS!G:G)</f>
        <v>Guerrero</v>
      </c>
      <c r="H294" s="48" t="str">
        <f t="array" ref="H294">XLOOKUP($D294,REGOLITOS!$A:$A,REGOLITOS!H:H)</f>
        <v>55 55 0022 0022</v>
      </c>
      <c r="I294" s="48" t="str">
        <f t="array" ref="I294">XLOOKUP($D294,REGOLITOS!$A:$A,REGOLITOS!I:I)</f>
        <v>usuario22@ejemplo.com</v>
      </c>
      <c r="J294" s="48" t="str">
        <f t="array" ref="J294">XLOOKUP($D294,REGOLITOS!$A:$A,REGOLITOS!J:J)</f>
        <v>Tutor_022</v>
      </c>
      <c r="K294" s="48" t="str">
        <f t="array" ref="K294">XLOOKUP($D294,REGOLITOS!$A:$A,REGOLITOS!K:K)</f>
        <v>Infancia</v>
      </c>
      <c r="L294" s="48">
        <v>160.0</v>
      </c>
      <c r="M294" s="5" t="s">
        <v>1078</v>
      </c>
      <c r="N294" s="5" t="s">
        <v>1080</v>
      </c>
      <c r="O294" s="5" t="s">
        <v>1078</v>
      </c>
      <c r="P294" s="5" t="s">
        <v>1078</v>
      </c>
      <c r="Q294" s="5" t="s">
        <v>1078</v>
      </c>
      <c r="R294" s="5" t="s">
        <v>1078</v>
      </c>
      <c r="X294" s="71">
        <f t="shared" si="3"/>
        <v>5</v>
      </c>
      <c r="Y294" s="5" t="b">
        <v>1</v>
      </c>
    </row>
    <row r="295">
      <c r="A295" s="26" t="s">
        <v>64</v>
      </c>
      <c r="B295" s="26">
        <f t="array" ref="B295">XLOOKUP(A295, CURSOS!A:A, CURSOS!B:B)</f>
        <v>15</v>
      </c>
      <c r="C295" s="27" t="str">
        <f t="array" ref="C295">XLOOKUP(A295, CURSOS!A:A, CURSOS!C:C)</f>
        <v>EL DESPERTAR DEL COSMOS</v>
      </c>
      <c r="D295" s="70" t="s">
        <v>227</v>
      </c>
      <c r="E295" s="48">
        <f t="array" ref="E295">XLOOKUP($D295,REGOLITOS!$A:$A,REGOLITOS!E:E)</f>
        <v>66</v>
      </c>
      <c r="F295" s="48" t="str">
        <f t="array" ref="F295">XLOOKUP($D295,REGOLITOS!$A:$A,REGOLITOS!F:F)</f>
        <v>Operadora de CTP</v>
      </c>
      <c r="G295" s="48" t="str">
        <f t="array" ref="G295">XLOOKUP($D295,REGOLITOS!$A:$A,REGOLITOS!G:G)</f>
        <v>Ciudad de México</v>
      </c>
      <c r="H295" s="48" t="str">
        <f t="array" ref="H295">XLOOKUP($D295,REGOLITOS!$A:$A,REGOLITOS!H:H)</f>
        <v>55 55 0082 0082</v>
      </c>
      <c r="I295" s="48" t="str">
        <f t="array" ref="I295">XLOOKUP($D295,REGOLITOS!$A:$A,REGOLITOS!I:I)</f>
        <v>usuario82@ejemplo.com</v>
      </c>
      <c r="J295" s="48" t="str">
        <f t="array" ref="J295">XLOOKUP($D295,REGOLITOS!$A:$A,REGOLITOS!J:J)</f>
        <v/>
      </c>
      <c r="K295" s="48" t="str">
        <f t="array" ref="K295">XLOOKUP($D295,REGOLITOS!$A:$A,REGOLITOS!K:K)</f>
        <v>Adulto Mayor</v>
      </c>
      <c r="L295" s="48">
        <v>200.0</v>
      </c>
      <c r="M295" s="5" t="s">
        <v>1078</v>
      </c>
      <c r="N295" s="5" t="s">
        <v>1080</v>
      </c>
      <c r="O295" s="5" t="s">
        <v>1078</v>
      </c>
      <c r="P295" s="5" t="s">
        <v>1078</v>
      </c>
      <c r="Q295" s="5" t="s">
        <v>1078</v>
      </c>
      <c r="R295" s="5" t="s">
        <v>1078</v>
      </c>
      <c r="X295" s="71">
        <f t="shared" si="3"/>
        <v>5</v>
      </c>
      <c r="Y295" s="5" t="b">
        <v>1</v>
      </c>
    </row>
    <row r="296">
      <c r="A296" s="26" t="s">
        <v>64</v>
      </c>
      <c r="B296" s="26">
        <f t="array" ref="B296">XLOOKUP(A296, CURSOS!A:A, CURSOS!B:B)</f>
        <v>15</v>
      </c>
      <c r="C296" s="27" t="str">
        <f t="array" ref="C296">XLOOKUP(A296, CURSOS!A:A, CURSOS!C:C)</f>
        <v>EL DESPERTAR DEL COSMOS</v>
      </c>
      <c r="D296" s="70" t="s">
        <v>237</v>
      </c>
      <c r="E296" s="48">
        <f t="array" ref="E296">XLOOKUP($D296,REGOLITOS!$A:$A,REGOLITOS!E:E)</f>
        <v>27</v>
      </c>
      <c r="F296" s="48" t="str">
        <f t="array" ref="F296">XLOOKUP($D296,REGOLITOS!$A:$A,REGOLITOS!F:F)</f>
        <v>Ingeniero Industrial</v>
      </c>
      <c r="G296" s="48" t="str">
        <f t="array" ref="G296">XLOOKUP($D296,REGOLITOS!$A:$A,REGOLITOS!G:G)</f>
        <v>Ciudad de México</v>
      </c>
      <c r="H296" s="48" t="str">
        <f t="array" ref="H296">XLOOKUP($D296,REGOLITOS!$A:$A,REGOLITOS!H:H)</f>
        <v>55 55 0089 0089</v>
      </c>
      <c r="I296" s="48" t="str">
        <f t="array" ref="I296">XLOOKUP($D296,REGOLITOS!$A:$A,REGOLITOS!I:I)</f>
        <v>usuario89@ejemplo.com</v>
      </c>
      <c r="J296" s="48" t="str">
        <f t="array" ref="J296">XLOOKUP($D296,REGOLITOS!$A:$A,REGOLITOS!J:J)</f>
        <v/>
      </c>
      <c r="K296" s="48" t="str">
        <f t="array" ref="K296">XLOOKUP($D296,REGOLITOS!$A:$A,REGOLITOS!K:K)</f>
        <v>Jóven adulto</v>
      </c>
      <c r="L296" s="48">
        <v>200.0</v>
      </c>
      <c r="M296" s="5" t="s">
        <v>1078</v>
      </c>
      <c r="N296" s="5" t="s">
        <v>1078</v>
      </c>
      <c r="O296" s="5" t="s">
        <v>1078</v>
      </c>
      <c r="P296" s="5" t="s">
        <v>1080</v>
      </c>
      <c r="Q296" s="5" t="s">
        <v>1078</v>
      </c>
      <c r="R296" s="5" t="s">
        <v>1078</v>
      </c>
      <c r="X296" s="71">
        <f t="shared" si="3"/>
        <v>5</v>
      </c>
      <c r="Y296" s="5" t="b">
        <v>1</v>
      </c>
    </row>
    <row r="297">
      <c r="A297" s="26" t="s">
        <v>64</v>
      </c>
      <c r="B297" s="26">
        <f t="array" ref="B297">XLOOKUP(A297, CURSOS!A:A, CURSOS!B:B)</f>
        <v>15</v>
      </c>
      <c r="C297" s="27" t="str">
        <f t="array" ref="C297">XLOOKUP(A297, CURSOS!A:A, CURSOS!C:C)</f>
        <v>EL DESPERTAR DEL COSMOS</v>
      </c>
      <c r="D297" s="70" t="s">
        <v>258</v>
      </c>
      <c r="E297" s="48">
        <f t="array" ref="E297">XLOOKUP($D297,REGOLITOS!$A:$A,REGOLITOS!E:E)</f>
        <v>66</v>
      </c>
      <c r="F297" s="48" t="str">
        <f t="array" ref="F297">XLOOKUP($D297,REGOLITOS!$A:$A,REGOLITOS!F:F)</f>
        <v>Estudiante HS</v>
      </c>
      <c r="G297" s="48" t="str">
        <f t="array" ref="G297">XLOOKUP($D297,REGOLITOS!$A:$A,REGOLITOS!G:G)</f>
        <v>Jalisco</v>
      </c>
      <c r="H297" s="48" t="str">
        <f t="array" ref="H297">XLOOKUP($D297,REGOLITOS!$A:$A,REGOLITOS!H:H)</f>
        <v>55 55 0103 0103</v>
      </c>
      <c r="I297" s="48" t="str">
        <f t="array" ref="I297">XLOOKUP($D297,REGOLITOS!$A:$A,REGOLITOS!I:I)</f>
        <v>usuario103@ejemplo.com</v>
      </c>
      <c r="J297" s="48" t="str">
        <f t="array" ref="J297">XLOOKUP($D297,REGOLITOS!$A:$A,REGOLITOS!J:J)</f>
        <v/>
      </c>
      <c r="K297" s="48" t="str">
        <f t="array" ref="K297">XLOOKUP($D297,REGOLITOS!$A:$A,REGOLITOS!K:K)</f>
        <v>Adulto Mayor</v>
      </c>
      <c r="L297" s="48">
        <v>160.0</v>
      </c>
      <c r="M297" s="5" t="s">
        <v>1078</v>
      </c>
      <c r="N297" s="5" t="s">
        <v>1078</v>
      </c>
      <c r="O297" s="5" t="s">
        <v>1078</v>
      </c>
      <c r="P297" s="5" t="s">
        <v>1080</v>
      </c>
      <c r="Q297" s="5" t="s">
        <v>1078</v>
      </c>
      <c r="R297" s="5" t="s">
        <v>1078</v>
      </c>
      <c r="X297" s="71">
        <f t="shared" si="3"/>
        <v>5</v>
      </c>
      <c r="Y297" s="5" t="b">
        <v>1</v>
      </c>
    </row>
    <row r="298">
      <c r="A298" s="26" t="s">
        <v>64</v>
      </c>
      <c r="B298" s="26">
        <f t="array" ref="B298">XLOOKUP(A298, CURSOS!A:A, CURSOS!B:B)</f>
        <v>15</v>
      </c>
      <c r="C298" s="27" t="str">
        <f t="array" ref="C298">XLOOKUP(A298, CURSOS!A:A, CURSOS!C:C)</f>
        <v>EL DESPERTAR DEL COSMOS</v>
      </c>
      <c r="D298" s="70" t="s">
        <v>174</v>
      </c>
      <c r="E298" s="48">
        <f t="array" ref="E298">XLOOKUP($D298,REGOLITOS!$A:$A,REGOLITOS!E:E)</f>
        <v>69</v>
      </c>
      <c r="F298" s="48" t="str">
        <f t="array" ref="F298">XLOOKUP($D298,REGOLITOS!$A:$A,REGOLITOS!F:F)</f>
        <v>Estudiante</v>
      </c>
      <c r="G298" s="48" t="str">
        <f t="array" ref="G298">XLOOKUP($D298,REGOLITOS!$A:$A,REGOLITOS!G:G)</f>
        <v>Ciudad de México</v>
      </c>
      <c r="H298" s="48" t="str">
        <f t="array" ref="H298">XLOOKUP($D298,REGOLITOS!$A:$A,REGOLITOS!H:H)</f>
        <v>55 55 0045 0045</v>
      </c>
      <c r="I298" s="48" t="str">
        <f t="array" ref="I298">XLOOKUP($D298,REGOLITOS!$A:$A,REGOLITOS!I:I)</f>
        <v>usuario45@ejemplo.com</v>
      </c>
      <c r="J298" s="48" t="str">
        <f t="array" ref="J298">XLOOKUP($D298,REGOLITOS!$A:$A,REGOLITOS!J:J)</f>
        <v/>
      </c>
      <c r="K298" s="48" t="str">
        <f t="array" ref="K298">XLOOKUP($D298,REGOLITOS!$A:$A,REGOLITOS!K:K)</f>
        <v>Adulto Mayor</v>
      </c>
      <c r="L298" s="48">
        <v>160.0</v>
      </c>
      <c r="M298" s="5" t="s">
        <v>1078</v>
      </c>
      <c r="N298" s="5" t="s">
        <v>1078</v>
      </c>
      <c r="O298" s="5" t="s">
        <v>1078</v>
      </c>
      <c r="P298" s="5" t="s">
        <v>1080</v>
      </c>
      <c r="Q298" s="5" t="s">
        <v>1078</v>
      </c>
      <c r="R298" s="5" t="s">
        <v>1078</v>
      </c>
      <c r="X298" s="71">
        <f t="shared" si="3"/>
        <v>5</v>
      </c>
      <c r="Y298" s="5" t="b">
        <v>1</v>
      </c>
    </row>
    <row r="299">
      <c r="A299" s="26" t="s">
        <v>64</v>
      </c>
      <c r="B299" s="26">
        <f t="array" ref="B299">XLOOKUP(A299, CURSOS!A:A, CURSOS!B:B)</f>
        <v>15</v>
      </c>
      <c r="C299" s="27" t="str">
        <f t="array" ref="C299">XLOOKUP(A299, CURSOS!A:A, CURSOS!C:C)</f>
        <v>EL DESPERTAR DEL COSMOS</v>
      </c>
      <c r="D299" s="70" t="s">
        <v>180</v>
      </c>
      <c r="E299" s="48">
        <f t="array" ref="E299">XLOOKUP($D299,REGOLITOS!$A:$A,REGOLITOS!E:E)</f>
        <v>8</v>
      </c>
      <c r="F299" s="48" t="str">
        <f t="array" ref="F299">XLOOKUP($D299,REGOLITOS!$A:$A,REGOLITOS!F:F)</f>
        <v>Estudiante</v>
      </c>
      <c r="G299" s="48" t="str">
        <f t="array" ref="G299">XLOOKUP($D299,REGOLITOS!$A:$A,REGOLITOS!G:G)</f>
        <v>Ciudad de México</v>
      </c>
      <c r="H299" s="48" t="str">
        <f t="array" ref="H299">XLOOKUP($D299,REGOLITOS!$A:$A,REGOLITOS!H:H)</f>
        <v>55 55 0049 0049</v>
      </c>
      <c r="I299" s="48" t="str">
        <f t="array" ref="I299">XLOOKUP($D299,REGOLITOS!$A:$A,REGOLITOS!I:I)</f>
        <v>usuario49@ejemplo.com</v>
      </c>
      <c r="J299" s="48" t="str">
        <f t="array" ref="J299">XLOOKUP($D299,REGOLITOS!$A:$A,REGOLITOS!J:J)</f>
        <v>Tutor_049</v>
      </c>
      <c r="K299" s="48" t="str">
        <f t="array" ref="K299">XLOOKUP($D299,REGOLITOS!$A:$A,REGOLITOS!K:K)</f>
        <v>Infancia</v>
      </c>
      <c r="L299" s="79">
        <v>160.0</v>
      </c>
      <c r="M299" s="5" t="s">
        <v>1078</v>
      </c>
      <c r="N299" s="5" t="s">
        <v>1078</v>
      </c>
      <c r="O299" s="5" t="s">
        <v>1078</v>
      </c>
      <c r="P299" s="5" t="s">
        <v>1078</v>
      </c>
      <c r="Q299" s="5" t="s">
        <v>1080</v>
      </c>
      <c r="R299" s="5" t="s">
        <v>1078</v>
      </c>
      <c r="X299" s="71">
        <f t="shared" si="3"/>
        <v>5</v>
      </c>
      <c r="Y299" s="5" t="b">
        <v>1</v>
      </c>
    </row>
    <row r="300">
      <c r="A300" s="26" t="s">
        <v>64</v>
      </c>
      <c r="B300" s="26">
        <f t="array" ref="B300">XLOOKUP(A300, CURSOS!A:A, CURSOS!B:B)</f>
        <v>15</v>
      </c>
      <c r="C300" s="27" t="str">
        <f t="array" ref="C300">XLOOKUP(A300, CURSOS!A:A, CURSOS!C:C)</f>
        <v>EL DESPERTAR DEL COSMOS</v>
      </c>
      <c r="D300" s="70" t="s">
        <v>151</v>
      </c>
      <c r="E300" s="48">
        <f t="array" ref="E300">XLOOKUP($D300,REGOLITOS!$A:$A,REGOLITOS!E:E)</f>
        <v>35</v>
      </c>
      <c r="F300" s="48" t="str">
        <f t="array" ref="F300">XLOOKUP($D300,REGOLITOS!$A:$A,REGOLITOS!F:F)</f>
        <v>Hogar </v>
      </c>
      <c r="G300" s="48" t="str">
        <f t="array" ref="G300">XLOOKUP($D300,REGOLITOS!$A:$A,REGOLITOS!G:G)</f>
        <v>Quintana Roo</v>
      </c>
      <c r="H300" s="48" t="str">
        <f t="array" ref="H300">XLOOKUP($D300,REGOLITOS!$A:$A,REGOLITOS!H:H)</f>
        <v>55 55 0030 0030</v>
      </c>
      <c r="I300" s="48" t="str">
        <f t="array" ref="I300">XLOOKUP($D300,REGOLITOS!$A:$A,REGOLITOS!I:I)</f>
        <v>usuario30@ejemplo.com</v>
      </c>
      <c r="J300" s="48" t="str">
        <f t="array" ref="J300">XLOOKUP($D300,REGOLITOS!$A:$A,REGOLITOS!J:J)</f>
        <v/>
      </c>
      <c r="K300" s="48" t="str">
        <f t="array" ref="K300">XLOOKUP($D300,REGOLITOS!$A:$A,REGOLITOS!K:K)</f>
        <v>Adulto</v>
      </c>
      <c r="L300" s="48">
        <v>200.0</v>
      </c>
      <c r="M300" s="5" t="s">
        <v>1080</v>
      </c>
      <c r="N300" s="5" t="s">
        <v>1080</v>
      </c>
      <c r="O300" s="5" t="s">
        <v>1078</v>
      </c>
      <c r="P300" s="5" t="s">
        <v>1080</v>
      </c>
      <c r="Q300" s="5" t="s">
        <v>1078</v>
      </c>
      <c r="R300" s="5" t="s">
        <v>1080</v>
      </c>
      <c r="X300" s="71">
        <f t="shared" si="3"/>
        <v>2</v>
      </c>
      <c r="Y300" s="5" t="b">
        <v>0</v>
      </c>
    </row>
    <row r="301">
      <c r="A301" s="26" t="s">
        <v>64</v>
      </c>
      <c r="B301" s="26">
        <f t="array" ref="B301">XLOOKUP(A301, CURSOS!A:A, CURSOS!B:B)</f>
        <v>15</v>
      </c>
      <c r="C301" s="27" t="str">
        <f t="array" ref="C301">XLOOKUP(A301, CURSOS!A:A, CURSOS!C:C)</f>
        <v>EL DESPERTAR DEL COSMOS</v>
      </c>
      <c r="D301" s="70" t="s">
        <v>290</v>
      </c>
      <c r="E301" s="48">
        <f t="array" ref="E301">XLOOKUP($D301,REGOLITOS!$A:$A,REGOLITOS!E:E)</f>
        <v>76</v>
      </c>
      <c r="F301" s="48" t="str">
        <f t="array" ref="F301">XLOOKUP($D301,REGOLITOS!$A:$A,REGOLITOS!F:F)</f>
        <v>Empleada</v>
      </c>
      <c r="G301" s="48" t="str">
        <f t="array" ref="G301">XLOOKUP($D301,REGOLITOS!$A:$A,REGOLITOS!G:G)</f>
        <v>Nuevo León</v>
      </c>
      <c r="H301" s="48" t="str">
        <f t="array" ref="H301">XLOOKUP($D301,REGOLITOS!$A:$A,REGOLITOS!H:H)</f>
        <v>55 55 0127 0127</v>
      </c>
      <c r="I301" s="48" t="str">
        <f t="array" ref="I301">XLOOKUP($D301,REGOLITOS!$A:$A,REGOLITOS!I:I)</f>
        <v>usuario127@ejemplo.com</v>
      </c>
      <c r="J301" s="48" t="str">
        <f t="array" ref="J301">XLOOKUP($D301,REGOLITOS!$A:$A,REGOLITOS!J:J)</f>
        <v/>
      </c>
      <c r="K301" s="48" t="str">
        <f t="array" ref="K301">XLOOKUP($D301,REGOLITOS!$A:$A,REGOLITOS!K:K)</f>
        <v>Adulto Mayor</v>
      </c>
      <c r="L301" s="80"/>
      <c r="M301" s="5" t="s">
        <v>1080</v>
      </c>
      <c r="N301" s="5" t="s">
        <v>1080</v>
      </c>
      <c r="O301" s="5" t="s">
        <v>1078</v>
      </c>
      <c r="P301" s="5" t="s">
        <v>1080</v>
      </c>
      <c r="Q301" s="5" t="s">
        <v>1078</v>
      </c>
      <c r="R301" s="5" t="s">
        <v>1080</v>
      </c>
      <c r="X301" s="71">
        <f t="shared" si="3"/>
        <v>2</v>
      </c>
      <c r="Y301" s="5" t="b">
        <v>0</v>
      </c>
    </row>
    <row r="302">
      <c r="A302" s="26" t="s">
        <v>64</v>
      </c>
      <c r="B302" s="26">
        <f t="array" ref="B302">XLOOKUP(A302, CURSOS!A:A, CURSOS!B:B)</f>
        <v>15</v>
      </c>
      <c r="C302" s="27" t="str">
        <f t="array" ref="C302">XLOOKUP(A302, CURSOS!A:A, CURSOS!C:C)</f>
        <v>EL DESPERTAR DEL COSMOS</v>
      </c>
      <c r="D302" s="70" t="s">
        <v>292</v>
      </c>
      <c r="E302" s="48">
        <f t="array" ref="E302">XLOOKUP($D302,REGOLITOS!$A:$A,REGOLITOS!E:E)</f>
        <v>46</v>
      </c>
      <c r="F302" s="48" t="str">
        <f t="array" ref="F302">XLOOKUP($D302,REGOLITOS!$A:$A,REGOLITOS!F:F)</f>
        <v>Administración</v>
      </c>
      <c r="G302" s="48" t="str">
        <f t="array" ref="G302">XLOOKUP($D302,REGOLITOS!$A:$A,REGOLITOS!G:G)</f>
        <v>Ciudad de México</v>
      </c>
      <c r="H302" s="48" t="str">
        <f t="array" ref="H302">XLOOKUP($D302,REGOLITOS!$A:$A,REGOLITOS!H:H)</f>
        <v>55 55 0128 0128</v>
      </c>
      <c r="I302" s="48" t="str">
        <f t="array" ref="I302">XLOOKUP($D302,REGOLITOS!$A:$A,REGOLITOS!I:I)</f>
        <v>usuario128@ejemplo.com</v>
      </c>
      <c r="J302" s="48" t="str">
        <f t="array" ref="J302">XLOOKUP($D302,REGOLITOS!$A:$A,REGOLITOS!J:J)</f>
        <v/>
      </c>
      <c r="K302" s="48" t="str">
        <f t="array" ref="K302">XLOOKUP($D302,REGOLITOS!$A:$A,REGOLITOS!K:K)</f>
        <v>Adulto</v>
      </c>
      <c r="L302" s="48">
        <v>160.0</v>
      </c>
      <c r="M302" s="5" t="s">
        <v>1080</v>
      </c>
      <c r="N302" s="5" t="s">
        <v>1080</v>
      </c>
      <c r="O302" s="5" t="s">
        <v>1078</v>
      </c>
      <c r="P302" s="5" t="s">
        <v>1080</v>
      </c>
      <c r="Q302" s="5" t="s">
        <v>1080</v>
      </c>
      <c r="R302" s="5" t="s">
        <v>1080</v>
      </c>
      <c r="X302" s="71">
        <f t="shared" si="3"/>
        <v>1</v>
      </c>
      <c r="Y302" s="5" t="b">
        <v>0</v>
      </c>
    </row>
    <row r="303">
      <c r="A303" s="28" t="s">
        <v>67</v>
      </c>
      <c r="B303" s="28">
        <f t="array" ref="B303">XLOOKUP(A303, CURSOS!A:A, CURSOS!B:B)</f>
        <v>16</v>
      </c>
      <c r="C303" s="28" t="str">
        <f t="array" ref="C303">XLOOKUP(A303, CURSOS!A:A, CURSOS!C:C)</f>
        <v>COMBINATORIA</v>
      </c>
      <c r="D303" s="70" t="s">
        <v>167</v>
      </c>
      <c r="E303" s="48">
        <f t="array" ref="E303">XLOOKUP($D303,REGOLITOS!$A:$A,REGOLITOS!E:E)</f>
        <v>90</v>
      </c>
      <c r="F303" s="48" t="str">
        <f t="array" ref="F303">XLOOKUP($D303,REGOLITOS!$A:$A,REGOLITOS!F:F)</f>
        <v>Estudiante</v>
      </c>
      <c r="G303" s="48" t="str">
        <f t="array" ref="G303">XLOOKUP($D303,REGOLITOS!$A:$A,REGOLITOS!G:G)</f>
        <v>Ciudad de México</v>
      </c>
      <c r="H303" s="48" t="str">
        <f t="array" ref="H303">XLOOKUP($D303,REGOLITOS!$A:$A,REGOLITOS!H:H)</f>
        <v>55 55 0041 0041</v>
      </c>
      <c r="I303" s="48" t="str">
        <f t="array" ref="I303">XLOOKUP($D303,REGOLITOS!$A:$A,REGOLITOS!I:I)</f>
        <v>usuario41@ejemplo.com</v>
      </c>
      <c r="J303" s="48" t="str">
        <f t="array" ref="J303">XLOOKUP($D303,REGOLITOS!$A:$A,REGOLITOS!J:J)</f>
        <v/>
      </c>
      <c r="K303" s="48" t="str">
        <f t="array" ref="K303">XLOOKUP($D303,REGOLITOS!$A:$A,REGOLITOS!K:K)</f>
        <v>Adulto Mayor</v>
      </c>
      <c r="L303" s="48">
        <v>480.0</v>
      </c>
      <c r="M303" s="5" t="s">
        <v>1078</v>
      </c>
      <c r="N303" s="5" t="s">
        <v>1078</v>
      </c>
      <c r="O303" s="5" t="s">
        <v>1078</v>
      </c>
      <c r="P303" s="5" t="s">
        <v>1078</v>
      </c>
      <c r="Q303" s="5" t="s">
        <v>1080</v>
      </c>
      <c r="R303" s="5" t="s">
        <v>1078</v>
      </c>
      <c r="S303" s="5" t="s">
        <v>1081</v>
      </c>
      <c r="T303" s="5" t="s">
        <v>1078</v>
      </c>
      <c r="U303" s="5" t="s">
        <v>1080</v>
      </c>
      <c r="X303" s="71">
        <f t="shared" si="3"/>
        <v>7</v>
      </c>
      <c r="Y303" s="5" t="b">
        <v>1</v>
      </c>
    </row>
    <row r="304">
      <c r="A304" s="28" t="s">
        <v>67</v>
      </c>
      <c r="B304" s="28">
        <f t="array" ref="B304">XLOOKUP(A304, CURSOS!A:A, CURSOS!B:B)</f>
        <v>16</v>
      </c>
      <c r="C304" s="28" t="str">
        <f t="array" ref="C304">XLOOKUP(A304, CURSOS!A:A, CURSOS!C:C)</f>
        <v>COMBINATORIA</v>
      </c>
      <c r="D304" s="70" t="s">
        <v>232</v>
      </c>
      <c r="E304" s="48">
        <f t="array" ref="E304">XLOOKUP($D304,REGOLITOS!$A:$A,REGOLITOS!E:E)</f>
        <v>18</v>
      </c>
      <c r="F304" s="48" t="str">
        <f t="array" ref="F304">XLOOKUP($D304,REGOLITOS!$A:$A,REGOLITOS!F:F)</f>
        <v>Estudiante</v>
      </c>
      <c r="G304" s="48" t="str">
        <f t="array" ref="G304">XLOOKUP($D304,REGOLITOS!$A:$A,REGOLITOS!G:G)</f>
        <v>Hidalgo</v>
      </c>
      <c r="H304" s="48" t="str">
        <f t="array" ref="H304">XLOOKUP($D304,REGOLITOS!$A:$A,REGOLITOS!H:H)</f>
        <v>55 55 0085 0085</v>
      </c>
      <c r="I304" s="48" t="str">
        <f t="array" ref="I304">XLOOKUP($D304,REGOLITOS!$A:$A,REGOLITOS!I:I)</f>
        <v>usuario85@ejemplo.com</v>
      </c>
      <c r="J304" s="48" t="str">
        <f t="array" ref="J304">XLOOKUP($D304,REGOLITOS!$A:$A,REGOLITOS!J:J)</f>
        <v>Tutor_085</v>
      </c>
      <c r="K304" s="48" t="str">
        <f t="array" ref="K304">XLOOKUP($D304,REGOLITOS!$A:$A,REGOLITOS!K:K)</f>
        <v>Jóven adulto</v>
      </c>
      <c r="L304" s="48">
        <v>480.0</v>
      </c>
      <c r="M304" s="5" t="s">
        <v>1078</v>
      </c>
      <c r="N304" s="5" t="s">
        <v>1078</v>
      </c>
      <c r="O304" s="5" t="s">
        <v>1078</v>
      </c>
      <c r="P304" s="5" t="s">
        <v>1078</v>
      </c>
      <c r="Q304" s="5" t="s">
        <v>1080</v>
      </c>
      <c r="R304" s="5" t="s">
        <v>1078</v>
      </c>
      <c r="S304" s="5" t="s">
        <v>1078</v>
      </c>
      <c r="T304" s="5" t="s">
        <v>1078</v>
      </c>
      <c r="U304" s="5" t="s">
        <v>1078</v>
      </c>
      <c r="X304" s="71">
        <f t="shared" si="3"/>
        <v>8</v>
      </c>
      <c r="Y304" s="5" t="b">
        <v>1</v>
      </c>
    </row>
    <row r="305">
      <c r="A305" s="28" t="s">
        <v>67</v>
      </c>
      <c r="B305" s="28">
        <f t="array" ref="B305">XLOOKUP(A305, CURSOS!A:A, CURSOS!B:B)</f>
        <v>16</v>
      </c>
      <c r="C305" s="28" t="str">
        <f t="array" ref="C305">XLOOKUP(A305, CURSOS!A:A, CURSOS!C:C)</f>
        <v>COMBINATORIA</v>
      </c>
      <c r="D305" s="70" t="s">
        <v>258</v>
      </c>
      <c r="E305" s="48">
        <f t="array" ref="E305">XLOOKUP($D305,REGOLITOS!$A:$A,REGOLITOS!E:E)</f>
        <v>66</v>
      </c>
      <c r="F305" s="48" t="str">
        <f t="array" ref="F305">XLOOKUP($D305,REGOLITOS!$A:$A,REGOLITOS!F:F)</f>
        <v>Estudiante HS</v>
      </c>
      <c r="G305" s="48" t="str">
        <f t="array" ref="G305">XLOOKUP($D305,REGOLITOS!$A:$A,REGOLITOS!G:G)</f>
        <v>Jalisco</v>
      </c>
      <c r="H305" s="48" t="str">
        <f t="array" ref="H305">XLOOKUP($D305,REGOLITOS!$A:$A,REGOLITOS!H:H)</f>
        <v>55 55 0103 0103</v>
      </c>
      <c r="I305" s="48" t="str">
        <f t="array" ref="I305">XLOOKUP($D305,REGOLITOS!$A:$A,REGOLITOS!I:I)</f>
        <v>usuario103@ejemplo.com</v>
      </c>
      <c r="J305" s="48" t="str">
        <f t="array" ref="J305">XLOOKUP($D305,REGOLITOS!$A:$A,REGOLITOS!J:J)</f>
        <v/>
      </c>
      <c r="K305" s="48" t="str">
        <f t="array" ref="K305">XLOOKUP($D305,REGOLITOS!$A:$A,REGOLITOS!K:K)</f>
        <v>Adulto Mayor</v>
      </c>
      <c r="L305" s="48">
        <v>360.0</v>
      </c>
      <c r="M305" s="5" t="s">
        <v>1081</v>
      </c>
      <c r="N305" s="5" t="s">
        <v>1078</v>
      </c>
      <c r="O305" s="5" t="s">
        <v>1078</v>
      </c>
      <c r="P305" s="5" t="s">
        <v>1078</v>
      </c>
      <c r="Q305" s="5" t="s">
        <v>1078</v>
      </c>
      <c r="R305" s="5" t="s">
        <v>1078</v>
      </c>
      <c r="S305" s="5" t="s">
        <v>1078</v>
      </c>
      <c r="T305" s="5" t="s">
        <v>1078</v>
      </c>
      <c r="U305" s="5" t="s">
        <v>1080</v>
      </c>
      <c r="X305" s="71">
        <f t="shared" si="3"/>
        <v>8</v>
      </c>
      <c r="Y305" s="5" t="b">
        <v>1</v>
      </c>
    </row>
    <row r="306">
      <c r="A306" s="28" t="s">
        <v>67</v>
      </c>
      <c r="B306" s="28">
        <f t="array" ref="B306">XLOOKUP(A306, CURSOS!A:A, CURSOS!B:B)</f>
        <v>16</v>
      </c>
      <c r="C306" s="28" t="str">
        <f t="array" ref="C306">XLOOKUP(A306, CURSOS!A:A, CURSOS!C:C)</f>
        <v>COMBINATORIA</v>
      </c>
      <c r="D306" s="70" t="s">
        <v>363</v>
      </c>
      <c r="E306" s="48">
        <f t="array" ref="E306">XLOOKUP($D306,REGOLITOS!$A:$A,REGOLITOS!E:E)</f>
        <v>43</v>
      </c>
      <c r="F306" s="48" t="str">
        <f t="array" ref="F306">XLOOKUP($D306,REGOLITOS!$A:$A,REGOLITOS!F:F)</f>
        <v>Estudiante</v>
      </c>
      <c r="G306" s="48" t="str">
        <f t="array" ref="G306">XLOOKUP($D306,REGOLITOS!$A:$A,REGOLITOS!G:G)</f>
        <v>Tamaulipas</v>
      </c>
      <c r="H306" s="48" t="str">
        <f t="array" ref="H306">XLOOKUP($D306,REGOLITOS!$A:$A,REGOLITOS!H:H)</f>
        <v>55 55 0177 0177</v>
      </c>
      <c r="I306" s="48" t="str">
        <f t="array" ref="I306">XLOOKUP($D306,REGOLITOS!$A:$A,REGOLITOS!I:I)</f>
        <v>usuario177@ejemplo.com</v>
      </c>
      <c r="J306" s="48" t="str">
        <f t="array" ref="J306">XLOOKUP($D306,REGOLITOS!$A:$A,REGOLITOS!J:J)</f>
        <v/>
      </c>
      <c r="K306" s="48" t="str">
        <f t="array" ref="K306">XLOOKUP($D306,REGOLITOS!$A:$A,REGOLITOS!K:K)</f>
        <v>Adulto</v>
      </c>
      <c r="L306" s="48">
        <v>600.0</v>
      </c>
      <c r="M306" s="5" t="s">
        <v>1078</v>
      </c>
      <c r="N306" s="5" t="s">
        <v>1078</v>
      </c>
      <c r="O306" s="5" t="s">
        <v>1078</v>
      </c>
      <c r="P306" s="5" t="s">
        <v>1078</v>
      </c>
      <c r="Q306" s="5" t="s">
        <v>1078</v>
      </c>
      <c r="R306" s="5" t="s">
        <v>1078</v>
      </c>
      <c r="S306" s="5" t="s">
        <v>1078</v>
      </c>
      <c r="T306" s="5" t="s">
        <v>1078</v>
      </c>
      <c r="U306" s="5" t="s">
        <v>1080</v>
      </c>
      <c r="X306" s="71">
        <f t="shared" si="3"/>
        <v>8</v>
      </c>
      <c r="Y306" s="5" t="b">
        <v>1</v>
      </c>
    </row>
    <row r="307">
      <c r="A307" s="28" t="s">
        <v>67</v>
      </c>
      <c r="B307" s="28">
        <f t="array" ref="B307">XLOOKUP(A307, CURSOS!A:A, CURSOS!B:B)</f>
        <v>16</v>
      </c>
      <c r="C307" s="28" t="str">
        <f t="array" ref="C307">XLOOKUP(A307, CURSOS!A:A, CURSOS!C:C)</f>
        <v>COMBINATORIA</v>
      </c>
      <c r="D307" s="70" t="s">
        <v>132</v>
      </c>
      <c r="E307" s="48">
        <f t="array" ref="E307">XLOOKUP($D307,REGOLITOS!$A:$A,REGOLITOS!E:E)</f>
        <v>87</v>
      </c>
      <c r="F307" s="48" t="str">
        <f t="array" ref="F307">XLOOKUP($D307,REGOLITOS!$A:$A,REGOLITOS!F:F)</f>
        <v>Estudiante</v>
      </c>
      <c r="G307" s="48" t="str">
        <f t="array" ref="G307">XLOOKUP($D307,REGOLITOS!$A:$A,REGOLITOS!G:G)</f>
        <v>Baja California</v>
      </c>
      <c r="H307" s="48" t="str">
        <f t="array" ref="H307">XLOOKUP($D307,REGOLITOS!$A:$A,REGOLITOS!H:H)</f>
        <v>55 55 0021 0021</v>
      </c>
      <c r="I307" s="48" t="str">
        <f t="array" ref="I307">XLOOKUP($D307,REGOLITOS!$A:$A,REGOLITOS!I:I)</f>
        <v>usuario21@ejemplo.com</v>
      </c>
      <c r="J307" s="48" t="str">
        <f t="array" ref="J307">XLOOKUP($D307,REGOLITOS!$A:$A,REGOLITOS!J:J)</f>
        <v/>
      </c>
      <c r="K307" s="48" t="str">
        <f t="array" ref="K307">XLOOKUP($D307,REGOLITOS!$A:$A,REGOLITOS!K:K)</f>
        <v>Adulto Mayor</v>
      </c>
      <c r="L307" s="48">
        <v>480.0</v>
      </c>
      <c r="M307" s="5" t="s">
        <v>1078</v>
      </c>
      <c r="N307" s="5" t="s">
        <v>1078</v>
      </c>
      <c r="O307" s="5" t="s">
        <v>1078</v>
      </c>
      <c r="P307" s="5" t="s">
        <v>1078</v>
      </c>
      <c r="Q307" s="5" t="s">
        <v>1078</v>
      </c>
      <c r="R307" s="5" t="s">
        <v>1078</v>
      </c>
      <c r="S307" s="5" t="s">
        <v>1078</v>
      </c>
      <c r="T307" s="5" t="s">
        <v>1078</v>
      </c>
      <c r="U307" s="5" t="s">
        <v>1080</v>
      </c>
      <c r="X307" s="71">
        <f t="shared" si="3"/>
        <v>8</v>
      </c>
      <c r="Y307" s="5" t="b">
        <v>1</v>
      </c>
    </row>
    <row r="308">
      <c r="A308" s="28" t="s">
        <v>67</v>
      </c>
      <c r="B308" s="28">
        <f t="array" ref="B308">XLOOKUP(A308, CURSOS!A:A, CURSOS!B:B)</f>
        <v>16</v>
      </c>
      <c r="C308" s="28" t="str">
        <f t="array" ref="C308">XLOOKUP(A308, CURSOS!A:A, CURSOS!C:C)</f>
        <v>COMBINATORIA</v>
      </c>
      <c r="D308" s="70" t="s">
        <v>117</v>
      </c>
      <c r="E308" s="48">
        <f t="array" ref="E308">XLOOKUP($D308,REGOLITOS!$A:$A,REGOLITOS!E:E)</f>
        <v>64</v>
      </c>
      <c r="F308" s="48" t="str">
        <f t="array" ref="F308">XLOOKUP($D308,REGOLITOS!$A:$A,REGOLITOS!F:F)</f>
        <v>Estudiante</v>
      </c>
      <c r="G308" s="48" t="str">
        <f t="array" ref="G308">XLOOKUP($D308,REGOLITOS!$A:$A,REGOLITOS!G:G)</f>
        <v>Guanajuato</v>
      </c>
      <c r="H308" s="48" t="str">
        <f t="array" ref="H308">XLOOKUP($D308,REGOLITOS!$A:$A,REGOLITOS!H:H)</f>
        <v>55 55 0013 0013</v>
      </c>
      <c r="I308" s="48" t="str">
        <f t="array" ref="I308">XLOOKUP($D308,REGOLITOS!$A:$A,REGOLITOS!I:I)</f>
        <v>usuario13@ejemplo.com</v>
      </c>
      <c r="J308" s="48" t="str">
        <f t="array" ref="J308">XLOOKUP($D308,REGOLITOS!$A:$A,REGOLITOS!J:J)</f>
        <v/>
      </c>
      <c r="K308" s="48" t="str">
        <f t="array" ref="K308">XLOOKUP($D308,REGOLITOS!$A:$A,REGOLITOS!K:K)</f>
        <v>Adulto Mayor</v>
      </c>
      <c r="L308" s="48">
        <v>600.0</v>
      </c>
      <c r="M308" s="5" t="s">
        <v>1078</v>
      </c>
      <c r="N308" s="5" t="s">
        <v>1078</v>
      </c>
      <c r="O308" s="5" t="s">
        <v>1078</v>
      </c>
      <c r="P308" s="5" t="s">
        <v>1078</v>
      </c>
      <c r="Q308" s="5" t="s">
        <v>1081</v>
      </c>
      <c r="R308" s="5" t="s">
        <v>1080</v>
      </c>
      <c r="S308" s="5" t="s">
        <v>1078</v>
      </c>
      <c r="T308" s="5" t="s">
        <v>1078</v>
      </c>
      <c r="U308" s="5" t="s">
        <v>1080</v>
      </c>
      <c r="X308" s="71">
        <f t="shared" si="3"/>
        <v>7</v>
      </c>
      <c r="Y308" s="5" t="b">
        <v>1</v>
      </c>
    </row>
    <row r="309">
      <c r="A309" s="28" t="s">
        <v>67</v>
      </c>
      <c r="B309" s="28">
        <f t="array" ref="B309">XLOOKUP(A309, CURSOS!A:A, CURSOS!B:B)</f>
        <v>16</v>
      </c>
      <c r="C309" s="28" t="str">
        <f t="array" ref="C309">XLOOKUP(A309, CURSOS!A:A, CURSOS!C:C)</f>
        <v>COMBINATORIA</v>
      </c>
      <c r="D309" s="70" t="s">
        <v>108</v>
      </c>
      <c r="E309" s="48">
        <f t="array" ref="E309">XLOOKUP($D309,REGOLITOS!$A:$A,REGOLITOS!E:E)</f>
        <v>95</v>
      </c>
      <c r="F309" s="48" t="str">
        <f t="array" ref="F309">XLOOKUP($D309,REGOLITOS!$A:$A,REGOLITOS!F:F)</f>
        <v>Estudiante</v>
      </c>
      <c r="G309" s="48" t="str">
        <f t="array" ref="G309">XLOOKUP($D309,REGOLITOS!$A:$A,REGOLITOS!G:G)</f>
        <v>Ciudad de México</v>
      </c>
      <c r="H309" s="48" t="str">
        <f t="array" ref="H309">XLOOKUP($D309,REGOLITOS!$A:$A,REGOLITOS!H:H)</f>
        <v>55 55 0007 0007</v>
      </c>
      <c r="I309" s="48" t="str">
        <f t="array" ref="I309">XLOOKUP($D309,REGOLITOS!$A:$A,REGOLITOS!I:I)</f>
        <v>usuario7@ejemplo.com</v>
      </c>
      <c r="J309" s="48" t="str">
        <f t="array" ref="J309">XLOOKUP($D309,REGOLITOS!$A:$A,REGOLITOS!J:J)</f>
        <v/>
      </c>
      <c r="K309" s="48" t="str">
        <f t="array" ref="K309">XLOOKUP($D309,REGOLITOS!$A:$A,REGOLITOS!K:K)</f>
        <v>Adulto Mayor</v>
      </c>
      <c r="L309" s="48">
        <v>600.0</v>
      </c>
      <c r="M309" s="5" t="s">
        <v>1081</v>
      </c>
      <c r="N309" s="5" t="s">
        <v>1078</v>
      </c>
      <c r="O309" s="5" t="s">
        <v>1078</v>
      </c>
      <c r="P309" s="5" t="s">
        <v>1078</v>
      </c>
      <c r="Q309" s="5" t="s">
        <v>1078</v>
      </c>
      <c r="R309" s="5" t="s">
        <v>1078</v>
      </c>
      <c r="S309" s="5" t="s">
        <v>1081</v>
      </c>
      <c r="T309" s="5" t="s">
        <v>1078</v>
      </c>
      <c r="U309" s="5" t="s">
        <v>1080</v>
      </c>
      <c r="X309" s="71">
        <f t="shared" si="3"/>
        <v>8</v>
      </c>
      <c r="Y309" s="5" t="b">
        <v>1</v>
      </c>
    </row>
    <row r="310">
      <c r="A310" s="28" t="s">
        <v>67</v>
      </c>
      <c r="B310" s="28">
        <f t="array" ref="B310">XLOOKUP(A310, CURSOS!A:A, CURSOS!B:B)</f>
        <v>16</v>
      </c>
      <c r="C310" s="28" t="str">
        <f t="array" ref="C310">XLOOKUP(A310, CURSOS!A:A, CURSOS!C:C)</f>
        <v>COMBINATORIA</v>
      </c>
      <c r="D310" s="70" t="s">
        <v>365</v>
      </c>
      <c r="E310" s="48">
        <f t="array" ref="E310">XLOOKUP($D310,REGOLITOS!$A:$A,REGOLITOS!E:E)</f>
        <v>78</v>
      </c>
      <c r="F310" s="48" t="str">
        <f t="array" ref="F310">XLOOKUP($D310,REGOLITOS!$A:$A,REGOLITOS!F:F)</f>
        <v>Estudiante</v>
      </c>
      <c r="G310" s="48" t="str">
        <f t="array" ref="G310">XLOOKUP($D310,REGOLITOS!$A:$A,REGOLITOS!G:G)</f>
        <v>Ciudad de México</v>
      </c>
      <c r="H310" s="48" t="str">
        <f t="array" ref="H310">XLOOKUP($D310,REGOLITOS!$A:$A,REGOLITOS!H:H)</f>
        <v>55 55 0178 0178</v>
      </c>
      <c r="I310" s="48" t="str">
        <f t="array" ref="I310">XLOOKUP($D310,REGOLITOS!$A:$A,REGOLITOS!I:I)</f>
        <v>usuario178@ejemplo.com</v>
      </c>
      <c r="J310" s="48" t="str">
        <f t="array" ref="J310">XLOOKUP($D310,REGOLITOS!$A:$A,REGOLITOS!J:J)</f>
        <v/>
      </c>
      <c r="K310" s="48" t="str">
        <f t="array" ref="K310">XLOOKUP($D310,REGOLITOS!$A:$A,REGOLITOS!K:K)</f>
        <v>Adulto Mayor</v>
      </c>
      <c r="L310" s="48">
        <v>480.0</v>
      </c>
      <c r="M310" s="5" t="s">
        <v>1078</v>
      </c>
      <c r="N310" s="5" t="s">
        <v>1078</v>
      </c>
      <c r="O310" s="5" t="s">
        <v>1078</v>
      </c>
      <c r="P310" s="5" t="s">
        <v>1078</v>
      </c>
      <c r="Q310" s="5" t="s">
        <v>1078</v>
      </c>
      <c r="R310" s="5" t="s">
        <v>1078</v>
      </c>
      <c r="S310" s="5" t="s">
        <v>1078</v>
      </c>
      <c r="T310" s="5" t="s">
        <v>1078</v>
      </c>
      <c r="U310" s="5" t="s">
        <v>1080</v>
      </c>
      <c r="X310" s="71">
        <f t="shared" si="3"/>
        <v>8</v>
      </c>
      <c r="Y310" s="5" t="b">
        <v>1</v>
      </c>
    </row>
    <row r="311">
      <c r="A311" s="28" t="s">
        <v>67</v>
      </c>
      <c r="B311" s="28">
        <f t="array" ref="B311">XLOOKUP(A311, CURSOS!A:A, CURSOS!B:B)</f>
        <v>16</v>
      </c>
      <c r="C311" s="28" t="str">
        <f t="array" ref="C311">XLOOKUP(A311, CURSOS!A:A, CURSOS!C:C)</f>
        <v>COMBINATORIA</v>
      </c>
      <c r="D311" s="70" t="s">
        <v>183</v>
      </c>
      <c r="E311" s="48">
        <f t="array" ref="E311">XLOOKUP($D311,REGOLITOS!$A:$A,REGOLITOS!E:E)</f>
        <v>68</v>
      </c>
      <c r="F311" s="48" t="str">
        <f t="array" ref="F311">XLOOKUP($D311,REGOLITOS!$A:$A,REGOLITOS!F:F)</f>
        <v>Estudiante</v>
      </c>
      <c r="G311" s="48" t="str">
        <f t="array" ref="G311">XLOOKUP($D311,REGOLITOS!$A:$A,REGOLITOS!G:G)</f>
        <v>Estado de México</v>
      </c>
      <c r="H311" s="48" t="str">
        <f t="array" ref="H311">XLOOKUP($D311,REGOLITOS!$A:$A,REGOLITOS!H:H)</f>
        <v>55 55 0051 0051</v>
      </c>
      <c r="I311" s="48" t="str">
        <f t="array" ref="I311">XLOOKUP($D311,REGOLITOS!$A:$A,REGOLITOS!I:I)</f>
        <v>usuario51@ejemplo.com</v>
      </c>
      <c r="J311" s="48" t="str">
        <f t="array" ref="J311">XLOOKUP($D311,REGOLITOS!$A:$A,REGOLITOS!J:J)</f>
        <v/>
      </c>
      <c r="K311" s="48" t="str">
        <f t="array" ref="K311">XLOOKUP($D311,REGOLITOS!$A:$A,REGOLITOS!K:K)</f>
        <v>Adulto Mayor</v>
      </c>
      <c r="L311" s="48">
        <v>480.0</v>
      </c>
      <c r="M311" s="5" t="s">
        <v>1081</v>
      </c>
      <c r="N311" s="5" t="s">
        <v>1080</v>
      </c>
      <c r="O311" s="5" t="s">
        <v>1078</v>
      </c>
      <c r="P311" s="5" t="s">
        <v>1078</v>
      </c>
      <c r="Q311" s="5" t="s">
        <v>1078</v>
      </c>
      <c r="R311" s="5" t="s">
        <v>1078</v>
      </c>
      <c r="S311" s="5" t="s">
        <v>1078</v>
      </c>
      <c r="T311" s="5" t="s">
        <v>1078</v>
      </c>
      <c r="U311" s="5" t="s">
        <v>1078</v>
      </c>
      <c r="X311" s="71">
        <f t="shared" si="3"/>
        <v>8</v>
      </c>
      <c r="Y311" s="5" t="b">
        <v>1</v>
      </c>
    </row>
    <row r="312">
      <c r="A312" s="30" t="s">
        <v>69</v>
      </c>
      <c r="B312" s="30">
        <f t="array" ref="B312">XLOOKUP(A312, CURSOS!A:A, CURSOS!B:B)</f>
        <v>17</v>
      </c>
      <c r="C312" s="13" t="str">
        <f t="array" ref="C312">XLOOKUP(A312, CURSOS!A:A, CURSOS!C:C)</f>
        <v>MONTAJE Y MANEJO DE TELESCOPIOS</v>
      </c>
      <c r="D312" s="70" t="s">
        <v>296</v>
      </c>
      <c r="E312" s="48">
        <f t="array" ref="E312">XLOOKUP($D312,REGOLITOS!$A:$A,REGOLITOS!E:E)</f>
        <v>48</v>
      </c>
      <c r="F312" s="48" t="str">
        <f t="array" ref="F312">XLOOKUP($D312,REGOLITOS!$A:$A,REGOLITOS!F:F)</f>
        <v>Negocio en hogar</v>
      </c>
      <c r="G312" s="48" t="str">
        <f t="array" ref="G312">XLOOKUP($D312,REGOLITOS!$A:$A,REGOLITOS!G:G)</f>
        <v>Ciudad de México</v>
      </c>
      <c r="H312" s="48" t="str">
        <f t="array" ref="H312">XLOOKUP($D312,REGOLITOS!$A:$A,REGOLITOS!H:H)</f>
        <v>55 55 0130 0130</v>
      </c>
      <c r="I312" s="48" t="str">
        <f t="array" ref="I312">XLOOKUP($D312,REGOLITOS!$A:$A,REGOLITOS!I:I)</f>
        <v>usuario130@ejemplo.com</v>
      </c>
      <c r="J312" s="48" t="str">
        <f t="array" ref="J312">XLOOKUP($D312,REGOLITOS!$A:$A,REGOLITOS!J:J)</f>
        <v/>
      </c>
      <c r="K312" s="48" t="str">
        <f t="array" ref="K312">XLOOKUP($D312,REGOLITOS!$A:$A,REGOLITOS!K:K)</f>
        <v>Adulto</v>
      </c>
      <c r="L312" s="48">
        <v>160.0</v>
      </c>
      <c r="M312" s="5" t="s">
        <v>1078</v>
      </c>
      <c r="N312" s="5" t="s">
        <v>1078</v>
      </c>
      <c r="O312" s="5" t="s">
        <v>1078</v>
      </c>
      <c r="P312" s="5" t="s">
        <v>1078</v>
      </c>
      <c r="Q312" s="5" t="s">
        <v>1078</v>
      </c>
      <c r="X312" s="71">
        <f t="shared" si="3"/>
        <v>5</v>
      </c>
      <c r="Y312" s="5" t="b">
        <v>1</v>
      </c>
    </row>
    <row r="313">
      <c r="A313" s="30" t="s">
        <v>69</v>
      </c>
      <c r="B313" s="30">
        <f t="array" ref="B313">XLOOKUP(A313, CURSOS!A:A, CURSOS!B:B)</f>
        <v>17</v>
      </c>
      <c r="C313" s="13" t="str">
        <f t="array" ref="C313">XLOOKUP(A313, CURSOS!A:A, CURSOS!C:C)</f>
        <v>MONTAJE Y MANEJO DE TELESCOPIOS</v>
      </c>
      <c r="D313" s="70" t="s">
        <v>202</v>
      </c>
      <c r="E313" s="48">
        <f t="array" ref="E313">XLOOKUP($D313,REGOLITOS!$A:$A,REGOLITOS!E:E)</f>
        <v>81</v>
      </c>
      <c r="F313" s="48" t="str">
        <f t="array" ref="F313">XLOOKUP($D313,REGOLITOS!$A:$A,REGOLITOS!F:F)</f>
        <v>Diseñadora gráfica </v>
      </c>
      <c r="G313" s="48" t="str">
        <f t="array" ref="G313">XLOOKUP($D313,REGOLITOS!$A:$A,REGOLITOS!G:G)</f>
        <v>Estado de México</v>
      </c>
      <c r="H313" s="48" t="str">
        <f t="array" ref="H313">XLOOKUP($D313,REGOLITOS!$A:$A,REGOLITOS!H:H)</f>
        <v>55 55 0065 0065</v>
      </c>
      <c r="I313" s="48" t="str">
        <f t="array" ref="I313">XLOOKUP($D313,REGOLITOS!$A:$A,REGOLITOS!I:I)</f>
        <v>usuario65@ejemplo.com</v>
      </c>
      <c r="J313" s="48" t="str">
        <f t="array" ref="J313">XLOOKUP($D313,REGOLITOS!$A:$A,REGOLITOS!J:J)</f>
        <v/>
      </c>
      <c r="K313" s="48" t="str">
        <f t="array" ref="K313">XLOOKUP($D313,REGOLITOS!$A:$A,REGOLITOS!K:K)</f>
        <v>Adulto Mayor</v>
      </c>
      <c r="L313" s="48">
        <v>160.0</v>
      </c>
      <c r="M313" s="5" t="s">
        <v>1078</v>
      </c>
      <c r="N313" s="5" t="s">
        <v>1078</v>
      </c>
      <c r="O313" s="5" t="s">
        <v>1078</v>
      </c>
      <c r="P313" s="5" t="s">
        <v>1078</v>
      </c>
      <c r="Q313" s="5" t="s">
        <v>1078</v>
      </c>
      <c r="X313" s="71">
        <f t="shared" si="3"/>
        <v>5</v>
      </c>
      <c r="Y313" s="5" t="b">
        <v>1</v>
      </c>
    </row>
    <row r="314">
      <c r="A314" s="30" t="s">
        <v>69</v>
      </c>
      <c r="B314" s="30">
        <f t="array" ref="B314">XLOOKUP(A314, CURSOS!A:A, CURSOS!B:B)</f>
        <v>17</v>
      </c>
      <c r="C314" s="13" t="str">
        <f t="array" ref="C314">XLOOKUP(A314, CURSOS!A:A, CURSOS!C:C)</f>
        <v>MONTAJE Y MANEJO DE TELESCOPIOS</v>
      </c>
      <c r="D314" s="70" t="s">
        <v>330</v>
      </c>
      <c r="E314" s="48">
        <f t="array" ref="E314">XLOOKUP($D314,REGOLITOS!$A:$A,REGOLITOS!E:E)</f>
        <v>29</v>
      </c>
      <c r="F314" s="48" t="str">
        <f t="array" ref="F314">XLOOKUP($D314,REGOLITOS!$A:$A,REGOLITOS!F:F)</f>
        <v>Desconocido</v>
      </c>
      <c r="G314" s="48" t="str">
        <f t="array" ref="G314">XLOOKUP($D314,REGOLITOS!$A:$A,REGOLITOS!G:G)</f>
        <v>Desconocido</v>
      </c>
      <c r="H314" s="48" t="str">
        <f t="array" ref="H314">XLOOKUP($D314,REGOLITOS!$A:$A,REGOLITOS!H:H)</f>
        <v>55 55 0153 0153</v>
      </c>
      <c r="I314" s="48" t="str">
        <f t="array" ref="I314">XLOOKUP($D314,REGOLITOS!$A:$A,REGOLITOS!I:I)</f>
        <v>usuario153@ejemplo.com</v>
      </c>
      <c r="J314" s="48" t="str">
        <f t="array" ref="J314">XLOOKUP($D314,REGOLITOS!$A:$A,REGOLITOS!J:J)</f>
        <v/>
      </c>
      <c r="K314" s="48" t="str">
        <f t="array" ref="K314">XLOOKUP($D314,REGOLITOS!$A:$A,REGOLITOS!K:K)</f>
        <v>Jóven adulto</v>
      </c>
      <c r="L314" s="48">
        <v>200.0</v>
      </c>
      <c r="M314" s="5" t="s">
        <v>1078</v>
      </c>
      <c r="N314" s="5" t="s">
        <v>1078</v>
      </c>
      <c r="O314" s="5" t="s">
        <v>1081</v>
      </c>
      <c r="P314" s="5" t="s">
        <v>1078</v>
      </c>
      <c r="Q314" s="5" t="s">
        <v>1078</v>
      </c>
      <c r="X314" s="71">
        <f t="shared" si="3"/>
        <v>5</v>
      </c>
      <c r="Y314" s="5" t="b">
        <v>1</v>
      </c>
    </row>
    <row r="315">
      <c r="A315" s="30" t="s">
        <v>69</v>
      </c>
      <c r="B315" s="30">
        <f t="array" ref="B315">XLOOKUP(A315, CURSOS!A:A, CURSOS!B:B)</f>
        <v>17</v>
      </c>
      <c r="C315" s="13" t="str">
        <f t="array" ref="C315">XLOOKUP(A315, CURSOS!A:A, CURSOS!C:C)</f>
        <v>MONTAJE Y MANEJO DE TELESCOPIOS</v>
      </c>
      <c r="D315" s="70" t="s">
        <v>227</v>
      </c>
      <c r="E315" s="48">
        <f t="array" ref="E315">XLOOKUP($D315,REGOLITOS!$A:$A,REGOLITOS!E:E)</f>
        <v>66</v>
      </c>
      <c r="F315" s="48" t="str">
        <f t="array" ref="F315">XLOOKUP($D315,REGOLITOS!$A:$A,REGOLITOS!F:F)</f>
        <v>Operadora de CTP</v>
      </c>
      <c r="G315" s="48" t="str">
        <f t="array" ref="G315">XLOOKUP($D315,REGOLITOS!$A:$A,REGOLITOS!G:G)</f>
        <v>Ciudad de México</v>
      </c>
      <c r="H315" s="48" t="str">
        <f t="array" ref="H315">XLOOKUP($D315,REGOLITOS!$A:$A,REGOLITOS!H:H)</f>
        <v>55 55 0082 0082</v>
      </c>
      <c r="I315" s="48" t="str">
        <f t="array" ref="I315">XLOOKUP($D315,REGOLITOS!$A:$A,REGOLITOS!I:I)</f>
        <v>usuario82@ejemplo.com</v>
      </c>
      <c r="J315" s="48" t="str">
        <f t="array" ref="J315">XLOOKUP($D315,REGOLITOS!$A:$A,REGOLITOS!J:J)</f>
        <v/>
      </c>
      <c r="K315" s="48" t="str">
        <f t="array" ref="K315">XLOOKUP($D315,REGOLITOS!$A:$A,REGOLITOS!K:K)</f>
        <v>Adulto Mayor</v>
      </c>
      <c r="L315" s="48">
        <v>200.0</v>
      </c>
      <c r="M315" s="5" t="s">
        <v>1080</v>
      </c>
      <c r="N315" s="5" t="s">
        <v>1078</v>
      </c>
      <c r="O315" s="5" t="s">
        <v>1078</v>
      </c>
      <c r="P315" s="5" t="s">
        <v>1078</v>
      </c>
      <c r="Q315" s="5" t="s">
        <v>1078</v>
      </c>
      <c r="X315" s="71">
        <f t="shared" si="3"/>
        <v>4</v>
      </c>
      <c r="Y315" s="5" t="b">
        <v>1</v>
      </c>
    </row>
    <row r="316">
      <c r="A316" s="30" t="s">
        <v>69</v>
      </c>
      <c r="B316" s="30">
        <f t="array" ref="B316">XLOOKUP(A316, CURSOS!A:A, CURSOS!B:B)</f>
        <v>17</v>
      </c>
      <c r="C316" s="13" t="str">
        <f t="array" ref="C316">XLOOKUP(A316, CURSOS!A:A, CURSOS!C:C)</f>
        <v>MONTAJE Y MANEJO DE TELESCOPIOS</v>
      </c>
      <c r="D316" s="70" t="s">
        <v>147</v>
      </c>
      <c r="E316" s="48">
        <f t="array" ref="E316">XLOOKUP($D316,REGOLITOS!$A:$A,REGOLITOS!E:E)</f>
        <v>15</v>
      </c>
      <c r="F316" s="48" t="str">
        <f t="array" ref="F316">XLOOKUP($D316,REGOLITOS!$A:$A,REGOLITOS!F:F)</f>
        <v>Ingeniería Civil</v>
      </c>
      <c r="G316" s="48" t="str">
        <f t="array" ref="G316">XLOOKUP($D316,REGOLITOS!$A:$A,REGOLITOS!G:G)</f>
        <v>Ciudad de México</v>
      </c>
      <c r="H316" s="48" t="str">
        <f t="array" ref="H316">XLOOKUP($D316,REGOLITOS!$A:$A,REGOLITOS!H:H)</f>
        <v>55 55 0028 0028</v>
      </c>
      <c r="I316" s="48" t="str">
        <f t="array" ref="I316">XLOOKUP($D316,REGOLITOS!$A:$A,REGOLITOS!I:I)</f>
        <v>usuario28@ejemplo.com</v>
      </c>
      <c r="J316" s="48" t="str">
        <f t="array" ref="J316">XLOOKUP($D316,REGOLITOS!$A:$A,REGOLITOS!J:J)</f>
        <v>Tutor_028</v>
      </c>
      <c r="K316" s="48" t="str">
        <f t="array" ref="K316">XLOOKUP($D316,REGOLITOS!$A:$A,REGOLITOS!K:K)</f>
        <v>Adolescente</v>
      </c>
      <c r="L316" s="48">
        <v>160.0</v>
      </c>
      <c r="M316" s="5" t="s">
        <v>1078</v>
      </c>
      <c r="N316" s="5" t="s">
        <v>1078</v>
      </c>
      <c r="O316" s="5" t="s">
        <v>1078</v>
      </c>
      <c r="P316" s="5" t="s">
        <v>1080</v>
      </c>
      <c r="Q316" s="5" t="s">
        <v>1078</v>
      </c>
      <c r="X316" s="71">
        <f t="shared" si="3"/>
        <v>4</v>
      </c>
      <c r="Y316" s="5" t="b">
        <v>1</v>
      </c>
    </row>
    <row r="317">
      <c r="A317" s="30" t="s">
        <v>69</v>
      </c>
      <c r="B317" s="30">
        <f t="array" ref="B317">XLOOKUP(A317, CURSOS!A:A, CURSOS!B:B)</f>
        <v>17</v>
      </c>
      <c r="C317" s="13" t="str">
        <f t="array" ref="C317">XLOOKUP(A317, CURSOS!A:A, CURSOS!C:C)</f>
        <v>MONTAJE Y MANEJO DE TELESCOPIOS</v>
      </c>
      <c r="D317" s="70" t="s">
        <v>263</v>
      </c>
      <c r="E317" s="48">
        <f t="array" ref="E317">XLOOKUP($D317,REGOLITOS!$A:$A,REGOLITOS!E:E)</f>
        <v>18</v>
      </c>
      <c r="F317" s="48" t="str">
        <f t="array" ref="F317">XLOOKUP($D317,REGOLITOS!$A:$A,REGOLITOS!F:F)</f>
        <v>Administación</v>
      </c>
      <c r="G317" s="48" t="str">
        <f t="array" ref="G317">XLOOKUP($D317,REGOLITOS!$A:$A,REGOLITOS!G:G)</f>
        <v>Ciudad de México</v>
      </c>
      <c r="H317" s="48" t="str">
        <f t="array" ref="H317">XLOOKUP($D317,REGOLITOS!$A:$A,REGOLITOS!H:H)</f>
        <v>55 55 0106 0106</v>
      </c>
      <c r="I317" s="48" t="str">
        <f t="array" ref="I317">XLOOKUP($D317,REGOLITOS!$A:$A,REGOLITOS!I:I)</f>
        <v>usuario106@ejemplo.com</v>
      </c>
      <c r="J317" s="48" t="str">
        <f t="array" ref="J317">XLOOKUP($D317,REGOLITOS!$A:$A,REGOLITOS!J:J)</f>
        <v>Tutor_106</v>
      </c>
      <c r="K317" s="48" t="str">
        <f t="array" ref="K317">XLOOKUP($D317,REGOLITOS!$A:$A,REGOLITOS!K:K)</f>
        <v>Jóven adulto</v>
      </c>
      <c r="L317" s="48">
        <v>200.0</v>
      </c>
      <c r="M317" s="5" t="s">
        <v>1078</v>
      </c>
      <c r="N317" s="5" t="s">
        <v>1078</v>
      </c>
      <c r="O317" s="5" t="s">
        <v>1078</v>
      </c>
      <c r="P317" s="5" t="s">
        <v>1080</v>
      </c>
      <c r="Q317" s="5" t="s">
        <v>1078</v>
      </c>
      <c r="X317" s="71">
        <f t="shared" si="3"/>
        <v>4</v>
      </c>
      <c r="Y317" s="5" t="b">
        <v>1</v>
      </c>
    </row>
    <row r="318">
      <c r="A318" s="30" t="s">
        <v>69</v>
      </c>
      <c r="B318" s="30">
        <f t="array" ref="B318">XLOOKUP(A318, CURSOS!A:A, CURSOS!B:B)</f>
        <v>17</v>
      </c>
      <c r="C318" s="13" t="str">
        <f t="array" ref="C318">XLOOKUP(A318, CURSOS!A:A, CURSOS!C:C)</f>
        <v>MONTAJE Y MANEJO DE TELESCOPIOS</v>
      </c>
      <c r="D318" s="70" t="s">
        <v>300</v>
      </c>
      <c r="E318" s="48">
        <f t="array" ref="E318">XLOOKUP($D318,REGOLITOS!$A:$A,REGOLITOS!E:E)</f>
        <v>48</v>
      </c>
      <c r="F318" s="48" t="str">
        <f t="array" ref="F318">XLOOKUP($D318,REGOLITOS!$A:$A,REGOLITOS!F:F)</f>
        <v>Ama de casa</v>
      </c>
      <c r="G318" s="48" t="str">
        <f t="array" ref="G318">XLOOKUP($D318,REGOLITOS!$A:$A,REGOLITOS!G:G)</f>
        <v>Zacatecas</v>
      </c>
      <c r="H318" s="48" t="str">
        <f t="array" ref="H318">XLOOKUP($D318,REGOLITOS!$A:$A,REGOLITOS!H:H)</f>
        <v>55 55 0132 0132</v>
      </c>
      <c r="I318" s="48" t="str">
        <f t="array" ref="I318">XLOOKUP($D318,REGOLITOS!$A:$A,REGOLITOS!I:I)</f>
        <v>usuario132@ejemplo.com</v>
      </c>
      <c r="J318" s="48" t="str">
        <f t="array" ref="J318">XLOOKUP($D318,REGOLITOS!$A:$A,REGOLITOS!J:J)</f>
        <v/>
      </c>
      <c r="K318" s="48" t="str">
        <f t="array" ref="K318">XLOOKUP($D318,REGOLITOS!$A:$A,REGOLITOS!K:K)</f>
        <v>Adulto</v>
      </c>
      <c r="L318" s="48">
        <v>200.0</v>
      </c>
      <c r="M318" s="5" t="s">
        <v>1078</v>
      </c>
      <c r="N318" s="5" t="s">
        <v>1078</v>
      </c>
      <c r="O318" s="5" t="s">
        <v>1078</v>
      </c>
      <c r="P318" s="5" t="s">
        <v>1078</v>
      </c>
      <c r="Q318" s="5" t="s">
        <v>1080</v>
      </c>
      <c r="X318" s="71">
        <f t="shared" si="3"/>
        <v>4</v>
      </c>
      <c r="Y318" s="5" t="b">
        <v>1</v>
      </c>
    </row>
    <row r="319">
      <c r="A319" s="30" t="s">
        <v>69</v>
      </c>
      <c r="B319" s="30">
        <f t="array" ref="B319">XLOOKUP(A319, CURSOS!A:A, CURSOS!B:B)</f>
        <v>17</v>
      </c>
      <c r="C319" s="13" t="str">
        <f t="array" ref="C319">XLOOKUP(A319, CURSOS!A:A, CURSOS!C:C)</f>
        <v>MONTAJE Y MANEJO DE TELESCOPIOS</v>
      </c>
      <c r="D319" s="70" t="s">
        <v>336</v>
      </c>
      <c r="E319" s="48">
        <f t="array" ref="E319">XLOOKUP($D319,REGOLITOS!$A:$A,REGOLITOS!E:E)</f>
        <v>98</v>
      </c>
      <c r="F319" s="48" t="str">
        <f t="array" ref="F319">XLOOKUP($D319,REGOLITOS!$A:$A,REGOLITOS!F:F)</f>
        <v>Docente </v>
      </c>
      <c r="G319" s="48" t="str">
        <f t="array" ref="G319">XLOOKUP($D319,REGOLITOS!$A:$A,REGOLITOS!G:G)</f>
        <v>Oaxaca</v>
      </c>
      <c r="H319" s="48" t="str">
        <f t="array" ref="H319">XLOOKUP($D319,REGOLITOS!$A:$A,REGOLITOS!H:H)</f>
        <v>55 55 0157 0157</v>
      </c>
      <c r="I319" s="48" t="str">
        <f t="array" ref="I319">XLOOKUP($D319,REGOLITOS!$A:$A,REGOLITOS!I:I)</f>
        <v>usuario157@ejemplo.com</v>
      </c>
      <c r="J319" s="48" t="str">
        <f t="array" ref="J319">XLOOKUP($D319,REGOLITOS!$A:$A,REGOLITOS!J:J)</f>
        <v/>
      </c>
      <c r="K319" s="48" t="str">
        <f t="array" ref="K319">XLOOKUP($D319,REGOLITOS!$A:$A,REGOLITOS!K:K)</f>
        <v>Adulto Mayor</v>
      </c>
      <c r="L319" s="48">
        <v>200.0</v>
      </c>
      <c r="M319" s="5" t="s">
        <v>1078</v>
      </c>
      <c r="N319" s="5" t="s">
        <v>1078</v>
      </c>
      <c r="O319" s="5" t="s">
        <v>1078</v>
      </c>
      <c r="P319" s="5" t="s">
        <v>1078</v>
      </c>
      <c r="Q319" s="5" t="s">
        <v>1080</v>
      </c>
      <c r="X319" s="71">
        <f t="shared" si="3"/>
        <v>4</v>
      </c>
      <c r="Y319" s="5" t="b">
        <v>1</v>
      </c>
    </row>
    <row r="320">
      <c r="A320" s="30" t="s">
        <v>69</v>
      </c>
      <c r="B320" s="30">
        <f t="array" ref="B320">XLOOKUP(A320, CURSOS!A:A, CURSOS!B:B)</f>
        <v>17</v>
      </c>
      <c r="C320" s="13" t="str">
        <f t="array" ref="C320">XLOOKUP(A320, CURSOS!A:A, CURSOS!C:C)</f>
        <v>MONTAJE Y MANEJO DE TELESCOPIOS</v>
      </c>
      <c r="D320" s="70" t="s">
        <v>205</v>
      </c>
      <c r="E320" s="48">
        <f t="array" ref="E320">XLOOKUP($D320,REGOLITOS!$A:$A,REGOLITOS!E:E)</f>
        <v>32</v>
      </c>
      <c r="F320" s="48" t="str">
        <f t="array" ref="F320">XLOOKUP($D320,REGOLITOS!$A:$A,REGOLITOS!F:F)</f>
        <v>Empleado</v>
      </c>
      <c r="G320" s="48" t="str">
        <f t="array" ref="G320">XLOOKUP($D320,REGOLITOS!$A:$A,REGOLITOS!G:G)</f>
        <v>Estado de México</v>
      </c>
      <c r="H320" s="48" t="str">
        <f t="array" ref="H320">XLOOKUP($D320,REGOLITOS!$A:$A,REGOLITOS!H:H)</f>
        <v>55 55 0067 0067</v>
      </c>
      <c r="I320" s="48" t="str">
        <f t="array" ref="I320">XLOOKUP($D320,REGOLITOS!$A:$A,REGOLITOS!I:I)</f>
        <v>usuario67@ejemplo.com</v>
      </c>
      <c r="J320" s="48" t="str">
        <f t="array" ref="J320">XLOOKUP($D320,REGOLITOS!$A:$A,REGOLITOS!J:J)</f>
        <v/>
      </c>
      <c r="K320" s="48" t="str">
        <f t="array" ref="K320">XLOOKUP($D320,REGOLITOS!$A:$A,REGOLITOS!K:K)</f>
        <v>Adulto</v>
      </c>
      <c r="L320" s="48">
        <v>200.0</v>
      </c>
      <c r="M320" s="5" t="s">
        <v>1078</v>
      </c>
      <c r="N320" s="5" t="s">
        <v>1078</v>
      </c>
      <c r="O320" s="5" t="s">
        <v>1078</v>
      </c>
      <c r="P320" s="5" t="s">
        <v>1078</v>
      </c>
      <c r="Q320" s="5" t="s">
        <v>1080</v>
      </c>
      <c r="X320" s="71">
        <f t="shared" si="3"/>
        <v>4</v>
      </c>
      <c r="Y320" s="5" t="b">
        <v>1</v>
      </c>
    </row>
    <row r="321">
      <c r="A321" s="30" t="s">
        <v>69</v>
      </c>
      <c r="B321" s="30">
        <f t="array" ref="B321">XLOOKUP(A321, CURSOS!A:A, CURSOS!B:B)</f>
        <v>17</v>
      </c>
      <c r="C321" s="13" t="str">
        <f t="array" ref="C321">XLOOKUP(A321, CURSOS!A:A, CURSOS!C:C)</f>
        <v>MONTAJE Y MANEJO DE TELESCOPIOS</v>
      </c>
      <c r="D321" s="70" t="s">
        <v>239</v>
      </c>
      <c r="E321" s="48">
        <f t="array" ref="E321">XLOOKUP($D321,REGOLITOS!$A:$A,REGOLITOS!E:E)</f>
        <v>27</v>
      </c>
      <c r="F321" s="48" t="str">
        <f t="array" ref="F321">XLOOKUP($D321,REGOLITOS!$A:$A,REGOLITOS!F:F)</f>
        <v>Médico Cirujano Ortopedista</v>
      </c>
      <c r="G321" s="48" t="str">
        <f t="array" ref="G321">XLOOKUP($D321,REGOLITOS!$A:$A,REGOLITOS!G:G)</f>
        <v>Estado de México</v>
      </c>
      <c r="H321" s="48" t="str">
        <f t="array" ref="H321">XLOOKUP($D321,REGOLITOS!$A:$A,REGOLITOS!H:H)</f>
        <v>55 55 0090 0090</v>
      </c>
      <c r="I321" s="48" t="str">
        <f t="array" ref="I321">XLOOKUP($D321,REGOLITOS!$A:$A,REGOLITOS!I:I)</f>
        <v>usuario90@ejemplo.com</v>
      </c>
      <c r="J321" s="48" t="str">
        <f t="array" ref="J321">XLOOKUP($D321,REGOLITOS!$A:$A,REGOLITOS!J:J)</f>
        <v/>
      </c>
      <c r="K321" s="48" t="str">
        <f t="array" ref="K321">XLOOKUP($D321,REGOLITOS!$A:$A,REGOLITOS!K:K)</f>
        <v>Jóven adulto</v>
      </c>
      <c r="L321" s="48">
        <v>200.0</v>
      </c>
      <c r="M321" s="5" t="s">
        <v>1078</v>
      </c>
      <c r="N321" s="5" t="s">
        <v>1078</v>
      </c>
      <c r="O321" s="5" t="s">
        <v>1078</v>
      </c>
      <c r="P321" s="5" t="s">
        <v>1078</v>
      </c>
      <c r="Q321" s="5" t="s">
        <v>1080</v>
      </c>
      <c r="X321" s="71">
        <f t="shared" si="3"/>
        <v>4</v>
      </c>
      <c r="Y321" s="5" t="b">
        <v>1</v>
      </c>
    </row>
    <row r="322">
      <c r="A322" s="30" t="s">
        <v>69</v>
      </c>
      <c r="B322" s="30">
        <f t="array" ref="B322">XLOOKUP(A322, CURSOS!A:A, CURSOS!B:B)</f>
        <v>17</v>
      </c>
      <c r="C322" s="13" t="str">
        <f t="array" ref="C322">XLOOKUP(A322, CURSOS!A:A, CURSOS!C:C)</f>
        <v>MONTAJE Y MANEJO DE TELESCOPIOS</v>
      </c>
      <c r="D322" s="70" t="s">
        <v>256</v>
      </c>
      <c r="E322" s="48">
        <f t="array" ref="E322">XLOOKUP($D322,REGOLITOS!$A:$A,REGOLITOS!E:E)</f>
        <v>25</v>
      </c>
      <c r="F322" s="48" t="str">
        <f t="array" ref="F322">XLOOKUP($D322,REGOLITOS!$A:$A,REGOLITOS!F:F)</f>
        <v>Estudiante</v>
      </c>
      <c r="G322" s="48" t="str">
        <f t="array" ref="G322">XLOOKUP($D322,REGOLITOS!$A:$A,REGOLITOS!G:G)</f>
        <v>Guanajuato</v>
      </c>
      <c r="H322" s="48" t="str">
        <f t="array" ref="H322">XLOOKUP($D322,REGOLITOS!$A:$A,REGOLITOS!H:H)</f>
        <v>55 55 0101 0101</v>
      </c>
      <c r="I322" s="48" t="str">
        <f t="array" ref="I322">XLOOKUP($D322,REGOLITOS!$A:$A,REGOLITOS!I:I)</f>
        <v>usuario101@ejemplo.com</v>
      </c>
      <c r="J322" s="48" t="str">
        <f t="array" ref="J322">XLOOKUP($D322,REGOLITOS!$A:$A,REGOLITOS!J:J)</f>
        <v/>
      </c>
      <c r="K322" s="48" t="str">
        <f t="array" ref="K322">XLOOKUP($D322,REGOLITOS!$A:$A,REGOLITOS!K:K)</f>
        <v>Jóven adulto</v>
      </c>
      <c r="L322" s="74"/>
      <c r="M322" s="5" t="s">
        <v>1078</v>
      </c>
      <c r="N322" s="5" t="s">
        <v>1078</v>
      </c>
      <c r="O322" s="5" t="s">
        <v>1078</v>
      </c>
      <c r="P322" s="5" t="s">
        <v>1078</v>
      </c>
      <c r="Q322" s="5" t="s">
        <v>1080</v>
      </c>
      <c r="X322" s="71">
        <f t="shared" si="3"/>
        <v>4</v>
      </c>
      <c r="Y322" s="5" t="b">
        <v>1</v>
      </c>
    </row>
    <row r="323">
      <c r="A323" s="30" t="s">
        <v>69</v>
      </c>
      <c r="B323" s="30">
        <f t="array" ref="B323">XLOOKUP(A323, CURSOS!A:A, CURSOS!B:B)</f>
        <v>17</v>
      </c>
      <c r="C323" s="13" t="str">
        <f t="array" ref="C323">XLOOKUP(A323, CURSOS!A:A, CURSOS!C:C)</f>
        <v>MONTAJE Y MANEJO DE TELESCOPIOS</v>
      </c>
      <c r="D323" s="70" t="s">
        <v>232</v>
      </c>
      <c r="E323" s="48">
        <f t="array" ref="E323">XLOOKUP($D323,REGOLITOS!$A:$A,REGOLITOS!E:E)</f>
        <v>18</v>
      </c>
      <c r="F323" s="48" t="str">
        <f t="array" ref="F323">XLOOKUP($D323,REGOLITOS!$A:$A,REGOLITOS!F:F)</f>
        <v>Estudiante</v>
      </c>
      <c r="G323" s="48" t="str">
        <f t="array" ref="G323">XLOOKUP($D323,REGOLITOS!$A:$A,REGOLITOS!G:G)</f>
        <v>Hidalgo</v>
      </c>
      <c r="H323" s="48" t="str">
        <f t="array" ref="H323">XLOOKUP($D323,REGOLITOS!$A:$A,REGOLITOS!H:H)</f>
        <v>55 55 0085 0085</v>
      </c>
      <c r="I323" s="48" t="str">
        <f t="array" ref="I323">XLOOKUP($D323,REGOLITOS!$A:$A,REGOLITOS!I:I)</f>
        <v>usuario85@ejemplo.com</v>
      </c>
      <c r="J323" s="48" t="str">
        <f t="array" ref="J323">XLOOKUP($D323,REGOLITOS!$A:$A,REGOLITOS!J:J)</f>
        <v>Tutor_085</v>
      </c>
      <c r="K323" s="48" t="str">
        <f t="array" ref="K323">XLOOKUP($D323,REGOLITOS!$A:$A,REGOLITOS!K:K)</f>
        <v>Jóven adulto</v>
      </c>
      <c r="L323" s="48">
        <v>160.0</v>
      </c>
      <c r="M323" s="5" t="s">
        <v>1080</v>
      </c>
      <c r="N323" s="5" t="s">
        <v>1078</v>
      </c>
      <c r="O323" s="5" t="s">
        <v>1078</v>
      </c>
      <c r="P323" s="5" t="s">
        <v>1080</v>
      </c>
      <c r="Q323" s="5" t="s">
        <v>1078</v>
      </c>
      <c r="X323" s="71">
        <f t="shared" si="3"/>
        <v>3</v>
      </c>
      <c r="Y323" s="5" t="b">
        <v>0</v>
      </c>
    </row>
    <row r="324">
      <c r="A324" s="30" t="s">
        <v>69</v>
      </c>
      <c r="B324" s="30">
        <f t="array" ref="B324">XLOOKUP(A324, CURSOS!A:A, CURSOS!B:B)</f>
        <v>17</v>
      </c>
      <c r="C324" s="13" t="str">
        <f t="array" ref="C324">XLOOKUP(A324, CURSOS!A:A, CURSOS!C:C)</f>
        <v>MONTAJE Y MANEJO DE TELESCOPIOS</v>
      </c>
      <c r="D324" s="70" t="s">
        <v>100</v>
      </c>
      <c r="E324" s="48">
        <f t="array" ref="E324">XLOOKUP($D324,REGOLITOS!$A:$A,REGOLITOS!E:E)</f>
        <v>19</v>
      </c>
      <c r="F324" s="48" t="str">
        <f t="array" ref="F324">XLOOKUP($D324,REGOLITOS!$A:$A,REGOLITOS!F:F)</f>
        <v>Perito criminalista</v>
      </c>
      <c r="G324" s="48" t="str">
        <f t="array" ref="G324">XLOOKUP($D324,REGOLITOS!$A:$A,REGOLITOS!G:G)</f>
        <v>Ciudad de México</v>
      </c>
      <c r="H324" s="48" t="str">
        <f t="array" ref="H324">XLOOKUP($D324,REGOLITOS!$A:$A,REGOLITOS!H:H)</f>
        <v>55 55 0004 0004</v>
      </c>
      <c r="I324" s="48" t="str">
        <f t="array" ref="I324">XLOOKUP($D324,REGOLITOS!$A:$A,REGOLITOS!I:I)</f>
        <v>usuario4@ejemplo.com</v>
      </c>
      <c r="J324" s="48" t="str">
        <f t="array" ref="J324">XLOOKUP($D324,REGOLITOS!$A:$A,REGOLITOS!J:J)</f>
        <v/>
      </c>
      <c r="K324" s="48" t="str">
        <f t="array" ref="K324">XLOOKUP($D324,REGOLITOS!$A:$A,REGOLITOS!K:K)</f>
        <v>Jóven adulto</v>
      </c>
      <c r="L324" s="48">
        <v>200.0</v>
      </c>
      <c r="M324" s="5" t="s">
        <v>1078</v>
      </c>
      <c r="N324" s="5" t="s">
        <v>1080</v>
      </c>
      <c r="O324" s="5" t="s">
        <v>1078</v>
      </c>
      <c r="P324" s="5" t="s">
        <v>1078</v>
      </c>
      <c r="Q324" s="5" t="s">
        <v>1080</v>
      </c>
      <c r="X324" s="71">
        <f t="shared" si="3"/>
        <v>3</v>
      </c>
      <c r="Y324" s="5" t="b">
        <v>0</v>
      </c>
    </row>
    <row r="325">
      <c r="A325" s="30" t="s">
        <v>69</v>
      </c>
      <c r="B325" s="30">
        <f t="array" ref="B325">XLOOKUP(A325, CURSOS!A:A, CURSOS!B:B)</f>
        <v>17</v>
      </c>
      <c r="C325" s="13" t="str">
        <f t="array" ref="C325">XLOOKUP(A325, CURSOS!A:A, CURSOS!C:C)</f>
        <v>MONTAJE Y MANEJO DE TELESCOPIOS</v>
      </c>
      <c r="D325" s="70" t="s">
        <v>365</v>
      </c>
      <c r="E325" s="48">
        <f t="array" ref="E325">XLOOKUP($D325,REGOLITOS!$A:$A,REGOLITOS!E:E)</f>
        <v>78</v>
      </c>
      <c r="F325" s="48" t="str">
        <f t="array" ref="F325">XLOOKUP($D325,REGOLITOS!$A:$A,REGOLITOS!F:F)</f>
        <v>Estudiante</v>
      </c>
      <c r="G325" s="48" t="str">
        <f t="array" ref="G325">XLOOKUP($D325,REGOLITOS!$A:$A,REGOLITOS!G:G)</f>
        <v>Ciudad de México</v>
      </c>
      <c r="H325" s="48" t="str">
        <f t="array" ref="H325">XLOOKUP($D325,REGOLITOS!$A:$A,REGOLITOS!H:H)</f>
        <v>55 55 0178 0178</v>
      </c>
      <c r="I325" s="48" t="str">
        <f t="array" ref="I325">XLOOKUP($D325,REGOLITOS!$A:$A,REGOLITOS!I:I)</f>
        <v>usuario178@ejemplo.com</v>
      </c>
      <c r="J325" s="48" t="str">
        <f t="array" ref="J325">XLOOKUP($D325,REGOLITOS!$A:$A,REGOLITOS!J:J)</f>
        <v/>
      </c>
      <c r="K325" s="48" t="str">
        <f t="array" ref="K325">XLOOKUP($D325,REGOLITOS!$A:$A,REGOLITOS!K:K)</f>
        <v>Adulto Mayor</v>
      </c>
      <c r="L325" s="48">
        <v>160.0</v>
      </c>
      <c r="M325" s="5" t="s">
        <v>1078</v>
      </c>
      <c r="N325" s="5" t="s">
        <v>1078</v>
      </c>
      <c r="O325" s="5" t="s">
        <v>1080</v>
      </c>
      <c r="P325" s="5" t="s">
        <v>1080</v>
      </c>
      <c r="Q325" s="5" t="s">
        <v>1080</v>
      </c>
      <c r="X325" s="71">
        <f t="shared" si="3"/>
        <v>2</v>
      </c>
      <c r="Y325" s="5" t="b">
        <v>0</v>
      </c>
    </row>
    <row r="326">
      <c r="A326" s="30" t="s">
        <v>69</v>
      </c>
      <c r="B326" s="30">
        <f t="array" ref="B326">XLOOKUP(A326, CURSOS!A:A, CURSOS!B:B)</f>
        <v>17</v>
      </c>
      <c r="C326" s="13" t="str">
        <f t="array" ref="C326">XLOOKUP(A326, CURSOS!A:A, CURSOS!C:C)</f>
        <v>MONTAJE Y MANEJO DE TELESCOPIOS</v>
      </c>
      <c r="D326" s="70" t="s">
        <v>277</v>
      </c>
      <c r="E326" s="48">
        <f t="array" ref="E326">XLOOKUP($D326,REGOLITOS!$A:$A,REGOLITOS!E:E)</f>
        <v>37</v>
      </c>
      <c r="F326" s="48" t="str">
        <f t="array" ref="F326">XLOOKUP($D326,REGOLITOS!$A:$A,REGOLITOS!F:F)</f>
        <v>Empleado</v>
      </c>
      <c r="G326" s="48" t="str">
        <f t="array" ref="G326">XLOOKUP($D326,REGOLITOS!$A:$A,REGOLITOS!G:G)</f>
        <v>Desconocido</v>
      </c>
      <c r="H326" s="48" t="str">
        <f t="array" ref="H326">XLOOKUP($D326,REGOLITOS!$A:$A,REGOLITOS!H:H)</f>
        <v>55 55 0116 0116</v>
      </c>
      <c r="I326" s="48" t="str">
        <f t="array" ref="I326">XLOOKUP($D326,REGOLITOS!$A:$A,REGOLITOS!I:I)</f>
        <v>usuario116@ejemplo.com</v>
      </c>
      <c r="J326" s="48" t="str">
        <f t="array" ref="J326">XLOOKUP($D326,REGOLITOS!$A:$A,REGOLITOS!J:J)</f>
        <v/>
      </c>
      <c r="K326" s="48" t="str">
        <f t="array" ref="K326">XLOOKUP($D326,REGOLITOS!$A:$A,REGOLITOS!K:K)</f>
        <v>Adulto</v>
      </c>
      <c r="L326" s="48">
        <v>200.0</v>
      </c>
      <c r="M326" s="5" t="s">
        <v>1080</v>
      </c>
      <c r="N326" s="5" t="s">
        <v>1080</v>
      </c>
      <c r="O326" s="5" t="s">
        <v>1080</v>
      </c>
      <c r="P326" s="5" t="s">
        <v>1080</v>
      </c>
      <c r="Q326" s="5" t="s">
        <v>1080</v>
      </c>
      <c r="X326" s="71">
        <f t="shared" si="3"/>
        <v>0</v>
      </c>
      <c r="Y326" s="5" t="b">
        <v>0</v>
      </c>
    </row>
    <row r="327" ht="73.5" customHeight="1">
      <c r="E327" s="48"/>
      <c r="F327" s="48"/>
      <c r="G327" s="48"/>
      <c r="H327" s="48"/>
      <c r="I327" s="48"/>
      <c r="J327" s="48" t="str">
        <f t="array" ref="J327">XLOOKUP($D327,REGOLITOS!$A:$A,REGOLITOS!J:J)</f>
        <v>#N/A</v>
      </c>
      <c r="K327" s="48"/>
      <c r="L327" s="81"/>
      <c r="Y327" s="75">
        <f>COUNTIF(Y1:Y326, TRUE)</f>
        <v>218</v>
      </c>
    </row>
    <row r="328">
      <c r="A328" s="31" t="s">
        <v>71</v>
      </c>
      <c r="B328" s="31">
        <f t="array" ref="B328">XLOOKUP(A328, CURSOS!A:A, CURSOS!B:B)</f>
        <v>18</v>
      </c>
      <c r="C328" s="31" t="str">
        <f t="array" ref="C328">XLOOKUP(A328, CURSOS!A:A, CURSOS!C:C)</f>
        <v>EL ROMPECABEZAS DEL CIELO</v>
      </c>
      <c r="D328" s="70" t="s">
        <v>296</v>
      </c>
      <c r="E328" s="48">
        <f t="array" ref="E328">XLOOKUP($D328,REGOLITOS!$A:$A,REGOLITOS!E:E)</f>
        <v>48</v>
      </c>
      <c r="F328" s="48" t="str">
        <f t="array" ref="F328">XLOOKUP($D328,REGOLITOS!$A:$A,REGOLITOS!F:F)</f>
        <v>Negocio en hogar</v>
      </c>
      <c r="G328" s="48" t="str">
        <f t="array" ref="G328">XLOOKUP($D328,REGOLITOS!$A:$A,REGOLITOS!G:G)</f>
        <v>Ciudad de México</v>
      </c>
      <c r="H328" s="48" t="str">
        <f t="array" ref="H328">XLOOKUP($D328,REGOLITOS!$A:$A,REGOLITOS!H:H)</f>
        <v>55 55 0130 0130</v>
      </c>
      <c r="I328" s="48" t="str">
        <f t="array" ref="I328">XLOOKUP($D328,REGOLITOS!$A:$A,REGOLITOS!I:I)</f>
        <v>usuario130@ejemplo.com</v>
      </c>
      <c r="J328" s="48" t="str">
        <f t="array" ref="J328">XLOOKUP($D328,REGOLITOS!$A:$A,REGOLITOS!J:J)</f>
        <v/>
      </c>
      <c r="K328" s="48" t="str">
        <f t="array" ref="K328">XLOOKUP($D328,REGOLITOS!$A:$A,REGOLITOS!K:K)</f>
        <v>Adulto</v>
      </c>
      <c r="L328" s="76">
        <v>200.0</v>
      </c>
      <c r="M328" s="5" t="s">
        <v>1078</v>
      </c>
      <c r="N328" s="75"/>
      <c r="O328" s="75"/>
      <c r="P328" s="75"/>
      <c r="Q328" s="75"/>
      <c r="X328" s="71">
        <f t="shared" ref="X328:X353" si="4">(COUNTIF(M328:W328, "Asistió")+COUNTIF(M328:W328, "Asíncrono"))</f>
        <v>1</v>
      </c>
      <c r="Y328" s="5" t="b">
        <v>0</v>
      </c>
    </row>
    <row r="329">
      <c r="A329" s="31" t="s">
        <v>71</v>
      </c>
      <c r="B329" s="31">
        <f t="array" ref="B329">XLOOKUP(A329, CURSOS!A:A, CURSOS!B:B)</f>
        <v>18</v>
      </c>
      <c r="C329" s="31" t="str">
        <f t="array" ref="C329">XLOOKUP(A329, CURSOS!A:A, CURSOS!C:C)</f>
        <v>EL ROMPECABEZAS DEL CIELO</v>
      </c>
      <c r="D329" s="70" t="s">
        <v>174</v>
      </c>
      <c r="E329" s="48">
        <f t="array" ref="E329">XLOOKUP($D329,REGOLITOS!$A:$A,REGOLITOS!E:E)</f>
        <v>69</v>
      </c>
      <c r="F329" s="48" t="str">
        <f t="array" ref="F329">XLOOKUP($D329,REGOLITOS!$A:$A,REGOLITOS!F:F)</f>
        <v>Estudiante</v>
      </c>
      <c r="G329" s="48" t="str">
        <f t="array" ref="G329">XLOOKUP($D329,REGOLITOS!$A:$A,REGOLITOS!G:G)</f>
        <v>Ciudad de México</v>
      </c>
      <c r="H329" s="48" t="str">
        <f t="array" ref="H329">XLOOKUP($D329,REGOLITOS!$A:$A,REGOLITOS!H:H)</f>
        <v>55 55 0045 0045</v>
      </c>
      <c r="I329" s="48" t="str">
        <f t="array" ref="I329">XLOOKUP($D329,REGOLITOS!$A:$A,REGOLITOS!I:I)</f>
        <v>usuario45@ejemplo.com</v>
      </c>
      <c r="J329" s="48" t="str">
        <f t="array" ref="J329">XLOOKUP($D329,REGOLITOS!$A:$A,REGOLITOS!J:J)</f>
        <v/>
      </c>
      <c r="K329" s="48" t="str">
        <f t="array" ref="K329">XLOOKUP($D329,REGOLITOS!$A:$A,REGOLITOS!K:K)</f>
        <v>Adulto Mayor</v>
      </c>
      <c r="L329" s="76">
        <v>200.0</v>
      </c>
      <c r="M329" s="5" t="s">
        <v>1080</v>
      </c>
      <c r="N329" s="75"/>
      <c r="O329" s="75"/>
      <c r="P329" s="75"/>
      <c r="Q329" s="75"/>
      <c r="X329" s="71">
        <f t="shared" si="4"/>
        <v>0</v>
      </c>
      <c r="Y329" s="5" t="b">
        <v>0</v>
      </c>
    </row>
    <row r="330">
      <c r="A330" s="31" t="s">
        <v>71</v>
      </c>
      <c r="B330" s="31">
        <f t="array" ref="B330">XLOOKUP(A330, CURSOS!A:A, CURSOS!B:B)</f>
        <v>18</v>
      </c>
      <c r="C330" s="31" t="str">
        <f t="array" ref="C330">XLOOKUP(A330, CURSOS!A:A, CURSOS!C:C)</f>
        <v>EL ROMPECABEZAS DEL CIELO</v>
      </c>
      <c r="D330" s="70" t="s">
        <v>337</v>
      </c>
      <c r="E330" s="48">
        <f t="array" ref="E330">XLOOKUP($D330,REGOLITOS!$A:$A,REGOLITOS!E:E)</f>
        <v>49</v>
      </c>
      <c r="F330" s="48" t="str">
        <f t="array" ref="F330">XLOOKUP($D330,REGOLITOS!$A:$A,REGOLITOS!F:F)</f>
        <v>Médico radiólogo</v>
      </c>
      <c r="G330" s="48" t="str">
        <f t="array" ref="G330">XLOOKUP($D330,REGOLITOS!$A:$A,REGOLITOS!G:G)</f>
        <v>Campeche</v>
      </c>
      <c r="H330" s="48" t="str">
        <f t="array" ref="H330">XLOOKUP($D330,REGOLITOS!$A:$A,REGOLITOS!H:H)</f>
        <v>55 55 0158 0158</v>
      </c>
      <c r="I330" s="48" t="str">
        <f t="array" ref="I330">XLOOKUP($D330,REGOLITOS!$A:$A,REGOLITOS!I:I)</f>
        <v>usuario158@ejemplo.com</v>
      </c>
      <c r="J330" s="48" t="str">
        <f t="array" ref="J330">XLOOKUP($D330,REGOLITOS!$A:$A,REGOLITOS!J:J)</f>
        <v/>
      </c>
      <c r="K330" s="48" t="str">
        <f t="array" ref="K330">XLOOKUP($D330,REGOLITOS!$A:$A,REGOLITOS!K:K)</f>
        <v>Adulto</v>
      </c>
      <c r="L330" s="76">
        <v>200.0</v>
      </c>
      <c r="M330" s="5" t="s">
        <v>1078</v>
      </c>
      <c r="N330" s="75"/>
      <c r="O330" s="75"/>
      <c r="P330" s="75"/>
      <c r="Q330" s="75"/>
      <c r="X330" s="71">
        <f t="shared" si="4"/>
        <v>1</v>
      </c>
      <c r="Y330" s="5" t="b">
        <v>0</v>
      </c>
    </row>
    <row r="331">
      <c r="A331" s="31" t="s">
        <v>71</v>
      </c>
      <c r="B331" s="31">
        <f t="array" ref="B331">XLOOKUP(A331, CURSOS!A:A, CURSOS!B:B)</f>
        <v>18</v>
      </c>
      <c r="C331" s="31" t="str">
        <f t="array" ref="C331">XLOOKUP(A331, CURSOS!A:A, CURSOS!C:C)</f>
        <v>EL ROMPECABEZAS DEL CIELO</v>
      </c>
      <c r="D331" s="70" t="s">
        <v>380</v>
      </c>
      <c r="E331" s="48">
        <f t="array" ref="E331">XLOOKUP($D331,REGOLITOS!$A:$A,REGOLITOS!E:E)</f>
        <v>46</v>
      </c>
      <c r="F331" s="48" t="str">
        <f t="array" ref="F331">XLOOKUP($D331,REGOLITOS!$A:$A,REGOLITOS!F:F)</f>
        <v>Trabajar</v>
      </c>
      <c r="G331" s="48" t="str">
        <f t="array" ref="G331">XLOOKUP($D331,REGOLITOS!$A:$A,REGOLITOS!G:G)</f>
        <v>Baja California</v>
      </c>
      <c r="H331" s="48" t="str">
        <f t="array" ref="H331">XLOOKUP($D331,REGOLITOS!$A:$A,REGOLITOS!H:H)</f>
        <v>55 55 0189 0189</v>
      </c>
      <c r="I331" s="48" t="str">
        <f t="array" ref="I331">XLOOKUP($D331,REGOLITOS!$A:$A,REGOLITOS!I:I)</f>
        <v>usuario189@ejemplo.com</v>
      </c>
      <c r="J331" s="48" t="str">
        <f t="array" ref="J331">XLOOKUP($D331,REGOLITOS!$A:$A,REGOLITOS!J:J)</f>
        <v/>
      </c>
      <c r="K331" s="48" t="str">
        <f t="array" ref="K331">XLOOKUP($D331,REGOLITOS!$A:$A,REGOLITOS!K:K)</f>
        <v>Adulto</v>
      </c>
      <c r="L331" s="76">
        <v>200.0</v>
      </c>
      <c r="M331" s="5" t="s">
        <v>1080</v>
      </c>
      <c r="N331" s="75"/>
      <c r="O331" s="75"/>
      <c r="P331" s="75"/>
      <c r="Q331" s="75"/>
      <c r="X331" s="71">
        <f t="shared" si="4"/>
        <v>0</v>
      </c>
      <c r="Y331" s="5" t="b">
        <v>0</v>
      </c>
    </row>
    <row r="332">
      <c r="A332" s="31" t="s">
        <v>71</v>
      </c>
      <c r="B332" s="31">
        <f t="array" ref="B332">XLOOKUP(A332, CURSOS!A:A, CURSOS!B:B)</f>
        <v>18</v>
      </c>
      <c r="C332" s="31" t="str">
        <f t="array" ref="C332">XLOOKUP(A332, CURSOS!A:A, CURSOS!C:C)</f>
        <v>EL ROMPECABEZAS DEL CIELO</v>
      </c>
      <c r="D332" s="70" t="s">
        <v>382</v>
      </c>
      <c r="E332" s="48">
        <f t="array" ref="E332">XLOOKUP($D332,REGOLITOS!$A:$A,REGOLITOS!E:E)</f>
        <v>30</v>
      </c>
      <c r="F332" s="48" t="str">
        <f t="array" ref="F332">XLOOKUP($D332,REGOLITOS!$A:$A,REGOLITOS!F:F)</f>
        <v>Pensionado</v>
      </c>
      <c r="G332" s="48" t="str">
        <f t="array" ref="G332">XLOOKUP($D332,REGOLITOS!$A:$A,REGOLITOS!G:G)</f>
        <v>Estado de México</v>
      </c>
      <c r="H332" s="48" t="str">
        <f t="array" ref="H332">XLOOKUP($D332,REGOLITOS!$A:$A,REGOLITOS!H:H)</f>
        <v>55 55 0190 0190</v>
      </c>
      <c r="I332" s="48" t="str">
        <f t="array" ref="I332">XLOOKUP($D332,REGOLITOS!$A:$A,REGOLITOS!I:I)</f>
        <v>usuario190@ejemplo.com</v>
      </c>
      <c r="J332" s="48" t="str">
        <f t="array" ref="J332">XLOOKUP($D332,REGOLITOS!$A:$A,REGOLITOS!J:J)</f>
        <v/>
      </c>
      <c r="K332" s="48" t="str">
        <f t="array" ref="K332">XLOOKUP($D332,REGOLITOS!$A:$A,REGOLITOS!K:K)</f>
        <v>Adulto</v>
      </c>
      <c r="L332" s="76">
        <v>200.0</v>
      </c>
      <c r="M332" s="5" t="s">
        <v>1078</v>
      </c>
      <c r="N332" s="75"/>
      <c r="O332" s="75"/>
      <c r="P332" s="75"/>
      <c r="Q332" s="75"/>
      <c r="X332" s="71">
        <f t="shared" si="4"/>
        <v>1</v>
      </c>
      <c r="Y332" s="5" t="b">
        <v>0</v>
      </c>
    </row>
    <row r="333">
      <c r="A333" s="31" t="s">
        <v>71</v>
      </c>
      <c r="B333" s="31">
        <f t="array" ref="B333">XLOOKUP(A333, CURSOS!A:A, CURSOS!B:B)</f>
        <v>18</v>
      </c>
      <c r="C333" s="31" t="str">
        <f t="array" ref="C333">XLOOKUP(A333, CURSOS!A:A, CURSOS!C:C)</f>
        <v>EL ROMPECABEZAS DEL CIELO</v>
      </c>
      <c r="D333" s="70" t="s">
        <v>384</v>
      </c>
      <c r="E333" s="48">
        <f t="array" ref="E333">XLOOKUP($D333,REGOLITOS!$A:$A,REGOLITOS!E:E)</f>
        <v>40</v>
      </c>
      <c r="F333" s="48" t="str">
        <f t="array" ref="F333">XLOOKUP($D333,REGOLITOS!$A:$A,REGOLITOS!F:F)</f>
        <v>Abogada</v>
      </c>
      <c r="G333" s="48" t="str">
        <f t="array" ref="G333">XLOOKUP($D333,REGOLITOS!$A:$A,REGOLITOS!G:G)</f>
        <v>Ciudad de México</v>
      </c>
      <c r="H333" s="48" t="str">
        <f t="array" ref="H333">XLOOKUP($D333,REGOLITOS!$A:$A,REGOLITOS!H:H)</f>
        <v>55 55 0191 0191</v>
      </c>
      <c r="I333" s="48" t="str">
        <f t="array" ref="I333">XLOOKUP($D333,REGOLITOS!$A:$A,REGOLITOS!I:I)</f>
        <v>usuario191@ejemplo.com</v>
      </c>
      <c r="J333" s="48" t="str">
        <f t="array" ref="J333">XLOOKUP($D333,REGOLITOS!$A:$A,REGOLITOS!J:J)</f>
        <v/>
      </c>
      <c r="K333" s="48" t="str">
        <f t="array" ref="K333">XLOOKUP($D333,REGOLITOS!$A:$A,REGOLITOS!K:K)</f>
        <v>Adulto</v>
      </c>
      <c r="L333" s="76">
        <v>200.0</v>
      </c>
      <c r="M333" s="5" t="s">
        <v>1078</v>
      </c>
      <c r="N333" s="75"/>
      <c r="O333" s="75"/>
      <c r="P333" s="75"/>
      <c r="Q333" s="75"/>
      <c r="X333" s="71">
        <f t="shared" si="4"/>
        <v>1</v>
      </c>
      <c r="Y333" s="5" t="b">
        <v>0</v>
      </c>
    </row>
    <row r="334">
      <c r="A334" s="31" t="s">
        <v>71</v>
      </c>
      <c r="B334" s="31">
        <f t="array" ref="B334">XLOOKUP(A334, CURSOS!A:A, CURSOS!B:B)</f>
        <v>18</v>
      </c>
      <c r="C334" s="31" t="str">
        <f t="array" ref="C334">XLOOKUP(A334, CURSOS!A:A, CURSOS!C:C)</f>
        <v>EL ROMPECABEZAS DEL CIELO</v>
      </c>
      <c r="D334" s="70" t="s">
        <v>386</v>
      </c>
      <c r="E334" s="48">
        <f t="array" ref="E334">XLOOKUP($D334,REGOLITOS!$A:$A,REGOLITOS!E:E)</f>
        <v>90</v>
      </c>
      <c r="F334" s="48" t="str">
        <f t="array" ref="F334">XLOOKUP($D334,REGOLITOS!$A:$A,REGOLITOS!F:F)</f>
        <v>Estudiante</v>
      </c>
      <c r="G334" s="48" t="str">
        <f t="array" ref="G334">XLOOKUP($D334,REGOLITOS!$A:$A,REGOLITOS!G:G)</f>
        <v>Ciudad de México</v>
      </c>
      <c r="H334" s="48" t="str">
        <f t="array" ref="H334">XLOOKUP($D334,REGOLITOS!$A:$A,REGOLITOS!H:H)</f>
        <v>55 55 0192 0192</v>
      </c>
      <c r="I334" s="48" t="str">
        <f t="array" ref="I334">XLOOKUP($D334,REGOLITOS!$A:$A,REGOLITOS!I:I)</f>
        <v>usuario192@ejemplo.com</v>
      </c>
      <c r="J334" s="48" t="str">
        <f t="array" ref="J334">XLOOKUP($D334,REGOLITOS!$A:$A,REGOLITOS!J:J)</f>
        <v/>
      </c>
      <c r="K334" s="48" t="str">
        <f t="array" ref="K334">XLOOKUP($D334,REGOLITOS!$A:$A,REGOLITOS!K:K)</f>
        <v>Adulto Mayor</v>
      </c>
      <c r="L334" s="76">
        <v>200.0</v>
      </c>
      <c r="M334" s="5" t="s">
        <v>1078</v>
      </c>
      <c r="N334" s="75"/>
      <c r="O334" s="75"/>
      <c r="P334" s="75"/>
      <c r="Q334" s="75"/>
      <c r="X334" s="71">
        <f t="shared" si="4"/>
        <v>1</v>
      </c>
      <c r="Y334" s="5" t="b">
        <v>0</v>
      </c>
    </row>
    <row r="335">
      <c r="A335" s="31" t="s">
        <v>71</v>
      </c>
      <c r="B335" s="31">
        <f t="array" ref="B335">XLOOKUP(A335, CURSOS!A:A, CURSOS!B:B)</f>
        <v>18</v>
      </c>
      <c r="C335" s="31" t="str">
        <f t="array" ref="C335">XLOOKUP(A335, CURSOS!A:A, CURSOS!C:C)</f>
        <v>EL ROMPECABEZAS DEL CIELO</v>
      </c>
      <c r="D335" s="70" t="s">
        <v>387</v>
      </c>
      <c r="E335" s="48">
        <f t="array" ref="E335">XLOOKUP($D335,REGOLITOS!$A:$A,REGOLITOS!E:E)</f>
        <v>71</v>
      </c>
      <c r="F335" s="48" t="str">
        <f t="array" ref="F335">XLOOKUP($D335,REGOLITOS!$A:$A,REGOLITOS!F:F)</f>
        <v>Empleado</v>
      </c>
      <c r="G335" s="48" t="str">
        <f t="array" ref="G335">XLOOKUP($D335,REGOLITOS!$A:$A,REGOLITOS!G:G)</f>
        <v>Ciudad de México</v>
      </c>
      <c r="H335" s="48" t="str">
        <f t="array" ref="H335">XLOOKUP($D335,REGOLITOS!$A:$A,REGOLITOS!H:H)</f>
        <v>55 55 0193 0193</v>
      </c>
      <c r="I335" s="48" t="str">
        <f t="array" ref="I335">XLOOKUP($D335,REGOLITOS!$A:$A,REGOLITOS!I:I)</f>
        <v>usuario193@ejemplo.com</v>
      </c>
      <c r="J335" s="48" t="str">
        <f t="array" ref="J335">XLOOKUP($D335,REGOLITOS!$A:$A,REGOLITOS!J:J)</f>
        <v/>
      </c>
      <c r="K335" s="48" t="str">
        <f t="array" ref="K335">XLOOKUP($D335,REGOLITOS!$A:$A,REGOLITOS!K:K)</f>
        <v>Adulto Mayor</v>
      </c>
      <c r="L335" s="76">
        <v>200.0</v>
      </c>
      <c r="M335" s="5" t="s">
        <v>1078</v>
      </c>
      <c r="N335" s="75"/>
      <c r="O335" s="75"/>
      <c r="P335" s="75"/>
      <c r="Q335" s="75"/>
      <c r="X335" s="71">
        <f t="shared" si="4"/>
        <v>1</v>
      </c>
      <c r="Y335" s="5" t="b">
        <v>0</v>
      </c>
    </row>
    <row r="336">
      <c r="A336" s="31" t="s">
        <v>71</v>
      </c>
      <c r="B336" s="31">
        <f t="array" ref="B336">XLOOKUP(A336, CURSOS!A:A, CURSOS!B:B)</f>
        <v>18</v>
      </c>
      <c r="C336" s="31" t="str">
        <f t="array" ref="C336">XLOOKUP(A336, CURSOS!A:A, CURSOS!C:C)</f>
        <v>EL ROMPECABEZAS DEL CIELO</v>
      </c>
      <c r="D336" s="70" t="s">
        <v>388</v>
      </c>
      <c r="E336" s="48">
        <f t="array" ref="E336">XLOOKUP($D336,REGOLITOS!$A:$A,REGOLITOS!E:E)</f>
        <v>48</v>
      </c>
      <c r="F336" s="48" t="str">
        <f t="array" ref="F336">XLOOKUP($D336,REGOLITOS!$A:$A,REGOLITOS!F:F)</f>
        <v>Estudiante</v>
      </c>
      <c r="G336" s="48" t="str">
        <f t="array" ref="G336">XLOOKUP($D336,REGOLITOS!$A:$A,REGOLITOS!G:G)</f>
        <v>Tlaxcala</v>
      </c>
      <c r="H336" s="48" t="str">
        <f t="array" ref="H336">XLOOKUP($D336,REGOLITOS!$A:$A,REGOLITOS!H:H)</f>
        <v>55 55 0194 0194</v>
      </c>
      <c r="I336" s="48" t="str">
        <f t="array" ref="I336">XLOOKUP($D336,REGOLITOS!$A:$A,REGOLITOS!I:I)</f>
        <v>usuario194@ejemplo.com</v>
      </c>
      <c r="J336" s="48" t="str">
        <f t="array" ref="J336">XLOOKUP($D336,REGOLITOS!$A:$A,REGOLITOS!J:J)</f>
        <v/>
      </c>
      <c r="K336" s="48" t="str">
        <f t="array" ref="K336">XLOOKUP($D336,REGOLITOS!$A:$A,REGOLITOS!K:K)</f>
        <v>Adulto</v>
      </c>
      <c r="L336" s="76">
        <v>200.0</v>
      </c>
      <c r="M336" s="5" t="s">
        <v>1078</v>
      </c>
      <c r="N336" s="75"/>
      <c r="O336" s="75"/>
      <c r="P336" s="75"/>
      <c r="Q336" s="75"/>
      <c r="X336" s="71">
        <f t="shared" si="4"/>
        <v>1</v>
      </c>
      <c r="Y336" s="5" t="b">
        <v>0</v>
      </c>
    </row>
    <row r="337">
      <c r="A337" s="31" t="s">
        <v>71</v>
      </c>
      <c r="B337" s="31">
        <f t="array" ref="B337">XLOOKUP(A337, CURSOS!A:A, CURSOS!B:B)</f>
        <v>18</v>
      </c>
      <c r="C337" s="31" t="str">
        <f t="array" ref="C337">XLOOKUP(A337, CURSOS!A:A, CURSOS!C:C)</f>
        <v>EL ROMPECABEZAS DEL CIELO</v>
      </c>
      <c r="D337" s="70" t="s">
        <v>393</v>
      </c>
      <c r="E337" s="48">
        <f t="array" ref="E337">XLOOKUP($D337,REGOLITOS!$A:$A,REGOLITOS!E:E)</f>
        <v>95</v>
      </c>
      <c r="F337" s="48" t="str">
        <f t="array" ref="F337">XLOOKUP($D337,REGOLITOS!$A:$A,REGOLITOS!F:F)</f>
        <v>Jugador de pádel</v>
      </c>
      <c r="G337" s="48" t="str">
        <f t="array" ref="G337">XLOOKUP($D337,REGOLITOS!$A:$A,REGOLITOS!G:G)</f>
        <v>Chihuahua</v>
      </c>
      <c r="H337" s="48" t="str">
        <f t="array" ref="H337">XLOOKUP($D337,REGOLITOS!$A:$A,REGOLITOS!H:H)</f>
        <v>55 55 0198 0198</v>
      </c>
      <c r="I337" s="48" t="str">
        <f t="array" ref="I337">XLOOKUP($D337,REGOLITOS!$A:$A,REGOLITOS!I:I)</f>
        <v>usuario198@ejemplo.com</v>
      </c>
      <c r="J337" s="48" t="str">
        <f t="array" ref="J337">XLOOKUP($D337,REGOLITOS!$A:$A,REGOLITOS!J:J)</f>
        <v/>
      </c>
      <c r="K337" s="48" t="str">
        <f t="array" ref="K337">XLOOKUP($D337,REGOLITOS!$A:$A,REGOLITOS!K:K)</f>
        <v>Adulto Mayor</v>
      </c>
      <c r="L337" s="76">
        <v>200.0</v>
      </c>
      <c r="M337" s="5" t="s">
        <v>1080</v>
      </c>
      <c r="N337" s="75"/>
      <c r="O337" s="75"/>
      <c r="P337" s="75"/>
      <c r="Q337" s="75"/>
      <c r="X337" s="71">
        <f t="shared" si="4"/>
        <v>0</v>
      </c>
      <c r="Y337" s="5" t="b">
        <v>0</v>
      </c>
    </row>
    <row r="338">
      <c r="A338" s="31" t="s">
        <v>71</v>
      </c>
      <c r="B338" s="31">
        <f t="array" ref="B338">XLOOKUP(A338, CURSOS!A:A, CURSOS!B:B)</f>
        <v>18</v>
      </c>
      <c r="C338" s="31" t="str">
        <f t="array" ref="C338">XLOOKUP(A338, CURSOS!A:A, CURSOS!C:C)</f>
        <v>EL ROMPECABEZAS DEL CIELO</v>
      </c>
      <c r="D338" s="70" t="s">
        <v>396</v>
      </c>
      <c r="E338" s="48">
        <f t="array" ref="E338">XLOOKUP($D338,REGOLITOS!$A:$A,REGOLITOS!E:E)</f>
        <v>92</v>
      </c>
      <c r="F338" s="48" t="str">
        <f t="array" ref="F338">XLOOKUP($D338,REGOLITOS!$A:$A,REGOLITOS!F:F)</f>
        <v>Estudiante en casa</v>
      </c>
      <c r="G338" s="48" t="str">
        <f t="array" ref="G338">XLOOKUP($D338,REGOLITOS!$A:$A,REGOLITOS!G:G)</f>
        <v>Querétaro</v>
      </c>
      <c r="H338" s="48" t="str">
        <f t="array" ref="H338">XLOOKUP($D338,REGOLITOS!$A:$A,REGOLITOS!H:H)</f>
        <v>55 55 0199 0199</v>
      </c>
      <c r="I338" s="48" t="str">
        <f t="array" ref="I338">XLOOKUP($D338,REGOLITOS!$A:$A,REGOLITOS!I:I)</f>
        <v>usuario199@ejemplo.com</v>
      </c>
      <c r="J338" s="48" t="str">
        <f t="array" ref="J338">XLOOKUP($D338,REGOLITOS!$A:$A,REGOLITOS!J:J)</f>
        <v/>
      </c>
      <c r="K338" s="48" t="str">
        <f t="array" ref="K338">XLOOKUP($D338,REGOLITOS!$A:$A,REGOLITOS!K:K)</f>
        <v>Adulto Mayor</v>
      </c>
      <c r="L338" s="76">
        <v>200.0</v>
      </c>
      <c r="M338" s="5" t="s">
        <v>1080</v>
      </c>
      <c r="N338" s="75"/>
      <c r="O338" s="75"/>
      <c r="P338" s="75"/>
      <c r="Q338" s="75"/>
      <c r="X338" s="71">
        <f t="shared" si="4"/>
        <v>0</v>
      </c>
      <c r="Y338" s="5" t="b">
        <v>0</v>
      </c>
    </row>
    <row r="339">
      <c r="A339" s="31" t="s">
        <v>71</v>
      </c>
      <c r="B339" s="31">
        <f t="array" ref="B339">XLOOKUP(A339, CURSOS!A:A, CURSOS!B:B)</f>
        <v>18</v>
      </c>
      <c r="C339" s="31" t="str">
        <f t="array" ref="C339">XLOOKUP(A339, CURSOS!A:A, CURSOS!C:C)</f>
        <v>EL ROMPECABEZAS DEL CIELO</v>
      </c>
      <c r="D339" s="70" t="s">
        <v>398</v>
      </c>
      <c r="E339" s="48">
        <f t="array" ref="E339">XLOOKUP($D339,REGOLITOS!$A:$A,REGOLITOS!E:E)</f>
        <v>79</v>
      </c>
      <c r="F339" s="48" t="str">
        <f t="array" ref="F339">XLOOKUP($D339,REGOLITOS!$A:$A,REGOLITOS!F:F)</f>
        <v>Ingeniero IT</v>
      </c>
      <c r="G339" s="48" t="str">
        <f t="array" ref="G339">XLOOKUP($D339,REGOLITOS!$A:$A,REGOLITOS!G:G)</f>
        <v>Ciudad de México</v>
      </c>
      <c r="H339" s="48" t="str">
        <f t="array" ref="H339">XLOOKUP($D339,REGOLITOS!$A:$A,REGOLITOS!H:H)</f>
        <v>55 55 0200 0200</v>
      </c>
      <c r="I339" s="48" t="str">
        <f t="array" ref="I339">XLOOKUP($D339,REGOLITOS!$A:$A,REGOLITOS!I:I)</f>
        <v>usuario200@ejemplo.com</v>
      </c>
      <c r="J339" s="48" t="str">
        <f t="array" ref="J339">XLOOKUP($D339,REGOLITOS!$A:$A,REGOLITOS!J:J)</f>
        <v/>
      </c>
      <c r="K339" s="48" t="str">
        <f t="array" ref="K339">XLOOKUP($D339,REGOLITOS!$A:$A,REGOLITOS!K:K)</f>
        <v>Adulto Mayor</v>
      </c>
      <c r="L339" s="76">
        <v>200.0</v>
      </c>
      <c r="M339" s="5" t="s">
        <v>1080</v>
      </c>
      <c r="N339" s="75"/>
      <c r="O339" s="75"/>
      <c r="P339" s="75"/>
      <c r="Q339" s="75"/>
      <c r="X339" s="71">
        <f t="shared" si="4"/>
        <v>0</v>
      </c>
      <c r="Y339" s="5" t="b">
        <v>0</v>
      </c>
    </row>
    <row r="340">
      <c r="A340" s="31" t="s">
        <v>71</v>
      </c>
      <c r="B340" s="31">
        <f t="array" ref="B340">XLOOKUP(A340, CURSOS!A:A, CURSOS!B:B)</f>
        <v>18</v>
      </c>
      <c r="C340" s="31" t="str">
        <f t="array" ref="C340">XLOOKUP(A340, CURSOS!A:A, CURSOS!C:C)</f>
        <v>EL ROMPECABEZAS DEL CIELO</v>
      </c>
      <c r="D340" s="70" t="s">
        <v>400</v>
      </c>
      <c r="E340" s="48">
        <f t="array" ref="E340">XLOOKUP($D340,REGOLITOS!$A:$A,REGOLITOS!E:E)</f>
        <v>46</v>
      </c>
      <c r="F340" s="48" t="str">
        <f t="array" ref="F340">XLOOKUP($D340,REGOLITOS!$A:$A,REGOLITOS!F:F)</f>
        <v>Estudiante</v>
      </c>
      <c r="G340" s="48" t="str">
        <f t="array" ref="G340">XLOOKUP($D340,REGOLITOS!$A:$A,REGOLITOS!G:G)</f>
        <v>Guerrero</v>
      </c>
      <c r="H340" s="48" t="str">
        <f t="array" ref="H340">XLOOKUP($D340,REGOLITOS!$A:$A,REGOLITOS!H:H)</f>
        <v>55 55 0201 0201</v>
      </c>
      <c r="I340" s="48" t="str">
        <f t="array" ref="I340">XLOOKUP($D340,REGOLITOS!$A:$A,REGOLITOS!I:I)</f>
        <v>usuario201@ejemplo.com</v>
      </c>
      <c r="J340" s="48" t="str">
        <f t="array" ref="J340">XLOOKUP($D340,REGOLITOS!$A:$A,REGOLITOS!J:J)</f>
        <v/>
      </c>
      <c r="K340" s="48" t="str">
        <f t="array" ref="K340">XLOOKUP($D340,REGOLITOS!$A:$A,REGOLITOS!K:K)</f>
        <v>Adulto</v>
      </c>
      <c r="L340" s="76">
        <v>200.0</v>
      </c>
      <c r="M340" s="5" t="s">
        <v>1078</v>
      </c>
      <c r="N340" s="75"/>
      <c r="O340" s="75"/>
      <c r="P340" s="75"/>
      <c r="Q340" s="75"/>
      <c r="X340" s="71">
        <f t="shared" si="4"/>
        <v>1</v>
      </c>
      <c r="Y340" s="5" t="b">
        <v>0</v>
      </c>
    </row>
    <row r="341">
      <c r="A341" s="31" t="s">
        <v>71</v>
      </c>
      <c r="B341" s="31">
        <f t="array" ref="B341">XLOOKUP(A341, CURSOS!A:A, CURSOS!B:B)</f>
        <v>18</v>
      </c>
      <c r="C341" s="31" t="str">
        <f t="array" ref="C341">XLOOKUP(A341, CURSOS!A:A, CURSOS!C:C)</f>
        <v>EL ROMPECABEZAS DEL CIELO</v>
      </c>
      <c r="D341" s="70" t="s">
        <v>401</v>
      </c>
      <c r="E341" s="48">
        <f t="array" ref="E341">XLOOKUP($D341,REGOLITOS!$A:$A,REGOLITOS!E:E)</f>
        <v>14</v>
      </c>
      <c r="F341" s="48" t="str">
        <f t="array" ref="F341">XLOOKUP($D341,REGOLITOS!$A:$A,REGOLITOS!F:F)</f>
        <v>Ingeniero forestal</v>
      </c>
      <c r="G341" s="48" t="str">
        <f t="array" ref="G341">XLOOKUP($D341,REGOLITOS!$A:$A,REGOLITOS!G:G)</f>
        <v>Oaxaca</v>
      </c>
      <c r="H341" s="48" t="str">
        <f t="array" ref="H341">XLOOKUP($D341,REGOLITOS!$A:$A,REGOLITOS!H:H)</f>
        <v>55 55 0202 0202</v>
      </c>
      <c r="I341" s="48" t="str">
        <f t="array" ref="I341">XLOOKUP($D341,REGOLITOS!$A:$A,REGOLITOS!I:I)</f>
        <v>usuario202@ejemplo.com</v>
      </c>
      <c r="J341" s="48" t="str">
        <f t="array" ref="J341">XLOOKUP($D341,REGOLITOS!$A:$A,REGOLITOS!J:J)</f>
        <v>Tutor_202</v>
      </c>
      <c r="K341" s="48" t="str">
        <f t="array" ref="K341">XLOOKUP($D341,REGOLITOS!$A:$A,REGOLITOS!K:K)</f>
        <v>Adolescente</v>
      </c>
      <c r="L341" s="76">
        <v>200.0</v>
      </c>
      <c r="M341" s="5" t="s">
        <v>1081</v>
      </c>
      <c r="N341" s="75"/>
      <c r="O341" s="75"/>
      <c r="P341" s="75"/>
      <c r="Q341" s="75"/>
      <c r="X341" s="71">
        <f t="shared" si="4"/>
        <v>1</v>
      </c>
      <c r="Y341" s="5" t="b">
        <v>0</v>
      </c>
    </row>
    <row r="342">
      <c r="A342" s="31" t="s">
        <v>71</v>
      </c>
      <c r="B342" s="31">
        <f t="array" ref="B342">XLOOKUP(A342, CURSOS!A:A, CURSOS!B:B)</f>
        <v>18</v>
      </c>
      <c r="C342" s="31" t="str">
        <f t="array" ref="C342">XLOOKUP(A342, CURSOS!A:A, CURSOS!C:C)</f>
        <v>EL ROMPECABEZAS DEL CIELO</v>
      </c>
      <c r="D342" s="70" t="s">
        <v>290</v>
      </c>
      <c r="E342" s="48">
        <f t="array" ref="E342">XLOOKUP($D342,REGOLITOS!$A:$A,REGOLITOS!E:E)</f>
        <v>76</v>
      </c>
      <c r="F342" s="48" t="str">
        <f t="array" ref="F342">XLOOKUP($D342,REGOLITOS!$A:$A,REGOLITOS!F:F)</f>
        <v>Empleada</v>
      </c>
      <c r="G342" s="48" t="str">
        <f t="array" ref="G342">XLOOKUP($D342,REGOLITOS!$A:$A,REGOLITOS!G:G)</f>
        <v>Nuevo León</v>
      </c>
      <c r="H342" s="48" t="str">
        <f t="array" ref="H342">XLOOKUP($D342,REGOLITOS!$A:$A,REGOLITOS!H:H)</f>
        <v>55 55 0127 0127</v>
      </c>
      <c r="I342" s="48" t="str">
        <f t="array" ref="I342">XLOOKUP($D342,REGOLITOS!$A:$A,REGOLITOS!I:I)</f>
        <v>usuario127@ejemplo.com</v>
      </c>
      <c r="J342" s="48" t="str">
        <f t="array" ref="J342">XLOOKUP($D342,REGOLITOS!$A:$A,REGOLITOS!J:J)</f>
        <v/>
      </c>
      <c r="K342" s="48" t="str">
        <f t="array" ref="K342">XLOOKUP($D342,REGOLITOS!$A:$A,REGOLITOS!K:K)</f>
        <v>Adulto Mayor</v>
      </c>
      <c r="L342" s="76">
        <v>160.0</v>
      </c>
      <c r="M342" s="5" t="s">
        <v>1078</v>
      </c>
      <c r="N342" s="75"/>
      <c r="O342" s="75"/>
      <c r="P342" s="75"/>
      <c r="Q342" s="75"/>
      <c r="X342" s="71">
        <f t="shared" si="4"/>
        <v>1</v>
      </c>
      <c r="Y342" s="5" t="b">
        <v>0</v>
      </c>
    </row>
    <row r="343">
      <c r="A343" s="31" t="s">
        <v>71</v>
      </c>
      <c r="B343" s="31">
        <f t="array" ref="B343">XLOOKUP(A343, CURSOS!A:A, CURSOS!B:B)</f>
        <v>18</v>
      </c>
      <c r="C343" s="31" t="str">
        <f t="array" ref="C343">XLOOKUP(A343, CURSOS!A:A, CURSOS!C:C)</f>
        <v>EL ROMPECABEZAS DEL CIELO</v>
      </c>
      <c r="D343" s="70" t="s">
        <v>355</v>
      </c>
      <c r="E343" s="48">
        <f t="array" ref="E343">XLOOKUP($D343,REGOLITOS!$A:$A,REGOLITOS!E:E)</f>
        <v>45</v>
      </c>
      <c r="F343" s="48" t="str">
        <f t="array" ref="F343">XLOOKUP($D343,REGOLITOS!$A:$A,REGOLITOS!F:F)</f>
        <v>Estudiante</v>
      </c>
      <c r="G343" s="48" t="str">
        <f t="array" ref="G343">XLOOKUP($D343,REGOLITOS!$A:$A,REGOLITOS!G:G)</f>
        <v>Estado de México</v>
      </c>
      <c r="H343" s="48" t="str">
        <f t="array" ref="H343">XLOOKUP($D343,REGOLITOS!$A:$A,REGOLITOS!H:H)</f>
        <v>55 55 0170 0170</v>
      </c>
      <c r="I343" s="48" t="str">
        <f t="array" ref="I343">XLOOKUP($D343,REGOLITOS!$A:$A,REGOLITOS!I:I)</f>
        <v>usuario170@ejemplo.com</v>
      </c>
      <c r="J343" s="48" t="str">
        <f t="array" ref="J343">XLOOKUP($D343,REGOLITOS!$A:$A,REGOLITOS!J:J)</f>
        <v/>
      </c>
      <c r="K343" s="48" t="str">
        <f t="array" ref="K343">XLOOKUP($D343,REGOLITOS!$A:$A,REGOLITOS!K:K)</f>
        <v>Adulto</v>
      </c>
      <c r="L343" s="76">
        <v>200.0</v>
      </c>
      <c r="M343" s="5" t="s">
        <v>1078</v>
      </c>
      <c r="N343" s="75"/>
      <c r="O343" s="75"/>
      <c r="P343" s="75"/>
      <c r="Q343" s="75"/>
      <c r="X343" s="71">
        <f t="shared" si="4"/>
        <v>1</v>
      </c>
      <c r="Y343" s="5" t="b">
        <v>0</v>
      </c>
    </row>
    <row r="344">
      <c r="A344" s="31" t="s">
        <v>71</v>
      </c>
      <c r="B344" s="31">
        <f t="array" ref="B344">XLOOKUP(A344, CURSOS!A:A, CURSOS!B:B)</f>
        <v>18</v>
      </c>
      <c r="C344" s="31" t="str">
        <f t="array" ref="C344">XLOOKUP(A344, CURSOS!A:A, CURSOS!C:C)</f>
        <v>EL ROMPECABEZAS DEL CIELO</v>
      </c>
      <c r="D344" s="70" t="s">
        <v>172</v>
      </c>
      <c r="E344" s="48">
        <f t="array" ref="E344">XLOOKUP($D344,REGOLITOS!$A:$A,REGOLITOS!E:E)</f>
        <v>51</v>
      </c>
      <c r="F344" s="48" t="str">
        <f t="array" ref="F344">XLOOKUP($D344,REGOLITOS!$A:$A,REGOLITOS!F:F)</f>
        <v>Odontóloga</v>
      </c>
      <c r="G344" s="48" t="str">
        <f t="array" ref="G344">XLOOKUP($D344,REGOLITOS!$A:$A,REGOLITOS!G:G)</f>
        <v>Estado de México</v>
      </c>
      <c r="H344" s="48" t="str">
        <f t="array" ref="H344">XLOOKUP($D344,REGOLITOS!$A:$A,REGOLITOS!H:H)</f>
        <v>55 55 0044 0044</v>
      </c>
      <c r="I344" s="48" t="str">
        <f t="array" ref="I344">XLOOKUP($D344,REGOLITOS!$A:$A,REGOLITOS!I:I)</f>
        <v>usuario44@ejemplo.com</v>
      </c>
      <c r="J344" s="48" t="str">
        <f t="array" ref="J344">XLOOKUP($D344,REGOLITOS!$A:$A,REGOLITOS!J:J)</f>
        <v/>
      </c>
      <c r="K344" s="48" t="str">
        <f t="array" ref="K344">XLOOKUP($D344,REGOLITOS!$A:$A,REGOLITOS!K:K)</f>
        <v>Adulto</v>
      </c>
      <c r="L344" s="76" t="s">
        <v>1086</v>
      </c>
      <c r="M344" s="5" t="s">
        <v>1078</v>
      </c>
      <c r="N344" s="75"/>
      <c r="O344" s="75"/>
      <c r="P344" s="75"/>
      <c r="Q344" s="75"/>
      <c r="X344" s="71">
        <f t="shared" si="4"/>
        <v>1</v>
      </c>
      <c r="Y344" s="5" t="b">
        <v>0</v>
      </c>
    </row>
    <row r="345">
      <c r="A345" s="31" t="s">
        <v>71</v>
      </c>
      <c r="B345" s="31">
        <f t="array" ref="B345">XLOOKUP(A345, CURSOS!A:A, CURSOS!B:B)</f>
        <v>18</v>
      </c>
      <c r="C345" s="31" t="str">
        <f t="array" ref="C345">XLOOKUP(A345, CURSOS!A:A, CURSOS!C:C)</f>
        <v>EL ROMPECABEZAS DEL CIELO</v>
      </c>
      <c r="D345" s="70" t="s">
        <v>407</v>
      </c>
      <c r="E345" s="48">
        <f t="array" ref="E345">XLOOKUP($D345,REGOLITOS!$A:$A,REGOLITOS!E:E)</f>
        <v>78</v>
      </c>
      <c r="F345" s="48" t="str">
        <f t="array" ref="F345">XLOOKUP($D345,REGOLITOS!$A:$A,REGOLITOS!F:F)</f>
        <v>Estudiante</v>
      </c>
      <c r="G345" s="48" t="str">
        <f t="array" ref="G345">XLOOKUP($D345,REGOLITOS!$A:$A,REGOLITOS!G:G)</f>
        <v>Ciudad de México</v>
      </c>
      <c r="H345" s="48" t="str">
        <f t="array" ref="H345">XLOOKUP($D345,REGOLITOS!$A:$A,REGOLITOS!H:H)</f>
        <v>55 55 0205 0205</v>
      </c>
      <c r="I345" s="48" t="str">
        <f t="array" ref="I345">XLOOKUP($D345,REGOLITOS!$A:$A,REGOLITOS!I:I)</f>
        <v>usuario205@ejemplo.com</v>
      </c>
      <c r="J345" s="48" t="str">
        <f t="array" ref="J345">XLOOKUP($D345,REGOLITOS!$A:$A,REGOLITOS!J:J)</f>
        <v/>
      </c>
      <c r="K345" s="48" t="str">
        <f t="array" ref="K345">XLOOKUP($D345,REGOLITOS!$A:$A,REGOLITOS!K:K)</f>
        <v>Adulto Mayor</v>
      </c>
      <c r="L345" s="76">
        <v>200.0</v>
      </c>
      <c r="M345" s="5" t="s">
        <v>1078</v>
      </c>
      <c r="N345" s="75"/>
      <c r="O345" s="75"/>
      <c r="P345" s="75"/>
      <c r="Q345" s="75"/>
      <c r="X345" s="71">
        <f t="shared" si="4"/>
        <v>1</v>
      </c>
      <c r="Y345" s="5" t="b">
        <v>0</v>
      </c>
    </row>
    <row r="346">
      <c r="A346" s="31" t="s">
        <v>71</v>
      </c>
      <c r="B346" s="31">
        <f t="array" ref="B346">XLOOKUP(A346, CURSOS!A:A, CURSOS!B:B)</f>
        <v>18</v>
      </c>
      <c r="C346" s="31" t="str">
        <f t="array" ref="C346">XLOOKUP(A346, CURSOS!A:A, CURSOS!C:C)</f>
        <v>EL ROMPECABEZAS DEL CIELO</v>
      </c>
      <c r="D346" s="70" t="s">
        <v>147</v>
      </c>
      <c r="E346" s="48">
        <f t="array" ref="E346">XLOOKUP($D346,REGOLITOS!$A:$A,REGOLITOS!E:E)</f>
        <v>15</v>
      </c>
      <c r="F346" s="48" t="str">
        <f t="array" ref="F346">XLOOKUP($D346,REGOLITOS!$A:$A,REGOLITOS!F:F)</f>
        <v>Ingeniería Civil</v>
      </c>
      <c r="G346" s="48" t="str">
        <f t="array" ref="G346">XLOOKUP($D346,REGOLITOS!$A:$A,REGOLITOS!G:G)</f>
        <v>Ciudad de México</v>
      </c>
      <c r="H346" s="48" t="str">
        <f t="array" ref="H346">XLOOKUP($D346,REGOLITOS!$A:$A,REGOLITOS!H:H)</f>
        <v>55 55 0028 0028</v>
      </c>
      <c r="I346" s="48" t="str">
        <f t="array" ref="I346">XLOOKUP($D346,REGOLITOS!$A:$A,REGOLITOS!I:I)</f>
        <v>usuario28@ejemplo.com</v>
      </c>
      <c r="J346" s="48" t="str">
        <f t="array" ref="J346">XLOOKUP($D346,REGOLITOS!$A:$A,REGOLITOS!J:J)</f>
        <v>Tutor_028</v>
      </c>
      <c r="K346" s="48" t="str">
        <f t="array" ref="K346">XLOOKUP($D346,REGOLITOS!$A:$A,REGOLITOS!K:K)</f>
        <v>Adolescente</v>
      </c>
      <c r="L346" s="76">
        <v>160.0</v>
      </c>
      <c r="M346" s="5" t="s">
        <v>1078</v>
      </c>
      <c r="N346" s="75"/>
      <c r="O346" s="75"/>
      <c r="P346" s="75"/>
      <c r="Q346" s="75"/>
      <c r="X346" s="71">
        <f t="shared" si="4"/>
        <v>1</v>
      </c>
      <c r="Y346" s="5" t="b">
        <v>0</v>
      </c>
    </row>
    <row r="347">
      <c r="A347" s="31" t="s">
        <v>71</v>
      </c>
      <c r="B347" s="31">
        <f t="array" ref="B347">XLOOKUP(A347, CURSOS!A:A, CURSOS!B:B)</f>
        <v>18</v>
      </c>
      <c r="C347" s="31" t="str">
        <f t="array" ref="C347">XLOOKUP(A347, CURSOS!A:A, CURSOS!C:C)</f>
        <v>EL ROMPECABEZAS DEL CIELO</v>
      </c>
      <c r="D347" s="70" t="s">
        <v>263</v>
      </c>
      <c r="E347" s="48">
        <f t="array" ref="E347">XLOOKUP($D347,REGOLITOS!$A:$A,REGOLITOS!E:E)</f>
        <v>18</v>
      </c>
      <c r="F347" s="48" t="str">
        <f t="array" ref="F347">XLOOKUP($D347,REGOLITOS!$A:$A,REGOLITOS!F:F)</f>
        <v>Administación</v>
      </c>
      <c r="G347" s="48" t="str">
        <f t="array" ref="G347">XLOOKUP($D347,REGOLITOS!$A:$A,REGOLITOS!G:G)</f>
        <v>Ciudad de México</v>
      </c>
      <c r="H347" s="48" t="str">
        <f t="array" ref="H347">XLOOKUP($D347,REGOLITOS!$A:$A,REGOLITOS!H:H)</f>
        <v>55 55 0106 0106</v>
      </c>
      <c r="I347" s="48" t="str">
        <f t="array" ref="I347">XLOOKUP($D347,REGOLITOS!$A:$A,REGOLITOS!I:I)</f>
        <v>usuario106@ejemplo.com</v>
      </c>
      <c r="J347" s="48" t="str">
        <f t="array" ref="J347">XLOOKUP($D347,REGOLITOS!$A:$A,REGOLITOS!J:J)</f>
        <v>Tutor_106</v>
      </c>
      <c r="K347" s="48" t="str">
        <f t="array" ref="K347">XLOOKUP($D347,REGOLITOS!$A:$A,REGOLITOS!K:K)</f>
        <v>Jóven adulto</v>
      </c>
      <c r="L347" s="76">
        <v>160.0</v>
      </c>
      <c r="M347" s="5" t="s">
        <v>1078</v>
      </c>
      <c r="N347" s="75"/>
      <c r="O347" s="75"/>
      <c r="P347" s="75"/>
      <c r="Q347" s="75"/>
      <c r="X347" s="71">
        <f t="shared" si="4"/>
        <v>1</v>
      </c>
      <c r="Y347" s="5" t="b">
        <v>0</v>
      </c>
    </row>
    <row r="348">
      <c r="A348" s="31" t="s">
        <v>71</v>
      </c>
      <c r="B348" s="31">
        <f t="array" ref="B348">XLOOKUP(A348, CURSOS!A:A, CURSOS!B:B)</f>
        <v>18</v>
      </c>
      <c r="C348" s="31" t="str">
        <f t="array" ref="C348">XLOOKUP(A348, CURSOS!A:A, CURSOS!C:C)</f>
        <v>EL ROMPECABEZAS DEL CIELO</v>
      </c>
      <c r="D348" s="70" t="s">
        <v>409</v>
      </c>
      <c r="E348" s="48">
        <f t="array" ref="E348">XLOOKUP($D348,REGOLITOS!$A:$A,REGOLITOS!E:E)</f>
        <v>78</v>
      </c>
      <c r="F348" s="48" t="str">
        <f t="array" ref="F348">XLOOKUP($D348,REGOLITOS!$A:$A,REGOLITOS!F:F)</f>
        <v>Estudiante</v>
      </c>
      <c r="G348" s="48" t="str">
        <f t="array" ref="G348">XLOOKUP($D348,REGOLITOS!$A:$A,REGOLITOS!G:G)</f>
        <v>Ciudad de México</v>
      </c>
      <c r="H348" s="48" t="str">
        <f t="array" ref="H348">XLOOKUP($D348,REGOLITOS!$A:$A,REGOLITOS!H:H)</f>
        <v>55 55 0207 0207</v>
      </c>
      <c r="I348" s="48" t="str">
        <f t="array" ref="I348">XLOOKUP($D348,REGOLITOS!$A:$A,REGOLITOS!I:I)</f>
        <v>usuario207@ejemplo.com</v>
      </c>
      <c r="J348" s="48" t="str">
        <f t="array" ref="J348">XLOOKUP($D348,REGOLITOS!$A:$A,REGOLITOS!J:J)</f>
        <v/>
      </c>
      <c r="K348" s="48" t="str">
        <f t="array" ref="K348">XLOOKUP($D348,REGOLITOS!$A:$A,REGOLITOS!K:K)</f>
        <v>Adulto Mayor</v>
      </c>
      <c r="L348" s="76">
        <v>200.0</v>
      </c>
      <c r="M348" s="5" t="s">
        <v>1078</v>
      </c>
      <c r="N348" s="75"/>
      <c r="O348" s="75"/>
      <c r="P348" s="75"/>
      <c r="Q348" s="75"/>
      <c r="X348" s="71">
        <f t="shared" si="4"/>
        <v>1</v>
      </c>
      <c r="Y348" s="5" t="b">
        <v>0</v>
      </c>
    </row>
    <row r="349">
      <c r="A349" s="31" t="s">
        <v>71</v>
      </c>
      <c r="B349" s="31">
        <f t="array" ref="B349">XLOOKUP(A349, CURSOS!A:A, CURSOS!B:B)</f>
        <v>18</v>
      </c>
      <c r="C349" s="31" t="str">
        <f t="array" ref="C349">XLOOKUP(A349, CURSOS!A:A, CURSOS!C:C)</f>
        <v>EL ROMPECABEZAS DEL CIELO</v>
      </c>
      <c r="D349" s="70" t="s">
        <v>403</v>
      </c>
      <c r="E349" s="48">
        <f t="array" ref="E349">XLOOKUP($D349,REGOLITOS!$A:$A,REGOLITOS!E:E)</f>
        <v>91</v>
      </c>
      <c r="F349" s="48" t="str">
        <f t="array" ref="F349">XLOOKUP($D349,REGOLITOS!$A:$A,REGOLITOS!F:F)</f>
        <v>Profesionista/arquitecta</v>
      </c>
      <c r="G349" s="48" t="str">
        <f t="array" ref="G349">XLOOKUP($D349,REGOLITOS!$A:$A,REGOLITOS!G:G)</f>
        <v>Ciudad de México</v>
      </c>
      <c r="H349" s="48" t="str">
        <f t="array" ref="H349">XLOOKUP($D349,REGOLITOS!$A:$A,REGOLITOS!H:H)</f>
        <v>55 55 0203 0203</v>
      </c>
      <c r="I349" s="48" t="str">
        <f t="array" ref="I349">XLOOKUP($D349,REGOLITOS!$A:$A,REGOLITOS!I:I)</f>
        <v>usuario203@ejemplo.com</v>
      </c>
      <c r="J349" s="48" t="str">
        <f t="array" ref="J349">XLOOKUP($D349,REGOLITOS!$A:$A,REGOLITOS!J:J)</f>
        <v/>
      </c>
      <c r="K349" s="48" t="str">
        <f t="array" ref="K349">XLOOKUP($D349,REGOLITOS!$A:$A,REGOLITOS!K:K)</f>
        <v>Adulto Mayor</v>
      </c>
      <c r="L349" s="76">
        <v>200.0</v>
      </c>
      <c r="M349" s="5" t="s">
        <v>1080</v>
      </c>
      <c r="N349" s="75"/>
      <c r="O349" s="75"/>
      <c r="P349" s="75"/>
      <c r="Q349" s="75"/>
      <c r="X349" s="71">
        <f t="shared" si="4"/>
        <v>0</v>
      </c>
      <c r="Y349" s="5" t="b">
        <v>0</v>
      </c>
    </row>
    <row r="350">
      <c r="A350" s="31" t="s">
        <v>71</v>
      </c>
      <c r="B350" s="31">
        <f t="array" ref="B350">XLOOKUP(A350, CURSOS!A:A, CURSOS!B:B)</f>
        <v>18</v>
      </c>
      <c r="C350" s="31" t="str">
        <f t="array" ref="C350">XLOOKUP(A350, CURSOS!A:A, CURSOS!C:C)</f>
        <v>EL ROMPECABEZAS DEL CIELO</v>
      </c>
      <c r="D350" s="70" t="s">
        <v>405</v>
      </c>
      <c r="E350" s="48">
        <f t="array" ref="E350">XLOOKUP($D350,REGOLITOS!$A:$A,REGOLITOS!E:E)</f>
        <v>30</v>
      </c>
      <c r="F350" s="48" t="str">
        <f t="array" ref="F350">XLOOKUP($D350,REGOLITOS!$A:$A,REGOLITOS!F:F)</f>
        <v>Administradora</v>
      </c>
      <c r="G350" s="48" t="str">
        <f t="array" ref="G350">XLOOKUP($D350,REGOLITOS!$A:$A,REGOLITOS!G:G)</f>
        <v>Ciudad de México</v>
      </c>
      <c r="H350" s="48" t="str">
        <f t="array" ref="H350">XLOOKUP($D350,REGOLITOS!$A:$A,REGOLITOS!H:H)</f>
        <v>55 55 0204 0204</v>
      </c>
      <c r="I350" s="48" t="str">
        <f t="array" ref="I350">XLOOKUP($D350,REGOLITOS!$A:$A,REGOLITOS!I:I)</f>
        <v>usuario204@ejemplo.com</v>
      </c>
      <c r="J350" s="48" t="str">
        <f t="array" ref="J350">XLOOKUP($D350,REGOLITOS!$A:$A,REGOLITOS!J:J)</f>
        <v/>
      </c>
      <c r="K350" s="48" t="str">
        <f t="array" ref="K350">XLOOKUP($D350,REGOLITOS!$A:$A,REGOLITOS!K:K)</f>
        <v>Adulto</v>
      </c>
      <c r="L350" s="76">
        <v>200.0</v>
      </c>
      <c r="M350" s="5" t="s">
        <v>1078</v>
      </c>
      <c r="N350" s="75"/>
      <c r="O350" s="75"/>
      <c r="P350" s="75"/>
      <c r="Q350" s="75"/>
      <c r="X350" s="71">
        <f t="shared" si="4"/>
        <v>1</v>
      </c>
      <c r="Y350" s="5" t="b">
        <v>0</v>
      </c>
    </row>
    <row r="351">
      <c r="A351" s="31" t="s">
        <v>71</v>
      </c>
      <c r="B351" s="31">
        <f t="array" ref="B351">XLOOKUP(A351, CURSOS!A:A, CURSOS!B:B)</f>
        <v>18</v>
      </c>
      <c r="C351" s="31" t="str">
        <f t="array" ref="C351">XLOOKUP(A351, CURSOS!A:A, CURSOS!C:C)</f>
        <v>EL ROMPECABEZAS DEL CIELO</v>
      </c>
      <c r="D351" s="70" t="s">
        <v>408</v>
      </c>
      <c r="E351" s="48">
        <f t="array" ref="E351">XLOOKUP($D351,REGOLITOS!$A:$A,REGOLITOS!E:E)</f>
        <v>34</v>
      </c>
      <c r="F351" s="48" t="str">
        <f t="array" ref="F351">XLOOKUP($D351,REGOLITOS!$A:$A,REGOLITOS!F:F)</f>
        <v>Empleado</v>
      </c>
      <c r="G351" s="48" t="str">
        <f t="array" ref="G351">XLOOKUP($D351,REGOLITOS!$A:$A,REGOLITOS!G:G)</f>
        <v>Baja California</v>
      </c>
      <c r="H351" s="48" t="str">
        <f t="array" ref="H351">XLOOKUP($D351,REGOLITOS!$A:$A,REGOLITOS!H:H)</f>
        <v>55 55 0206 0206</v>
      </c>
      <c r="I351" s="48" t="str">
        <f t="array" ref="I351">XLOOKUP($D351,REGOLITOS!$A:$A,REGOLITOS!I:I)</f>
        <v>usuario206@ejemplo.com</v>
      </c>
      <c r="J351" s="48" t="str">
        <f t="array" ref="J351">XLOOKUP($D351,REGOLITOS!$A:$A,REGOLITOS!J:J)</f>
        <v/>
      </c>
      <c r="K351" s="48" t="str">
        <f t="array" ref="K351">XLOOKUP($D351,REGOLITOS!$A:$A,REGOLITOS!K:K)</f>
        <v>Adulto</v>
      </c>
      <c r="L351" s="76">
        <v>200.0</v>
      </c>
      <c r="M351" s="5" t="s">
        <v>1080</v>
      </c>
      <c r="N351" s="75"/>
      <c r="O351" s="75"/>
      <c r="P351" s="75"/>
      <c r="Q351" s="75"/>
      <c r="X351" s="71">
        <f t="shared" si="4"/>
        <v>0</v>
      </c>
      <c r="Y351" s="5" t="b">
        <v>0</v>
      </c>
    </row>
    <row r="352">
      <c r="A352" s="31" t="s">
        <v>71</v>
      </c>
      <c r="B352" s="31">
        <f t="array" ref="B352">XLOOKUP(A352, CURSOS!A:A, CURSOS!B:B)</f>
        <v>18</v>
      </c>
      <c r="C352" s="31" t="str">
        <f t="array" ref="C352">XLOOKUP(A352, CURSOS!A:A, CURSOS!C:C)</f>
        <v>EL ROMPECABEZAS DEL CIELO</v>
      </c>
      <c r="D352" s="70" t="s">
        <v>205</v>
      </c>
      <c r="E352" s="48">
        <f t="array" ref="E352">XLOOKUP($D352,REGOLITOS!$A:$A,REGOLITOS!E:E)</f>
        <v>32</v>
      </c>
      <c r="F352" s="48" t="str">
        <f t="array" ref="F352">XLOOKUP($D352,REGOLITOS!$A:$A,REGOLITOS!F:F)</f>
        <v>Empleado</v>
      </c>
      <c r="G352" s="48" t="str">
        <f t="array" ref="G352">XLOOKUP($D352,REGOLITOS!$A:$A,REGOLITOS!G:G)</f>
        <v>Estado de México</v>
      </c>
      <c r="H352" s="48" t="str">
        <f t="array" ref="H352">XLOOKUP($D352,REGOLITOS!$A:$A,REGOLITOS!H:H)</f>
        <v>55 55 0067 0067</v>
      </c>
      <c r="I352" s="48" t="str">
        <f t="array" ref="I352">XLOOKUP($D352,REGOLITOS!$A:$A,REGOLITOS!I:I)</f>
        <v>usuario67@ejemplo.com</v>
      </c>
      <c r="J352" s="48" t="str">
        <f t="array" ref="J352">XLOOKUP($D352,REGOLITOS!$A:$A,REGOLITOS!J:J)</f>
        <v/>
      </c>
      <c r="K352" s="48" t="str">
        <f t="array" ref="K352">XLOOKUP($D352,REGOLITOS!$A:$A,REGOLITOS!K:K)</f>
        <v>Adulto</v>
      </c>
      <c r="L352" s="76">
        <v>200.0</v>
      </c>
      <c r="M352" s="5" t="s">
        <v>1078</v>
      </c>
      <c r="N352" s="75"/>
      <c r="O352" s="75"/>
      <c r="P352" s="75"/>
      <c r="Q352" s="75"/>
      <c r="X352" s="71">
        <f t="shared" si="4"/>
        <v>1</v>
      </c>
      <c r="Y352" s="5" t="b">
        <v>0</v>
      </c>
    </row>
    <row r="353">
      <c r="A353" s="31" t="s">
        <v>71</v>
      </c>
      <c r="B353" s="31">
        <f t="array" ref="B353">XLOOKUP(A353, CURSOS!A:A, CURSOS!B:B)</f>
        <v>18</v>
      </c>
      <c r="C353" s="31" t="str">
        <f t="array" ref="C353">XLOOKUP(A353, CURSOS!A:A, CURSOS!C:C)</f>
        <v>EL ROMPECABEZAS DEL CIELO</v>
      </c>
      <c r="D353" s="70" t="s">
        <v>410</v>
      </c>
      <c r="E353" s="48">
        <f t="array" ref="E353">XLOOKUP($D353,REGOLITOS!$A:$A,REGOLITOS!E:E)</f>
        <v>14</v>
      </c>
      <c r="F353" s="48" t="str">
        <f t="array" ref="F353">XLOOKUP($D353,REGOLITOS!$A:$A,REGOLITOS!F:F)</f>
        <v>Hogar</v>
      </c>
      <c r="G353" s="48" t="str">
        <f t="array" ref="G353">XLOOKUP($D353,REGOLITOS!$A:$A,REGOLITOS!G:G)</f>
        <v>Estado de México</v>
      </c>
      <c r="H353" s="48" t="str">
        <f t="array" ref="H353">XLOOKUP($D353,REGOLITOS!$A:$A,REGOLITOS!H:H)</f>
        <v>55 55 0208 0208</v>
      </c>
      <c r="I353" s="48" t="str">
        <f t="array" ref="I353">XLOOKUP($D353,REGOLITOS!$A:$A,REGOLITOS!I:I)</f>
        <v>usuario208@ejemplo.com</v>
      </c>
      <c r="J353" s="48" t="str">
        <f t="array" ref="J353">XLOOKUP($D353,REGOLITOS!$A:$A,REGOLITOS!J:J)</f>
        <v>Tutor_208</v>
      </c>
      <c r="K353" s="48" t="str">
        <f t="array" ref="K353">XLOOKUP($D353,REGOLITOS!$A:$A,REGOLITOS!K:K)</f>
        <v>Adolescente</v>
      </c>
      <c r="L353" s="76">
        <v>200.0</v>
      </c>
      <c r="M353" s="5" t="s">
        <v>1078</v>
      </c>
      <c r="N353" s="75"/>
      <c r="O353" s="75"/>
      <c r="P353" s="75"/>
      <c r="Q353" s="75"/>
      <c r="X353" s="71">
        <f t="shared" si="4"/>
        <v>1</v>
      </c>
      <c r="Y353" s="5" t="b">
        <v>0</v>
      </c>
    </row>
    <row r="354">
      <c r="A354" s="31" t="s">
        <v>71</v>
      </c>
      <c r="B354" s="31">
        <f t="array" ref="B354">XLOOKUP(A354, CURSOS!A:A, CURSOS!B:B)</f>
        <v>18</v>
      </c>
      <c r="C354" s="31" t="str">
        <f t="array" ref="C354">XLOOKUP(A354, CURSOS!A:A, CURSOS!C:C)</f>
        <v>EL ROMPECABEZAS DEL CIELO</v>
      </c>
      <c r="D354" s="70" t="s">
        <v>411</v>
      </c>
      <c r="E354" s="48">
        <f t="array" ref="E354">XLOOKUP($D354,REGOLITOS!$A:$A,REGOLITOS!E:E)</f>
        <v>30</v>
      </c>
      <c r="F354" s="48" t="str">
        <f t="array" ref="F354">XLOOKUP($D354,REGOLITOS!$A:$A,REGOLITOS!F:F)</f>
        <v>Estudiante</v>
      </c>
      <c r="G354" s="48" t="str">
        <f t="array" ref="G354">XLOOKUP($D354,REGOLITOS!$A:$A,REGOLITOS!G:G)</f>
        <v>Estado de México</v>
      </c>
      <c r="H354" s="48" t="str">
        <f t="array" ref="H354">XLOOKUP($D354,REGOLITOS!$A:$A,REGOLITOS!H:H)</f>
        <v>55 55 0209 0209</v>
      </c>
      <c r="I354" s="48" t="str">
        <f t="array" ref="I354">XLOOKUP($D354,REGOLITOS!$A:$A,REGOLITOS!I:I)</f>
        <v>usuario209@ejemplo.com</v>
      </c>
      <c r="J354" s="48" t="str">
        <f t="array" ref="J354">XLOOKUP($D354,REGOLITOS!$A:$A,REGOLITOS!J:J)</f>
        <v/>
      </c>
      <c r="K354" s="48" t="str">
        <f t="array" ref="K354">XLOOKUP($D354,REGOLITOS!$A:$A,REGOLITOS!K:K)</f>
        <v>Adulto</v>
      </c>
      <c r="L354" s="76">
        <v>200.0</v>
      </c>
      <c r="M354" s="5" t="s">
        <v>1078</v>
      </c>
      <c r="N354" s="75"/>
      <c r="O354" s="75"/>
      <c r="P354" s="75"/>
      <c r="Q354" s="75"/>
      <c r="X354" s="71"/>
      <c r="Y354" s="5" t="b">
        <v>0</v>
      </c>
    </row>
    <row r="355">
      <c r="A355" s="31" t="s">
        <v>71</v>
      </c>
      <c r="B355" s="31">
        <f t="array" ref="B355">XLOOKUP(A355, CURSOS!A:A, CURSOS!B:B)</f>
        <v>18</v>
      </c>
      <c r="C355" s="31" t="str">
        <f t="array" ref="C355">XLOOKUP(A355, CURSOS!A:A, CURSOS!C:C)</f>
        <v>EL ROMPECABEZAS DEL CIELO</v>
      </c>
      <c r="D355" s="70" t="s">
        <v>168</v>
      </c>
      <c r="E355" s="48">
        <f t="array" ref="E355">XLOOKUP($D355,REGOLITOS!$A:$A,REGOLITOS!E:E)</f>
        <v>28</v>
      </c>
      <c r="F355" s="48" t="str">
        <f t="array" ref="F355">XLOOKUP($D355,REGOLITOS!$A:$A,REGOLITOS!F:F)</f>
        <v>Estudiante</v>
      </c>
      <c r="G355" s="48" t="str">
        <f t="array" ref="G355">XLOOKUP($D355,REGOLITOS!$A:$A,REGOLITOS!G:G)</f>
        <v>Morelos</v>
      </c>
      <c r="H355" s="48" t="str">
        <f t="array" ref="H355">XLOOKUP($D355,REGOLITOS!$A:$A,REGOLITOS!H:H)</f>
        <v>55 55 0042 0042</v>
      </c>
      <c r="I355" s="48" t="str">
        <f t="array" ref="I355">XLOOKUP($D355,REGOLITOS!$A:$A,REGOLITOS!I:I)</f>
        <v>usuario42@ejemplo.com</v>
      </c>
      <c r="J355" s="48" t="str">
        <f t="array" ref="J355">XLOOKUP($D355,REGOLITOS!$A:$A,REGOLITOS!J:J)</f>
        <v/>
      </c>
      <c r="K355" s="48" t="str">
        <f t="array" ref="K355">XLOOKUP($D355,REGOLITOS!$A:$A,REGOLITOS!K:K)</f>
        <v>Jóven adulto</v>
      </c>
      <c r="L355" s="76">
        <v>200.0</v>
      </c>
      <c r="M355" s="5" t="s">
        <v>1078</v>
      </c>
      <c r="N355" s="75"/>
      <c r="O355" s="75"/>
      <c r="P355" s="75"/>
      <c r="Q355" s="75"/>
      <c r="X355" s="71">
        <f>(COUNTIF(M355:W355, "Asistió")+COUNTIF(M355:W355, "Asíncrono"))</f>
        <v>1</v>
      </c>
      <c r="Y355" s="5" t="b">
        <v>0</v>
      </c>
    </row>
    <row r="356">
      <c r="A356" s="31" t="s">
        <v>71</v>
      </c>
      <c r="B356" s="31">
        <f t="array" ref="B356">XLOOKUP(A356, CURSOS!A:A, CURSOS!B:B)</f>
        <v>18</v>
      </c>
      <c r="C356" s="31" t="str">
        <f t="array" ref="C356">XLOOKUP(A356, CURSOS!A:A, CURSOS!C:C)</f>
        <v>EL ROMPECABEZAS DEL CIELO</v>
      </c>
      <c r="D356" s="70" t="s">
        <v>412</v>
      </c>
      <c r="E356" s="48">
        <f t="array" ref="E356">XLOOKUP($D356,REGOLITOS!$A:$A,REGOLITOS!E:E)</f>
        <v>95</v>
      </c>
      <c r="F356" s="48" t="str">
        <f t="array" ref="F356">XLOOKUP($D356,REGOLITOS!$A:$A,REGOLITOS!F:F)</f>
        <v>Empleado</v>
      </c>
      <c r="G356" s="48" t="str">
        <f t="array" ref="G356">XLOOKUP($D356,REGOLITOS!$A:$A,REGOLITOS!G:G)</f>
        <v>Chihuahua</v>
      </c>
      <c r="H356" s="48" t="str">
        <f t="array" ref="H356">XLOOKUP($D356,REGOLITOS!$A:$A,REGOLITOS!H:H)</f>
        <v>55 55 0210 0210</v>
      </c>
      <c r="I356" s="48" t="str">
        <f t="array" ref="I356">XLOOKUP($D356,REGOLITOS!$A:$A,REGOLITOS!I:I)</f>
        <v>usuario210@ejemplo.com</v>
      </c>
      <c r="J356" s="48" t="str">
        <f t="array" ref="J356">XLOOKUP($D356,REGOLITOS!$A:$A,REGOLITOS!J:J)</f>
        <v/>
      </c>
      <c r="K356" s="48" t="str">
        <f t="array" ref="K356">XLOOKUP($D356,REGOLITOS!$A:$A,REGOLITOS!K:K)</f>
        <v>Adulto Mayor</v>
      </c>
      <c r="L356" s="76">
        <v>200.0</v>
      </c>
      <c r="M356" s="5" t="s">
        <v>1078</v>
      </c>
      <c r="N356" s="75"/>
      <c r="O356" s="75"/>
      <c r="P356" s="75"/>
      <c r="Q356" s="75"/>
      <c r="X356" s="71"/>
      <c r="Y356" s="5" t="b">
        <v>0</v>
      </c>
    </row>
    <row r="357">
      <c r="A357" s="31" t="s">
        <v>71</v>
      </c>
      <c r="B357" s="31">
        <f t="array" ref="B357">XLOOKUP(A357, CURSOS!A:A, CURSOS!B:B)</f>
        <v>18</v>
      </c>
      <c r="C357" s="31" t="str">
        <f t="array" ref="C357">XLOOKUP(A357, CURSOS!A:A, CURSOS!C:C)</f>
        <v>EL ROMPECABEZAS DEL CIELO</v>
      </c>
      <c r="D357" s="70" t="s">
        <v>366</v>
      </c>
      <c r="E357" s="59">
        <f t="array" ref="E357">XLOOKUP($D357,REGOLITOS!$A:$A,REGOLITOS!E:E)</f>
        <v>57</v>
      </c>
      <c r="F357" s="48" t="str">
        <f t="array" ref="F357">XLOOKUP($D357,REGOLITOS!$A:$A,REGOLITOS!F:F)</f>
        <v>Docente</v>
      </c>
      <c r="G357" s="48" t="str">
        <f t="array" ref="G357">XLOOKUP($D357,REGOLITOS!$A:$A,REGOLITOS!G:G)</f>
        <v>Puebla</v>
      </c>
      <c r="H357" s="48" t="str">
        <f t="array" ref="H357">XLOOKUP($D357,REGOLITOS!$A:$A,REGOLITOS!H:H)</f>
        <v>55 55 0179 0179</v>
      </c>
      <c r="I357" s="48" t="str">
        <f t="array" ref="I357">XLOOKUP($D357,REGOLITOS!$A:$A,REGOLITOS!I:I)</f>
        <v>usuario179@ejemplo.com</v>
      </c>
      <c r="J357" s="48" t="str">
        <f t="array" ref="J357">XLOOKUP($D357,REGOLITOS!$A:$A,REGOLITOS!J:J)</f>
        <v/>
      </c>
      <c r="K357" s="48" t="str">
        <f t="array" ref="K357">XLOOKUP($D357,REGOLITOS!$A:$A,REGOLITOS!K:K)</f>
        <v>Adulto</v>
      </c>
      <c r="L357" s="76">
        <v>160.0</v>
      </c>
      <c r="M357" s="5" t="s">
        <v>1078</v>
      </c>
      <c r="N357" s="75"/>
      <c r="O357" s="75"/>
      <c r="P357" s="75"/>
      <c r="Q357" s="75"/>
      <c r="X357" s="71"/>
      <c r="Y357" s="5" t="b">
        <v>0</v>
      </c>
    </row>
    <row r="358">
      <c r="A358" s="31" t="s">
        <v>71</v>
      </c>
      <c r="B358" s="31">
        <f t="array" ref="B358">XLOOKUP(A358, CURSOS!A:A, CURSOS!B:B)</f>
        <v>18</v>
      </c>
      <c r="C358" s="31" t="str">
        <f t="array" ref="C358">XLOOKUP(A358, CURSOS!A:A, CURSOS!C:C)</f>
        <v>EL ROMPECABEZAS DEL CIELO</v>
      </c>
      <c r="D358" s="70" t="s">
        <v>413</v>
      </c>
      <c r="E358" s="82">
        <f t="array" ref="E358">XLOOKUP($D358,REGOLITOS!$A:$A,REGOLITOS!E:E)</f>
        <v>31</v>
      </c>
      <c r="F358" s="48" t="str">
        <f t="array" ref="F358">XLOOKUP($D358,REGOLITOS!$A:$A,REGOLITOS!F:F)</f>
        <v>Abogado</v>
      </c>
      <c r="G358" s="48" t="str">
        <f t="array" ref="G358">XLOOKUP($D358,REGOLITOS!$A:$A,REGOLITOS!G:G)</f>
        <v>Nayarit</v>
      </c>
      <c r="H358" s="48" t="str">
        <f t="array" ref="H358">XLOOKUP($D358,REGOLITOS!$A:$A,REGOLITOS!H:H)</f>
        <v>55 55 0211 0211</v>
      </c>
      <c r="I358" s="48" t="str">
        <f t="array" ref="I358">XLOOKUP($D358,REGOLITOS!$A:$A,REGOLITOS!I:I)</f>
        <v>usuario211@ejemplo.com</v>
      </c>
      <c r="J358" s="48" t="str">
        <f t="array" ref="J358">XLOOKUP($D358,REGOLITOS!$A:$A,REGOLITOS!J:J)</f>
        <v/>
      </c>
      <c r="K358" s="48" t="str">
        <f t="array" ref="K358">XLOOKUP($D358,REGOLITOS!$A:$A,REGOLITOS!K:K)</f>
        <v>Adulto</v>
      </c>
      <c r="L358" s="76">
        <v>200.0</v>
      </c>
      <c r="M358" s="5" t="s">
        <v>1078</v>
      </c>
      <c r="N358" s="75"/>
      <c r="O358" s="75"/>
      <c r="P358" s="75"/>
      <c r="Q358" s="75"/>
      <c r="X358" s="71"/>
      <c r="Y358" s="5" t="b">
        <v>0</v>
      </c>
    </row>
    <row r="359">
      <c r="A359" s="31" t="s">
        <v>71</v>
      </c>
      <c r="B359" s="31">
        <f t="array" ref="B359">XLOOKUP(A359, CURSOS!A:A, CURSOS!B:B)</f>
        <v>18</v>
      </c>
      <c r="C359" s="31" t="str">
        <f t="array" ref="C359">XLOOKUP(A359, CURSOS!A:A, CURSOS!C:C)</f>
        <v>EL ROMPECABEZAS DEL CIELO</v>
      </c>
      <c r="D359" s="70" t="s">
        <v>416</v>
      </c>
      <c r="E359" s="59">
        <f t="array" ref="E359">XLOOKUP($D359,REGOLITOS!$A:$A,REGOLITOS!E:E)</f>
        <v>24</v>
      </c>
      <c r="F359" s="48" t="str">
        <f t="array" ref="F359">XLOOKUP($D359,REGOLITOS!$A:$A,REGOLITOS!F:F)</f>
        <v>Empleado</v>
      </c>
      <c r="G359" s="48" t="str">
        <f t="array" ref="G359">XLOOKUP($D359,REGOLITOS!$A:$A,REGOLITOS!G:G)</f>
        <v>Ciudad de México</v>
      </c>
      <c r="H359" s="48" t="str">
        <f t="array" ref="H359">XLOOKUP($D359,REGOLITOS!$A:$A,REGOLITOS!H:H)</f>
        <v>55 55 0212 0212</v>
      </c>
      <c r="I359" s="48" t="str">
        <f t="array" ref="I359">XLOOKUP($D359,REGOLITOS!$A:$A,REGOLITOS!I:I)</f>
        <v>usuario212@ejemplo.com</v>
      </c>
      <c r="J359" s="48" t="str">
        <f t="array" ref="J359">XLOOKUP($D359,REGOLITOS!$A:$A,REGOLITOS!J:J)</f>
        <v/>
      </c>
      <c r="K359" s="48" t="str">
        <f t="array" ref="K359">XLOOKUP($D359,REGOLITOS!$A:$A,REGOLITOS!K:K)</f>
        <v>Jóven adulto</v>
      </c>
      <c r="L359" s="76">
        <v>200.0</v>
      </c>
      <c r="M359" s="5" t="s">
        <v>1080</v>
      </c>
      <c r="N359" s="75"/>
      <c r="O359" s="75"/>
      <c r="P359" s="75"/>
      <c r="Q359" s="75"/>
      <c r="X359" s="71"/>
      <c r="Y359" s="5" t="b">
        <v>0</v>
      </c>
    </row>
    <row r="360" ht="15.0" customHeight="1">
      <c r="A360" s="31" t="s">
        <v>71</v>
      </c>
      <c r="B360" s="31">
        <f t="array" ref="B360">XLOOKUP(A360, CURSOS!A:A, CURSOS!B:B)</f>
        <v>18</v>
      </c>
      <c r="C360" s="31" t="str">
        <f t="array" ref="C360">XLOOKUP(A360, CURSOS!A:A, CURSOS!C:C)</f>
        <v>EL ROMPECABEZAS DEL CIELO</v>
      </c>
      <c r="D360" s="70" t="s">
        <v>343</v>
      </c>
      <c r="E360" s="82">
        <f t="array" ref="E360">XLOOKUP($D360,REGOLITOS!$A:$A,REGOLITOS!E:E)</f>
        <v>87</v>
      </c>
      <c r="F360" s="48" t="str">
        <f t="array" ref="F360">XLOOKUP($D360,REGOLITOS!$A:$A,REGOLITOS!F:F)</f>
        <v>Estudiante</v>
      </c>
      <c r="G360" s="48" t="str">
        <f t="array" ref="G360">XLOOKUP($D360,REGOLITOS!$A:$A,REGOLITOS!G:G)</f>
        <v>Hidalgo</v>
      </c>
      <c r="H360" s="48" t="str">
        <f t="array" ref="H360">XLOOKUP($D360,REGOLITOS!$A:$A,REGOLITOS!H:H)</f>
        <v>55 55 0161 0161</v>
      </c>
      <c r="I360" s="48" t="str">
        <f t="array" ref="I360">XLOOKUP($D360,REGOLITOS!$A:$A,REGOLITOS!I:I)</f>
        <v>usuario161@ejemplo.com</v>
      </c>
      <c r="J360" s="48" t="str">
        <f t="array" ref="J360">XLOOKUP($D360,REGOLITOS!$A:$A,REGOLITOS!J:J)</f>
        <v/>
      </c>
      <c r="K360" s="48" t="str">
        <f t="array" ref="K360">XLOOKUP($D360,REGOLITOS!$A:$A,REGOLITOS!K:K)</f>
        <v>Adulto Mayor</v>
      </c>
      <c r="L360" s="76">
        <v>200.0</v>
      </c>
      <c r="M360" s="5" t="s">
        <v>1078</v>
      </c>
      <c r="N360" s="75"/>
      <c r="O360" s="75"/>
      <c r="P360" s="75"/>
      <c r="Q360" s="75"/>
      <c r="X360" s="71"/>
      <c r="Y360" s="5" t="b">
        <v>0</v>
      </c>
    </row>
    <row r="361">
      <c r="A361" s="31" t="s">
        <v>71</v>
      </c>
      <c r="B361" s="31">
        <f t="array" ref="B361">XLOOKUP(A361, CURSOS!A:A, CURSOS!B:B)</f>
        <v>18</v>
      </c>
      <c r="C361" s="31" t="str">
        <f t="array" ref="C361">XLOOKUP(A361, CURSOS!A:A, CURSOS!C:C)</f>
        <v>EL ROMPECABEZAS DEL CIELO</v>
      </c>
      <c r="D361" s="70" t="s">
        <v>226</v>
      </c>
      <c r="E361" s="59">
        <f t="array" ref="E361">XLOOKUP($D361,REGOLITOS!$A:$A,REGOLITOS!E:E)</f>
        <v>8</v>
      </c>
      <c r="F361" s="48" t="str">
        <f t="array" ref="F361">XLOOKUP($D361,REGOLITOS!$A:$A,REGOLITOS!F:F)</f>
        <v>Estudiante</v>
      </c>
      <c r="G361" s="48" t="str">
        <f t="array" ref="G361">XLOOKUP($D361,REGOLITOS!$A:$A,REGOLITOS!G:G)</f>
        <v>Estado de México</v>
      </c>
      <c r="H361" s="48" t="str">
        <f t="array" ref="H361">XLOOKUP($D361,REGOLITOS!$A:$A,REGOLITOS!H:H)</f>
        <v>55 55 0081 0081</v>
      </c>
      <c r="I361" s="48" t="str">
        <f t="array" ref="I361">XLOOKUP($D361,REGOLITOS!$A:$A,REGOLITOS!I:I)</f>
        <v>usuario81@ejemplo.com</v>
      </c>
      <c r="J361" s="48" t="str">
        <f t="array" ref="J361">XLOOKUP($D361,REGOLITOS!$A:$A,REGOLITOS!J:J)</f>
        <v>Tutor_081</v>
      </c>
      <c r="K361" s="48" t="str">
        <f t="array" ref="K361">XLOOKUP($D361,REGOLITOS!$A:$A,REGOLITOS!K:K)</f>
        <v>Infancia</v>
      </c>
      <c r="L361" s="76">
        <v>200.0</v>
      </c>
      <c r="M361" s="5" t="s">
        <v>1080</v>
      </c>
      <c r="N361" s="75"/>
      <c r="O361" s="75"/>
      <c r="P361" s="75"/>
      <c r="Q361" s="75"/>
      <c r="X361" s="71"/>
      <c r="Y361" s="5" t="b">
        <v>0</v>
      </c>
    </row>
    <row r="362">
      <c r="A362" s="31" t="s">
        <v>71</v>
      </c>
      <c r="B362" s="31">
        <f t="array" ref="B362">XLOOKUP(A362, CURSOS!A:A, CURSOS!B:B)</f>
        <v>18</v>
      </c>
      <c r="C362" s="31" t="str">
        <f t="array" ref="C362">XLOOKUP(A362, CURSOS!A:A, CURSOS!C:C)</f>
        <v>EL ROMPECABEZAS DEL CIELO</v>
      </c>
      <c r="D362" s="70" t="s">
        <v>91</v>
      </c>
      <c r="E362" s="82">
        <f t="array" ref="E362">XLOOKUP($D362,REGOLITOS!$A:$A,REGOLITOS!E:E)</f>
        <v>56</v>
      </c>
      <c r="F362" s="48" t="str">
        <f t="array" ref="F362">XLOOKUP($D362,REGOLITOS!$A:$A,REGOLITOS!F:F)</f>
        <v>Estudiante </v>
      </c>
      <c r="G362" s="48" t="str">
        <f t="array" ref="G362">XLOOKUP($D362,REGOLITOS!$A:$A,REGOLITOS!G:G)</f>
        <v>Estado de México</v>
      </c>
      <c r="H362" s="48" t="str">
        <f t="array" ref="H362">XLOOKUP($D362,REGOLITOS!$A:$A,REGOLITOS!H:H)</f>
        <v>55 55 0000 0000</v>
      </c>
      <c r="I362" s="48" t="str">
        <f t="array" ref="I362">XLOOKUP($D362,REGOLITOS!$A:$A,REGOLITOS!I:I)</f>
        <v>usuario0@ejemplo.com</v>
      </c>
      <c r="J362" s="48" t="str">
        <f t="array" ref="J362">XLOOKUP($D362,REGOLITOS!$A:$A,REGOLITOS!J:J)</f>
        <v/>
      </c>
      <c r="K362" s="48" t="str">
        <f t="array" ref="K362">XLOOKUP($D362,REGOLITOS!$A:$A,REGOLITOS!K:K)</f>
        <v>Adulto</v>
      </c>
      <c r="L362" s="76">
        <v>160.0</v>
      </c>
      <c r="M362" s="5" t="s">
        <v>1080</v>
      </c>
      <c r="N362" s="75"/>
      <c r="O362" s="75"/>
      <c r="P362" s="75"/>
      <c r="Q362" s="75"/>
      <c r="X362" s="71"/>
      <c r="Y362" s="5" t="b">
        <v>0</v>
      </c>
    </row>
    <row r="363">
      <c r="A363" s="31" t="s">
        <v>71</v>
      </c>
      <c r="B363" s="31">
        <f t="array" ref="B363">XLOOKUP(A363, CURSOS!A:A, CURSOS!B:B)</f>
        <v>18</v>
      </c>
      <c r="C363" s="31" t="str">
        <f t="array" ref="C363">XLOOKUP(A363, CURSOS!A:A, CURSOS!C:C)</f>
        <v>EL ROMPECABEZAS DEL CIELO</v>
      </c>
      <c r="D363" s="70" t="s">
        <v>127</v>
      </c>
      <c r="E363" s="59">
        <f t="array" ref="E363">XLOOKUP($D363,REGOLITOS!$A:$A,REGOLITOS!E:E)</f>
        <v>91</v>
      </c>
      <c r="F363" s="48" t="str">
        <f t="array" ref="F363">XLOOKUP($D363,REGOLITOS!$A:$A,REGOLITOS!F:F)</f>
        <v>Empleada </v>
      </c>
      <c r="G363" s="48" t="str">
        <f t="array" ref="G363">XLOOKUP($D363,REGOLITOS!$A:$A,REGOLITOS!G:G)</f>
        <v>Ciudad de México</v>
      </c>
      <c r="H363" s="48" t="str">
        <f t="array" ref="H363">XLOOKUP($D363,REGOLITOS!$A:$A,REGOLITOS!H:H)</f>
        <v>55 55 0018 0018</v>
      </c>
      <c r="I363" s="48" t="str">
        <f t="array" ref="I363">XLOOKUP($D363,REGOLITOS!$A:$A,REGOLITOS!I:I)</f>
        <v>usuario18@ejemplo.com</v>
      </c>
      <c r="J363" s="48" t="str">
        <f t="array" ref="J363">XLOOKUP($D363,REGOLITOS!$A:$A,REGOLITOS!J:J)</f>
        <v/>
      </c>
      <c r="K363" s="48" t="str">
        <f t="array" ref="K363">XLOOKUP($D363,REGOLITOS!$A:$A,REGOLITOS!K:K)</f>
        <v>Adulto Mayor</v>
      </c>
      <c r="L363" s="76">
        <v>160.0</v>
      </c>
      <c r="M363" s="5" t="s">
        <v>1080</v>
      </c>
      <c r="N363" s="75"/>
      <c r="O363" s="75"/>
      <c r="P363" s="75"/>
      <c r="Q363" s="75"/>
      <c r="X363" s="71"/>
      <c r="Y363" s="5" t="b">
        <v>0</v>
      </c>
    </row>
    <row r="364">
      <c r="A364" s="31" t="s">
        <v>71</v>
      </c>
      <c r="B364" s="31">
        <f t="array" ref="B364">XLOOKUP(A364, CURSOS!A:A, CURSOS!B:B)</f>
        <v>18</v>
      </c>
      <c r="C364" s="31" t="str">
        <f t="array" ref="C364">XLOOKUP(A364, CURSOS!A:A, CURSOS!C:C)</f>
        <v>EL ROMPECABEZAS DEL CIELO</v>
      </c>
      <c r="D364" s="70" t="s">
        <v>217</v>
      </c>
      <c r="E364" s="82">
        <f t="array" ref="E364">XLOOKUP($D364,REGOLITOS!$A:$A,REGOLITOS!E:E)</f>
        <v>85</v>
      </c>
      <c r="F364" s="48" t="str">
        <f t="array" ref="F364">XLOOKUP($D364,REGOLITOS!$A:$A,REGOLITOS!F:F)</f>
        <v>Estudiante</v>
      </c>
      <c r="G364" s="48" t="str">
        <f t="array" ref="G364">XLOOKUP($D364,REGOLITOS!$A:$A,REGOLITOS!G:G)</f>
        <v>Estado de México</v>
      </c>
      <c r="H364" s="48" t="str">
        <f t="array" ref="H364">XLOOKUP($D364,REGOLITOS!$A:$A,REGOLITOS!H:H)</f>
        <v>55 55 0074 0074</v>
      </c>
      <c r="I364" s="48" t="str">
        <f t="array" ref="I364">XLOOKUP($D364,REGOLITOS!$A:$A,REGOLITOS!I:I)</f>
        <v>usuario74@ejemplo.com</v>
      </c>
      <c r="J364" s="48" t="str">
        <f t="array" ref="J364">XLOOKUP($D364,REGOLITOS!$A:$A,REGOLITOS!J:J)</f>
        <v/>
      </c>
      <c r="K364" s="48" t="str">
        <f t="array" ref="K364">XLOOKUP($D364,REGOLITOS!$A:$A,REGOLITOS!K:K)</f>
        <v>Adulto Mayor</v>
      </c>
      <c r="L364" s="76"/>
      <c r="M364" s="5" t="s">
        <v>1080</v>
      </c>
      <c r="N364" s="75"/>
      <c r="O364" s="75"/>
      <c r="P364" s="75"/>
      <c r="Q364" s="75"/>
      <c r="X364" s="71">
        <f t="shared" ref="X364:X1086" si="5">(COUNTIF(M364:W364, "Asistió")+COUNTIF(M364:W364, "Asíncrono"))</f>
        <v>0</v>
      </c>
      <c r="Y364" s="5" t="b">
        <v>0</v>
      </c>
    </row>
    <row r="365">
      <c r="A365" s="32" t="s">
        <v>73</v>
      </c>
      <c r="B365" s="32">
        <f t="array" ref="B365">XLOOKUP(A365, CURSOS!A:A, CURSOS!B:B)</f>
        <v>19</v>
      </c>
      <c r="C365" s="32" t="str">
        <f t="array" ref="C365">XLOOKUP(A365, CURSOS!A:A, CURSOS!C:C)</f>
        <v>TEORÍA DE NÚMEROS</v>
      </c>
      <c r="D365" s="70" t="s">
        <v>183</v>
      </c>
      <c r="E365" s="48">
        <f t="array" ref="E365">XLOOKUP($D365,REGOLITOS!$A:$A,REGOLITOS!E:E)</f>
        <v>68</v>
      </c>
      <c r="F365" s="48" t="str">
        <f t="array" ref="F365">XLOOKUP($D365,REGOLITOS!$A:$A,REGOLITOS!F:F)</f>
        <v>Estudiante</v>
      </c>
      <c r="G365" s="48" t="str">
        <f t="array" ref="G365">XLOOKUP($D365,REGOLITOS!$A:$A,REGOLITOS!G:G)</f>
        <v>Estado de México</v>
      </c>
      <c r="H365" s="48" t="str">
        <f t="array" ref="H365">XLOOKUP($D365,REGOLITOS!$A:$A,REGOLITOS!H:H)</f>
        <v>55 55 0051 0051</v>
      </c>
      <c r="I365" s="48" t="str">
        <f t="array" ref="I365">XLOOKUP($D365,REGOLITOS!$A:$A,REGOLITOS!I:I)</f>
        <v>usuario51@ejemplo.com</v>
      </c>
      <c r="J365" s="48" t="str">
        <f t="array" ref="J365">XLOOKUP($D365,REGOLITOS!$A:$A,REGOLITOS!J:J)</f>
        <v/>
      </c>
      <c r="K365" s="48" t="str">
        <f t="array" ref="K365">XLOOKUP($D365,REGOLITOS!$A:$A,REGOLITOS!K:K)</f>
        <v>Adulto Mayor</v>
      </c>
      <c r="L365" s="76">
        <v>360.0</v>
      </c>
      <c r="M365" s="5" t="s">
        <v>1078</v>
      </c>
      <c r="N365" s="5" t="s">
        <v>1078</v>
      </c>
      <c r="O365" s="75"/>
      <c r="P365" s="75"/>
      <c r="Q365" s="75"/>
      <c r="R365" s="75"/>
      <c r="S365" s="75"/>
      <c r="T365" s="75"/>
      <c r="X365" s="71">
        <f t="shared" si="5"/>
        <v>2</v>
      </c>
      <c r="Y365" s="5" t="b">
        <v>0</v>
      </c>
    </row>
    <row r="366">
      <c r="A366" s="32" t="s">
        <v>73</v>
      </c>
      <c r="B366" s="32">
        <f t="array" ref="B366">XLOOKUP(A366, CURSOS!A:A, CURSOS!B:B)</f>
        <v>19</v>
      </c>
      <c r="C366" s="32" t="str">
        <f t="array" ref="C366">XLOOKUP(A366, CURSOS!A:A, CURSOS!C:C)</f>
        <v>TEORÍA DE NÚMEROS</v>
      </c>
      <c r="D366" s="70" t="s">
        <v>132</v>
      </c>
      <c r="E366" s="48">
        <f t="array" ref="E366">XLOOKUP($D366,REGOLITOS!$A:$A,REGOLITOS!E:E)</f>
        <v>87</v>
      </c>
      <c r="F366" s="48" t="str">
        <f t="array" ref="F366">XLOOKUP($D366,REGOLITOS!$A:$A,REGOLITOS!F:F)</f>
        <v>Estudiante</v>
      </c>
      <c r="G366" s="48" t="str">
        <f t="array" ref="G366">XLOOKUP($D366,REGOLITOS!$A:$A,REGOLITOS!G:G)</f>
        <v>Baja California</v>
      </c>
      <c r="H366" s="48" t="str">
        <f t="array" ref="H366">XLOOKUP($D366,REGOLITOS!$A:$A,REGOLITOS!H:H)</f>
        <v>55 55 0021 0021</v>
      </c>
      <c r="I366" s="48" t="str">
        <f t="array" ref="I366">XLOOKUP($D366,REGOLITOS!$A:$A,REGOLITOS!I:I)</f>
        <v>usuario21@ejemplo.com</v>
      </c>
      <c r="J366" s="48" t="str">
        <f t="array" ref="J366">XLOOKUP($D366,REGOLITOS!$A:$A,REGOLITOS!J:J)</f>
        <v/>
      </c>
      <c r="K366" s="48" t="str">
        <f t="array" ref="K366">XLOOKUP($D366,REGOLITOS!$A:$A,REGOLITOS!K:K)</f>
        <v>Adulto Mayor</v>
      </c>
      <c r="L366" s="76">
        <v>360.0</v>
      </c>
      <c r="M366" s="5" t="s">
        <v>1078</v>
      </c>
      <c r="N366" s="5" t="s">
        <v>1078</v>
      </c>
      <c r="O366" s="75"/>
      <c r="P366" s="75"/>
      <c r="Q366" s="75"/>
      <c r="R366" s="75"/>
      <c r="S366" s="75"/>
      <c r="T366" s="75"/>
      <c r="X366" s="71">
        <f t="shared" si="5"/>
        <v>2</v>
      </c>
      <c r="Y366" s="5" t="b">
        <v>0</v>
      </c>
    </row>
    <row r="367">
      <c r="A367" s="32" t="s">
        <v>73</v>
      </c>
      <c r="B367" s="32">
        <f t="array" ref="B367">XLOOKUP(A367, CURSOS!A:A, CURSOS!B:B)</f>
        <v>19</v>
      </c>
      <c r="C367" s="32" t="str">
        <f t="array" ref="C367">XLOOKUP(A367, CURSOS!A:A, CURSOS!C:C)</f>
        <v>TEORÍA DE NÚMEROS</v>
      </c>
      <c r="D367" s="70" t="s">
        <v>363</v>
      </c>
      <c r="E367" s="48">
        <f t="array" ref="E367">XLOOKUP($D367,REGOLITOS!$A:$A,REGOLITOS!E:E)</f>
        <v>43</v>
      </c>
      <c r="F367" s="48" t="str">
        <f t="array" ref="F367">XLOOKUP($D367,REGOLITOS!$A:$A,REGOLITOS!F:F)</f>
        <v>Estudiante</v>
      </c>
      <c r="G367" s="48" t="str">
        <f t="array" ref="G367">XLOOKUP($D367,REGOLITOS!$A:$A,REGOLITOS!G:G)</f>
        <v>Tamaulipas</v>
      </c>
      <c r="H367" s="48" t="str">
        <f t="array" ref="H367">XLOOKUP($D367,REGOLITOS!$A:$A,REGOLITOS!H:H)</f>
        <v>55 55 0177 0177</v>
      </c>
      <c r="I367" s="48" t="str">
        <f t="array" ref="I367">XLOOKUP($D367,REGOLITOS!$A:$A,REGOLITOS!I:I)</f>
        <v>usuario177@ejemplo.com</v>
      </c>
      <c r="J367" s="48" t="str">
        <f t="array" ref="J367">XLOOKUP($D367,REGOLITOS!$A:$A,REGOLITOS!J:J)</f>
        <v/>
      </c>
      <c r="K367" s="48" t="str">
        <f t="array" ref="K367">XLOOKUP($D367,REGOLITOS!$A:$A,REGOLITOS!K:K)</f>
        <v>Adulto</v>
      </c>
      <c r="L367" s="76">
        <v>480.0</v>
      </c>
      <c r="M367" s="5" t="s">
        <v>1078</v>
      </c>
      <c r="N367" s="5" t="s">
        <v>1078</v>
      </c>
      <c r="O367" s="75"/>
      <c r="P367" s="75"/>
      <c r="Q367" s="75"/>
      <c r="R367" s="75"/>
      <c r="S367" s="75"/>
      <c r="T367" s="75"/>
      <c r="X367" s="71">
        <f t="shared" si="5"/>
        <v>2</v>
      </c>
      <c r="Y367" s="5" t="b">
        <v>0</v>
      </c>
    </row>
    <row r="368">
      <c r="A368" s="32" t="s">
        <v>73</v>
      </c>
      <c r="B368" s="32">
        <f t="array" ref="B368">XLOOKUP(A368, CURSOS!A:A, CURSOS!B:B)</f>
        <v>19</v>
      </c>
      <c r="C368" s="32" t="str">
        <f t="array" ref="C368">XLOOKUP(A368, CURSOS!A:A, CURSOS!C:C)</f>
        <v>TEORÍA DE NÚMEROS</v>
      </c>
      <c r="D368" s="70" t="s">
        <v>390</v>
      </c>
      <c r="E368" s="48">
        <f t="array" ref="E368">XLOOKUP($D368,REGOLITOS!$A:$A,REGOLITOS!E:E)</f>
        <v>29</v>
      </c>
      <c r="F368" s="48" t="str">
        <f t="array" ref="F368">XLOOKUP($D368,REGOLITOS!$A:$A,REGOLITOS!F:F)</f>
        <v>Estudiante</v>
      </c>
      <c r="G368" s="48" t="str">
        <f t="array" ref="G368">XLOOKUP($D368,REGOLITOS!$A:$A,REGOLITOS!G:G)</f>
        <v>Baja California</v>
      </c>
      <c r="H368" s="48" t="str">
        <f t="array" ref="H368">XLOOKUP($D368,REGOLITOS!$A:$A,REGOLITOS!H:H)</f>
        <v>55 55 0195 0195</v>
      </c>
      <c r="I368" s="48" t="str">
        <f t="array" ref="I368">XLOOKUP($D368,REGOLITOS!$A:$A,REGOLITOS!I:I)</f>
        <v>usuario195@ejemplo.com</v>
      </c>
      <c r="J368" s="48" t="str">
        <f t="array" ref="J368">XLOOKUP($D368,REGOLITOS!$A:$A,REGOLITOS!J:J)</f>
        <v/>
      </c>
      <c r="K368" s="48" t="str">
        <f t="array" ref="K368">XLOOKUP($D368,REGOLITOS!$A:$A,REGOLITOS!K:K)</f>
        <v>Jóven adulto</v>
      </c>
      <c r="L368" s="76">
        <v>600.0</v>
      </c>
      <c r="M368" s="5" t="s">
        <v>1078</v>
      </c>
      <c r="N368" s="5" t="s">
        <v>1078</v>
      </c>
      <c r="O368" s="75"/>
      <c r="P368" s="75"/>
      <c r="Q368" s="75"/>
      <c r="R368" s="75"/>
      <c r="S368" s="75"/>
      <c r="T368" s="75"/>
      <c r="X368" s="71">
        <f t="shared" si="5"/>
        <v>2</v>
      </c>
      <c r="Y368" s="5" t="b">
        <v>0</v>
      </c>
    </row>
    <row r="369">
      <c r="A369" s="32" t="s">
        <v>73</v>
      </c>
      <c r="B369" s="32">
        <f t="array" ref="B369">XLOOKUP(A369, CURSOS!A:A, CURSOS!B:B)</f>
        <v>19</v>
      </c>
      <c r="C369" s="32" t="str">
        <f t="array" ref="C369">XLOOKUP(A369, CURSOS!A:A, CURSOS!C:C)</f>
        <v>TEORÍA DE NÚMEROS</v>
      </c>
      <c r="D369" s="70" t="s">
        <v>108</v>
      </c>
      <c r="E369" s="48">
        <f t="array" ref="E369">XLOOKUP($D369,REGOLITOS!$A:$A,REGOLITOS!E:E)</f>
        <v>95</v>
      </c>
      <c r="F369" s="48" t="str">
        <f t="array" ref="F369">XLOOKUP($D369,REGOLITOS!$A:$A,REGOLITOS!F:F)</f>
        <v>Estudiante</v>
      </c>
      <c r="G369" s="48" t="str">
        <f t="array" ref="G369">XLOOKUP($D369,REGOLITOS!$A:$A,REGOLITOS!G:G)</f>
        <v>Ciudad de México</v>
      </c>
      <c r="H369" s="48" t="str">
        <f t="array" ref="H369">XLOOKUP($D369,REGOLITOS!$A:$A,REGOLITOS!H:H)</f>
        <v>55 55 0007 0007</v>
      </c>
      <c r="I369" s="48" t="str">
        <f t="array" ref="I369">XLOOKUP($D369,REGOLITOS!$A:$A,REGOLITOS!I:I)</f>
        <v>usuario7@ejemplo.com</v>
      </c>
      <c r="J369" s="48" t="str">
        <f t="array" ref="J369">XLOOKUP($D369,REGOLITOS!$A:$A,REGOLITOS!J:J)</f>
        <v/>
      </c>
      <c r="K369" s="48" t="str">
        <f t="array" ref="K369">XLOOKUP($D369,REGOLITOS!$A:$A,REGOLITOS!K:K)</f>
        <v>Adulto Mayor</v>
      </c>
      <c r="L369" s="76">
        <v>480.0</v>
      </c>
      <c r="M369" s="5" t="s">
        <v>1078</v>
      </c>
      <c r="N369" s="5" t="s">
        <v>1078</v>
      </c>
      <c r="O369" s="75"/>
      <c r="P369" s="75"/>
      <c r="Q369" s="75"/>
      <c r="R369" s="75"/>
      <c r="S369" s="75"/>
      <c r="T369" s="75"/>
      <c r="X369" s="71">
        <f t="shared" si="5"/>
        <v>2</v>
      </c>
      <c r="Y369" s="5" t="b">
        <v>0</v>
      </c>
    </row>
    <row r="370">
      <c r="A370" s="32" t="s">
        <v>73</v>
      </c>
      <c r="B370" s="32">
        <f t="array" ref="B370">XLOOKUP(A370, CURSOS!A:A, CURSOS!B:B)</f>
        <v>19</v>
      </c>
      <c r="C370" s="32" t="str">
        <f t="array" ref="C370">XLOOKUP(A370, CURSOS!A:A, CURSOS!C:C)</f>
        <v>TEORÍA DE NÚMEROS</v>
      </c>
      <c r="D370" s="70" t="s">
        <v>258</v>
      </c>
      <c r="E370" s="48">
        <f t="array" ref="E370">XLOOKUP($D370,REGOLITOS!$A:$A,REGOLITOS!E:E)</f>
        <v>66</v>
      </c>
      <c r="F370" s="48" t="str">
        <f t="array" ref="F370">XLOOKUP($D370,REGOLITOS!$A:$A,REGOLITOS!F:F)</f>
        <v>Estudiante HS</v>
      </c>
      <c r="G370" s="48" t="str">
        <f t="array" ref="G370">XLOOKUP($D370,REGOLITOS!$A:$A,REGOLITOS!G:G)</f>
        <v>Jalisco</v>
      </c>
      <c r="H370" s="48" t="str">
        <f t="array" ref="H370">XLOOKUP($D370,REGOLITOS!$A:$A,REGOLITOS!H:H)</f>
        <v>55 55 0103 0103</v>
      </c>
      <c r="I370" s="48" t="str">
        <f t="array" ref="I370">XLOOKUP($D370,REGOLITOS!$A:$A,REGOLITOS!I:I)</f>
        <v>usuario103@ejemplo.com</v>
      </c>
      <c r="J370" s="48" t="str">
        <f t="array" ref="J370">XLOOKUP($D370,REGOLITOS!$A:$A,REGOLITOS!J:J)</f>
        <v/>
      </c>
      <c r="K370" s="48" t="str">
        <f t="array" ref="K370">XLOOKUP($D370,REGOLITOS!$A:$A,REGOLITOS!K:K)</f>
        <v>Adulto Mayor</v>
      </c>
      <c r="L370" s="76">
        <v>360.0</v>
      </c>
      <c r="M370" s="5" t="s">
        <v>1078</v>
      </c>
      <c r="N370" s="5" t="s">
        <v>1078</v>
      </c>
      <c r="O370" s="75"/>
      <c r="P370" s="75"/>
      <c r="Q370" s="75"/>
      <c r="R370" s="75"/>
      <c r="S370" s="75"/>
      <c r="T370" s="75"/>
      <c r="X370" s="71">
        <f t="shared" si="5"/>
        <v>2</v>
      </c>
      <c r="Y370" s="5" t="b">
        <v>0</v>
      </c>
    </row>
    <row r="371">
      <c r="A371" s="32" t="s">
        <v>73</v>
      </c>
      <c r="B371" s="32">
        <f t="array" ref="B371">XLOOKUP(A371, CURSOS!A:A, CURSOS!B:B)</f>
        <v>19</v>
      </c>
      <c r="C371" s="32" t="str">
        <f t="array" ref="C371">XLOOKUP(A371, CURSOS!A:A, CURSOS!C:C)</f>
        <v>TEORÍA DE NÚMEROS</v>
      </c>
      <c r="D371" s="70" t="s">
        <v>232</v>
      </c>
      <c r="E371" s="48">
        <f t="array" ref="E371">XLOOKUP($D371,REGOLITOS!$A:$A,REGOLITOS!E:E)</f>
        <v>18</v>
      </c>
      <c r="F371" s="48" t="str">
        <f t="array" ref="F371">XLOOKUP($D371,REGOLITOS!$A:$A,REGOLITOS!F:F)</f>
        <v>Estudiante</v>
      </c>
      <c r="G371" s="48" t="str">
        <f t="array" ref="G371">XLOOKUP($D371,REGOLITOS!$A:$A,REGOLITOS!G:G)</f>
        <v>Hidalgo</v>
      </c>
      <c r="H371" s="48" t="str">
        <f t="array" ref="H371">XLOOKUP($D371,REGOLITOS!$A:$A,REGOLITOS!H:H)</f>
        <v>55 55 0085 0085</v>
      </c>
      <c r="I371" s="48" t="str">
        <f t="array" ref="I371">XLOOKUP($D371,REGOLITOS!$A:$A,REGOLITOS!I:I)</f>
        <v>usuario85@ejemplo.com</v>
      </c>
      <c r="J371" s="48" t="str">
        <f t="array" ref="J371">XLOOKUP($D371,REGOLITOS!$A:$A,REGOLITOS!J:J)</f>
        <v>Tutor_085</v>
      </c>
      <c r="K371" s="48" t="str">
        <f t="array" ref="K371">XLOOKUP($D371,REGOLITOS!$A:$A,REGOLITOS!K:K)</f>
        <v>Jóven adulto</v>
      </c>
      <c r="L371" s="76"/>
      <c r="M371" s="5" t="s">
        <v>1081</v>
      </c>
      <c r="N371" s="5" t="s">
        <v>1080</v>
      </c>
      <c r="O371" s="75"/>
      <c r="P371" s="75"/>
      <c r="Q371" s="75"/>
      <c r="R371" s="75"/>
      <c r="S371" s="75"/>
      <c r="T371" s="75"/>
      <c r="X371" s="71">
        <f t="shared" si="5"/>
        <v>1</v>
      </c>
      <c r="Y371" s="5" t="b">
        <v>0</v>
      </c>
    </row>
    <row r="372">
      <c r="A372" s="83" t="s">
        <v>75</v>
      </c>
      <c r="B372" s="83">
        <f t="array" ref="B372">XLOOKUP(A372, CURSOS!A:A, CURSOS!B:B)</f>
        <v>20</v>
      </c>
      <c r="C372" s="84" t="str">
        <f t="array" ref="C372">XLOOKUP(A372, CURSOS!A:A, CURSOS!C:C)</f>
        <v>COMPETENCIA INTERNACIONAL DE FÍSICA</v>
      </c>
      <c r="D372" s="70" t="s">
        <v>91</v>
      </c>
      <c r="E372" s="48">
        <f t="array" ref="E372">XLOOKUP($D372,REGOLITOS!$A:$A,REGOLITOS!E:E)</f>
        <v>56</v>
      </c>
      <c r="F372" s="48" t="str">
        <f t="array" ref="F372">XLOOKUP($D372,REGOLITOS!$A:$A,REGOLITOS!F:F)</f>
        <v>Estudiante </v>
      </c>
      <c r="G372" s="48" t="str">
        <f t="array" ref="G372">XLOOKUP($D372,REGOLITOS!$A:$A,REGOLITOS!G:G)</f>
        <v>Estado de México</v>
      </c>
      <c r="H372" s="48" t="str">
        <f t="array" ref="H372">XLOOKUP($D372,REGOLITOS!$A:$A,REGOLITOS!H:H)</f>
        <v>55 55 0000 0000</v>
      </c>
      <c r="I372" s="48" t="str">
        <f t="array" ref="I372">XLOOKUP($D372,REGOLITOS!$A:$A,REGOLITOS!I:I)</f>
        <v>usuario0@ejemplo.com</v>
      </c>
      <c r="J372" s="48" t="str">
        <f t="array" ref="J372">XLOOKUP($D372,REGOLITOS!$A:$A,REGOLITOS!J:J)</f>
        <v/>
      </c>
      <c r="K372" s="48" t="str">
        <f t="array" ref="K372">XLOOKUP($D372,REGOLITOS!$A:$A,REGOLITOS!K:K)</f>
        <v>Adulto</v>
      </c>
      <c r="L372" s="76" t="s">
        <v>1079</v>
      </c>
      <c r="M372" s="5" t="s">
        <v>1078</v>
      </c>
      <c r="N372" s="5" t="s">
        <v>1080</v>
      </c>
      <c r="O372" s="5" t="s">
        <v>1080</v>
      </c>
      <c r="P372" s="75"/>
      <c r="Q372" s="75"/>
      <c r="R372" s="75"/>
      <c r="S372" s="75"/>
      <c r="T372" s="75"/>
      <c r="U372" s="75"/>
      <c r="V372" s="75"/>
      <c r="W372" s="75"/>
      <c r="X372" s="71">
        <f t="shared" si="5"/>
        <v>1</v>
      </c>
      <c r="Y372" s="5" t="b">
        <v>0</v>
      </c>
    </row>
    <row r="373">
      <c r="A373" s="83" t="s">
        <v>75</v>
      </c>
      <c r="B373" s="83">
        <f t="array" ref="B373">XLOOKUP(A373, CURSOS!A:A, CURSOS!B:B)</f>
        <v>20</v>
      </c>
      <c r="C373" s="84" t="str">
        <f t="array" ref="C373">XLOOKUP(A373, CURSOS!A:A, CURSOS!C:C)</f>
        <v>COMPETENCIA INTERNACIONAL DE FÍSICA</v>
      </c>
      <c r="D373" s="70" t="s">
        <v>391</v>
      </c>
      <c r="E373" s="48">
        <f t="array" ref="E373">XLOOKUP($D373,REGOLITOS!$A:$A,REGOLITOS!E:E)</f>
        <v>86</v>
      </c>
      <c r="F373" s="48" t="str">
        <f t="array" ref="F373">XLOOKUP($D373,REGOLITOS!$A:$A,REGOLITOS!F:F)</f>
        <v>Docente</v>
      </c>
      <c r="G373" s="48" t="str">
        <f t="array" ref="G373">XLOOKUP($D373,REGOLITOS!$A:$A,REGOLITOS!G:G)</f>
        <v>Ciudad de México</v>
      </c>
      <c r="H373" s="48" t="str">
        <f t="array" ref="H373">XLOOKUP($D373,REGOLITOS!$A:$A,REGOLITOS!H:H)</f>
        <v>55 55 0196 0196</v>
      </c>
      <c r="I373" s="48" t="str">
        <f t="array" ref="I373">XLOOKUP($D373,REGOLITOS!$A:$A,REGOLITOS!I:I)</f>
        <v>usuario196@ejemplo.com</v>
      </c>
      <c r="J373" s="48" t="str">
        <f t="array" ref="J373">XLOOKUP($D373,REGOLITOS!$A:$A,REGOLITOS!J:J)</f>
        <v/>
      </c>
      <c r="K373" s="48" t="str">
        <f t="array" ref="K373">XLOOKUP($D373,REGOLITOS!$A:$A,REGOLITOS!K:K)</f>
        <v>Adulto Mayor</v>
      </c>
      <c r="L373" s="76" t="s">
        <v>1079</v>
      </c>
      <c r="M373" s="5" t="s">
        <v>1080</v>
      </c>
      <c r="N373" s="5" t="s">
        <v>1078</v>
      </c>
      <c r="O373" s="5" t="s">
        <v>1078</v>
      </c>
      <c r="P373" s="75"/>
      <c r="Q373" s="75"/>
      <c r="R373" s="75"/>
      <c r="S373" s="75"/>
      <c r="T373" s="75"/>
      <c r="U373" s="75"/>
      <c r="V373" s="75"/>
      <c r="W373" s="75"/>
      <c r="X373" s="71">
        <f t="shared" si="5"/>
        <v>2</v>
      </c>
      <c r="Y373" s="5" t="b">
        <v>0</v>
      </c>
    </row>
    <row r="374">
      <c r="A374" s="83" t="s">
        <v>75</v>
      </c>
      <c r="B374" s="83">
        <f t="array" ref="B374">XLOOKUP(A374, CURSOS!A:A, CURSOS!B:B)</f>
        <v>20</v>
      </c>
      <c r="C374" s="84" t="str">
        <f t="array" ref="C374">XLOOKUP(A374, CURSOS!A:A, CURSOS!C:C)</f>
        <v>COMPETENCIA INTERNACIONAL DE FÍSICA</v>
      </c>
      <c r="D374" s="70" t="s">
        <v>231</v>
      </c>
      <c r="E374" s="48">
        <f t="array" ref="E374">XLOOKUP($D374,REGOLITOS!$A:$A,REGOLITOS!E:E)</f>
        <v>94</v>
      </c>
      <c r="F374" s="48" t="str">
        <f t="array" ref="F374">XLOOKUP($D374,REGOLITOS!$A:$A,REGOLITOS!F:F)</f>
        <v>Estudiante </v>
      </c>
      <c r="G374" s="48" t="str">
        <f t="array" ref="G374">XLOOKUP($D374,REGOLITOS!$A:$A,REGOLITOS!G:G)</f>
        <v>Veracruz</v>
      </c>
      <c r="H374" s="48" t="str">
        <f t="array" ref="H374">XLOOKUP($D374,REGOLITOS!$A:$A,REGOLITOS!H:H)</f>
        <v>55 55 0084 0084</v>
      </c>
      <c r="I374" s="48" t="str">
        <f t="array" ref="I374">XLOOKUP($D374,REGOLITOS!$A:$A,REGOLITOS!I:I)</f>
        <v>usuario84@ejemplo.com</v>
      </c>
      <c r="J374" s="48" t="str">
        <f t="array" ref="J374">XLOOKUP($D374,REGOLITOS!$A:$A,REGOLITOS!J:J)</f>
        <v/>
      </c>
      <c r="K374" s="48" t="str">
        <f t="array" ref="K374">XLOOKUP($D374,REGOLITOS!$A:$A,REGOLITOS!K:K)</f>
        <v>Adulto Mayor</v>
      </c>
      <c r="L374" s="76" t="s">
        <v>1079</v>
      </c>
      <c r="M374" s="5" t="s">
        <v>1078</v>
      </c>
      <c r="N374" s="5" t="s">
        <v>1078</v>
      </c>
      <c r="O374" s="5" t="s">
        <v>1078</v>
      </c>
      <c r="P374" s="75"/>
      <c r="Q374" s="75"/>
      <c r="R374" s="75"/>
      <c r="S374" s="75"/>
      <c r="T374" s="75"/>
      <c r="U374" s="75"/>
      <c r="V374" s="75"/>
      <c r="W374" s="75"/>
      <c r="X374" s="71">
        <f t="shared" si="5"/>
        <v>3</v>
      </c>
      <c r="Y374" s="5" t="b">
        <v>0</v>
      </c>
    </row>
    <row r="375">
      <c r="A375" s="83" t="s">
        <v>75</v>
      </c>
      <c r="B375" s="83">
        <f t="array" ref="B375">XLOOKUP(A375, CURSOS!A:A, CURSOS!B:B)</f>
        <v>20</v>
      </c>
      <c r="C375" s="84" t="str">
        <f t="array" ref="C375">XLOOKUP(A375, CURSOS!A:A, CURSOS!C:C)</f>
        <v>COMPETENCIA INTERNACIONAL DE FÍSICA</v>
      </c>
      <c r="D375" s="70" t="s">
        <v>232</v>
      </c>
      <c r="E375" s="48">
        <f t="array" ref="E375">XLOOKUP($D375,REGOLITOS!$A:$A,REGOLITOS!E:E)</f>
        <v>18</v>
      </c>
      <c r="F375" s="48" t="str">
        <f t="array" ref="F375">XLOOKUP($D375,REGOLITOS!$A:$A,REGOLITOS!F:F)</f>
        <v>Estudiante</v>
      </c>
      <c r="G375" s="48" t="str">
        <f t="array" ref="G375">XLOOKUP($D375,REGOLITOS!$A:$A,REGOLITOS!G:G)</f>
        <v>Hidalgo</v>
      </c>
      <c r="H375" s="48" t="str">
        <f t="array" ref="H375">XLOOKUP($D375,REGOLITOS!$A:$A,REGOLITOS!H:H)</f>
        <v>55 55 0085 0085</v>
      </c>
      <c r="I375" s="48" t="str">
        <f t="array" ref="I375">XLOOKUP($D375,REGOLITOS!$A:$A,REGOLITOS!I:I)</f>
        <v>usuario85@ejemplo.com</v>
      </c>
      <c r="J375" s="48" t="str">
        <f t="array" ref="J375">XLOOKUP($D375,REGOLITOS!$A:$A,REGOLITOS!J:J)</f>
        <v>Tutor_085</v>
      </c>
      <c r="K375" s="48" t="str">
        <f t="array" ref="K375">XLOOKUP($D375,REGOLITOS!$A:$A,REGOLITOS!K:K)</f>
        <v>Jóven adulto</v>
      </c>
      <c r="L375" s="76" t="s">
        <v>1079</v>
      </c>
      <c r="M375" s="5" t="s">
        <v>1080</v>
      </c>
      <c r="N375" s="5" t="s">
        <v>1080</v>
      </c>
      <c r="O375" s="5" t="s">
        <v>1080</v>
      </c>
      <c r="P375" s="75"/>
      <c r="Q375" s="75"/>
      <c r="R375" s="75"/>
      <c r="S375" s="75"/>
      <c r="T375" s="75"/>
      <c r="U375" s="75"/>
      <c r="V375" s="75"/>
      <c r="W375" s="75"/>
      <c r="X375" s="71">
        <f t="shared" si="5"/>
        <v>0</v>
      </c>
      <c r="Y375" s="5" t="b">
        <v>0</v>
      </c>
    </row>
    <row r="376">
      <c r="A376" s="83" t="s">
        <v>75</v>
      </c>
      <c r="B376" s="83">
        <f t="array" ref="B376">XLOOKUP(A376, CURSOS!A:A, CURSOS!B:B)</f>
        <v>20</v>
      </c>
      <c r="C376" s="84" t="str">
        <f t="array" ref="C376">XLOOKUP(A376, CURSOS!A:A, CURSOS!C:C)</f>
        <v>COMPETENCIA INTERNACIONAL DE FÍSICA</v>
      </c>
      <c r="D376" s="70" t="s">
        <v>392</v>
      </c>
      <c r="E376" s="48">
        <f t="array" ref="E376">XLOOKUP($D376,REGOLITOS!$A:$A,REGOLITOS!E:E)</f>
        <v>91</v>
      </c>
      <c r="F376" s="48" t="str">
        <f t="array" ref="F376">XLOOKUP($D376,REGOLITOS!$A:$A,REGOLITOS!F:F)</f>
        <v>Desconocido</v>
      </c>
      <c r="G376" s="48" t="str">
        <f t="array" ref="G376">XLOOKUP($D376,REGOLITOS!$A:$A,REGOLITOS!G:G)</f>
        <v>Sinaloa</v>
      </c>
      <c r="H376" s="48" t="str">
        <f t="array" ref="H376">XLOOKUP($D376,REGOLITOS!$A:$A,REGOLITOS!H:H)</f>
        <v>55 55 0197 0197</v>
      </c>
      <c r="I376" s="48" t="str">
        <f t="array" ref="I376">XLOOKUP($D376,REGOLITOS!$A:$A,REGOLITOS!I:I)</f>
        <v>usuario197@ejemplo.com</v>
      </c>
      <c r="J376" s="48" t="str">
        <f t="array" ref="J376">XLOOKUP($D376,REGOLITOS!$A:$A,REGOLITOS!J:J)</f>
        <v/>
      </c>
      <c r="K376" s="48" t="str">
        <f t="array" ref="K376">XLOOKUP($D376,REGOLITOS!$A:$A,REGOLITOS!K:K)</f>
        <v>Adulto Mayor</v>
      </c>
      <c r="L376" s="76" t="s">
        <v>1079</v>
      </c>
      <c r="M376" s="5" t="s">
        <v>1080</v>
      </c>
      <c r="N376" s="5" t="s">
        <v>1080</v>
      </c>
      <c r="O376" s="5" t="s">
        <v>1080</v>
      </c>
      <c r="P376" s="75"/>
      <c r="Q376" s="75"/>
      <c r="R376" s="75"/>
      <c r="S376" s="75"/>
      <c r="T376" s="75"/>
      <c r="U376" s="75"/>
      <c r="V376" s="75"/>
      <c r="W376" s="75"/>
      <c r="X376" s="71">
        <f t="shared" si="5"/>
        <v>0</v>
      </c>
      <c r="Y376" s="5" t="b">
        <v>0</v>
      </c>
    </row>
    <row r="377">
      <c r="A377" s="83" t="s">
        <v>75</v>
      </c>
      <c r="B377" s="83">
        <f t="array" ref="B377">XLOOKUP(A377, CURSOS!A:A, CURSOS!B:B)</f>
        <v>20</v>
      </c>
      <c r="C377" s="84" t="str">
        <f t="array" ref="C377">XLOOKUP(A377, CURSOS!A:A, CURSOS!C:C)</f>
        <v>COMPETENCIA INTERNACIONAL DE FÍSICA</v>
      </c>
      <c r="D377" s="70" t="s">
        <v>201</v>
      </c>
      <c r="E377" s="48">
        <f t="array" ref="E377">XLOOKUP($D377,REGOLITOS!$A:$A,REGOLITOS!E:E)</f>
        <v>14</v>
      </c>
      <c r="F377" s="48" t="str">
        <f t="array" ref="F377">XLOOKUP($D377,REGOLITOS!$A:$A,REGOLITOS!F:F)</f>
        <v>Estudiante</v>
      </c>
      <c r="G377" s="48" t="str">
        <f t="array" ref="G377">XLOOKUP($D377,REGOLITOS!$A:$A,REGOLITOS!G:G)</f>
        <v>Ciudad de México</v>
      </c>
      <c r="H377" s="48" t="str">
        <f t="array" ref="H377">XLOOKUP($D377,REGOLITOS!$A:$A,REGOLITOS!H:H)</f>
        <v>55 55 0064 0064</v>
      </c>
      <c r="I377" s="48" t="str">
        <f t="array" ref="I377">XLOOKUP($D377,REGOLITOS!$A:$A,REGOLITOS!I:I)</f>
        <v>usuario64@ejemplo.com</v>
      </c>
      <c r="J377" s="48" t="str">
        <f t="array" ref="J377">XLOOKUP($D377,REGOLITOS!$A:$A,REGOLITOS!J:J)</f>
        <v>Tutor_064</v>
      </c>
      <c r="K377" s="48" t="str">
        <f t="array" ref="K377">XLOOKUP($D377,REGOLITOS!$A:$A,REGOLITOS!K:K)</f>
        <v>Adolescente</v>
      </c>
      <c r="L377" s="76" t="s">
        <v>1079</v>
      </c>
      <c r="M377" s="5" t="s">
        <v>1080</v>
      </c>
      <c r="N377" s="5" t="s">
        <v>1080</v>
      </c>
      <c r="O377" s="5" t="s">
        <v>1080</v>
      </c>
      <c r="P377" s="75"/>
      <c r="Q377" s="75"/>
      <c r="R377" s="75"/>
      <c r="S377" s="75"/>
      <c r="T377" s="75"/>
      <c r="U377" s="75"/>
      <c r="V377" s="75"/>
      <c r="W377" s="75"/>
      <c r="X377" s="71">
        <f t="shared" si="5"/>
        <v>0</v>
      </c>
      <c r="Y377" s="5" t="b">
        <v>0</v>
      </c>
    </row>
    <row r="378">
      <c r="A378" s="83" t="s">
        <v>75</v>
      </c>
      <c r="B378" s="83">
        <f t="array" ref="B378">XLOOKUP(A378, CURSOS!A:A, CURSOS!B:B)</f>
        <v>20</v>
      </c>
      <c r="C378" s="84" t="str">
        <f t="array" ref="C378">XLOOKUP(A378, CURSOS!A:A, CURSOS!C:C)</f>
        <v>COMPETENCIA INTERNACIONAL DE FÍSICA</v>
      </c>
      <c r="D378" s="70" t="s">
        <v>354</v>
      </c>
      <c r="E378" s="48">
        <f t="array" ref="E378">XLOOKUP($D378,REGOLITOS!$A:$A,REGOLITOS!E:E)</f>
        <v>53</v>
      </c>
      <c r="F378" s="48" t="str">
        <f t="array" ref="F378">XLOOKUP($D378,REGOLITOS!$A:$A,REGOLITOS!F:F)</f>
        <v>Estudiante</v>
      </c>
      <c r="G378" s="48" t="str">
        <f t="array" ref="G378">XLOOKUP($D378,REGOLITOS!$A:$A,REGOLITOS!G:G)</f>
        <v>Ciudad de México</v>
      </c>
      <c r="H378" s="48" t="str">
        <f t="array" ref="H378">XLOOKUP($D378,REGOLITOS!$A:$A,REGOLITOS!H:H)</f>
        <v>55 55 0169 0169</v>
      </c>
      <c r="I378" s="48" t="str">
        <f t="array" ref="I378">XLOOKUP($D378,REGOLITOS!$A:$A,REGOLITOS!I:I)</f>
        <v>usuario169@ejemplo.com</v>
      </c>
      <c r="J378" s="48" t="str">
        <f t="array" ref="J378">XLOOKUP($D378,REGOLITOS!$A:$A,REGOLITOS!J:J)</f>
        <v/>
      </c>
      <c r="K378" s="48" t="str">
        <f t="array" ref="K378">XLOOKUP($D378,REGOLITOS!$A:$A,REGOLITOS!K:K)</f>
        <v>Adulto</v>
      </c>
      <c r="L378" s="76" t="s">
        <v>1079</v>
      </c>
      <c r="M378" s="5" t="s">
        <v>1080</v>
      </c>
      <c r="N378" s="5" t="s">
        <v>1078</v>
      </c>
      <c r="O378" s="5" t="s">
        <v>1078</v>
      </c>
      <c r="P378" s="75"/>
      <c r="Q378" s="75"/>
      <c r="R378" s="75"/>
      <c r="S378" s="75"/>
      <c r="T378" s="75"/>
      <c r="U378" s="75"/>
      <c r="V378" s="75"/>
      <c r="W378" s="75"/>
      <c r="X378" s="71">
        <f t="shared" si="5"/>
        <v>2</v>
      </c>
      <c r="Y378" s="5" t="b">
        <v>0</v>
      </c>
    </row>
    <row r="379">
      <c r="A379" s="83" t="s">
        <v>75</v>
      </c>
      <c r="B379" s="83">
        <f t="array" ref="B379">XLOOKUP(A379, CURSOS!A:A, CURSOS!B:B)</f>
        <v>20</v>
      </c>
      <c r="C379" s="84" t="str">
        <f t="array" ref="C379">XLOOKUP(A379, CURSOS!A:A, CURSOS!C:C)</f>
        <v>COMPETENCIA INTERNACIONAL DE FÍSICA</v>
      </c>
      <c r="D379" s="70" t="s">
        <v>168</v>
      </c>
      <c r="E379" s="48">
        <f t="array" ref="E379">XLOOKUP($D379,REGOLITOS!$A:$A,REGOLITOS!E:E)</f>
        <v>28</v>
      </c>
      <c r="F379" s="48" t="str">
        <f t="array" ref="F379">XLOOKUP($D379,REGOLITOS!$A:$A,REGOLITOS!F:F)</f>
        <v>Estudiante</v>
      </c>
      <c r="G379" s="48" t="str">
        <f t="array" ref="G379">XLOOKUP($D379,REGOLITOS!$A:$A,REGOLITOS!G:G)</f>
        <v>Morelos</v>
      </c>
      <c r="H379" s="48" t="str">
        <f t="array" ref="H379">XLOOKUP($D379,REGOLITOS!$A:$A,REGOLITOS!H:H)</f>
        <v>55 55 0042 0042</v>
      </c>
      <c r="I379" s="48" t="str">
        <f t="array" ref="I379">XLOOKUP($D379,REGOLITOS!$A:$A,REGOLITOS!I:I)</f>
        <v>usuario42@ejemplo.com</v>
      </c>
      <c r="J379" s="48" t="str">
        <f t="array" ref="J379">XLOOKUP($D379,REGOLITOS!$A:$A,REGOLITOS!J:J)</f>
        <v/>
      </c>
      <c r="K379" s="48" t="str">
        <f t="array" ref="K379">XLOOKUP($D379,REGOLITOS!$A:$A,REGOLITOS!K:K)</f>
        <v>Jóven adulto</v>
      </c>
      <c r="L379" s="76" t="s">
        <v>1079</v>
      </c>
      <c r="M379" s="5" t="s">
        <v>1080</v>
      </c>
      <c r="N379" s="5" t="s">
        <v>1080</v>
      </c>
      <c r="O379" s="5" t="s">
        <v>1080</v>
      </c>
      <c r="P379" s="5" t="s">
        <v>1080</v>
      </c>
      <c r="Q379" s="5" t="s">
        <v>1080</v>
      </c>
      <c r="X379" s="71">
        <f t="shared" si="5"/>
        <v>0</v>
      </c>
      <c r="Y379" s="5" t="b">
        <v>0</v>
      </c>
    </row>
    <row r="380">
      <c r="B380" s="5" t="str">
        <f t="array" ref="B380">XLOOKUP(A380, CURSOS!A:A, CURSOS!B:B)</f>
        <v>#N/A</v>
      </c>
      <c r="C380" s="75" t="str">
        <f t="array" ref="C380">XLOOKUP(A380, CURSOS!A:A, CURSOS!C:C)</f>
        <v>#N/A</v>
      </c>
      <c r="D380" s="70" t="e">
        <v>#N/A</v>
      </c>
      <c r="E380" s="48"/>
      <c r="F380" s="48" t="str">
        <f t="array" ref="F380">XLOOKUP($D380,REGOLITOS!$A:$A,REGOLITOS!F:F)</f>
        <v>#N/A</v>
      </c>
      <c r="G380" s="48" t="str">
        <f t="array" ref="G380">XLOOKUP($D380,REGOLITOS!$A:$A,REGOLITOS!G:G)</f>
        <v>#N/A</v>
      </c>
      <c r="H380" s="48" t="str">
        <f t="array" ref="H380">XLOOKUP($D380,REGOLITOS!$A:$A,REGOLITOS!H:H)</f>
        <v>#N/A</v>
      </c>
      <c r="I380" s="48" t="str">
        <f t="array" ref="I380">XLOOKUP($D380,REGOLITOS!$A:$A,REGOLITOS!I:I)</f>
        <v>#N/A</v>
      </c>
      <c r="J380" s="48" t="str">
        <f t="array" ref="J380">XLOOKUP($D380,REGOLITOS!$A:$A,REGOLITOS!J:J)</f>
        <v>#N/A</v>
      </c>
      <c r="K380" s="48" t="str">
        <f t="array" ref="K380">XLOOKUP($D380,REGOLITOS!$A:$A,REGOLITOS!K:K)</f>
        <v>#N/A</v>
      </c>
      <c r="L380" s="76"/>
      <c r="M380" s="5" t="s">
        <v>1080</v>
      </c>
      <c r="N380" s="5" t="s">
        <v>1080</v>
      </c>
      <c r="O380" s="5" t="s">
        <v>1080</v>
      </c>
      <c r="P380" s="5" t="s">
        <v>1080</v>
      </c>
      <c r="Q380" s="5" t="s">
        <v>1080</v>
      </c>
      <c r="X380" s="71">
        <f t="shared" si="5"/>
        <v>0</v>
      </c>
      <c r="Y380" s="5" t="b">
        <v>0</v>
      </c>
    </row>
    <row r="381">
      <c r="B381" s="5" t="str">
        <f t="array" ref="B381">XLOOKUP(A381, CURSOS!A:A, CURSOS!B:B)</f>
        <v>#N/A</v>
      </c>
      <c r="C381" s="75" t="str">
        <f t="array" ref="C381">XLOOKUP(A381, CURSOS!A:A, CURSOS!C:C)</f>
        <v>#N/A</v>
      </c>
      <c r="D381" s="70" t="e">
        <v>#N/A</v>
      </c>
      <c r="E381" s="48"/>
      <c r="F381" s="48" t="str">
        <f t="array" ref="F381">XLOOKUP($D381,REGOLITOS!$A:$A,REGOLITOS!F:F)</f>
        <v>#N/A</v>
      </c>
      <c r="G381" s="48" t="str">
        <f t="array" ref="G381">XLOOKUP($D381,REGOLITOS!$A:$A,REGOLITOS!G:G)</f>
        <v>#N/A</v>
      </c>
      <c r="H381" s="48" t="str">
        <f t="array" ref="H381">XLOOKUP($D381,REGOLITOS!$A:$A,REGOLITOS!H:H)</f>
        <v>#N/A</v>
      </c>
      <c r="I381" s="48" t="str">
        <f t="array" ref="I381">XLOOKUP($D381,REGOLITOS!$A:$A,REGOLITOS!I:I)</f>
        <v>#N/A</v>
      </c>
      <c r="J381" s="48" t="str">
        <f t="array" ref="J381">XLOOKUP($D381,REGOLITOS!$A:$A,REGOLITOS!J:J)</f>
        <v>#N/A</v>
      </c>
      <c r="K381" s="48" t="str">
        <f t="array" ref="K381">XLOOKUP($D381,REGOLITOS!$A:$A,REGOLITOS!K:K)</f>
        <v>#N/A</v>
      </c>
      <c r="L381" s="76"/>
      <c r="M381" s="5" t="s">
        <v>1080</v>
      </c>
      <c r="N381" s="5" t="s">
        <v>1080</v>
      </c>
      <c r="O381" s="5" t="s">
        <v>1080</v>
      </c>
      <c r="P381" s="5" t="s">
        <v>1080</v>
      </c>
      <c r="Q381" s="5" t="s">
        <v>1080</v>
      </c>
      <c r="X381" s="71">
        <f t="shared" si="5"/>
        <v>0</v>
      </c>
      <c r="Y381" s="5" t="b">
        <v>0</v>
      </c>
    </row>
    <row r="382">
      <c r="B382" s="5" t="str">
        <f t="array" ref="B382">XLOOKUP(A382, CURSOS!A:A, CURSOS!B:B)</f>
        <v>#N/A</v>
      </c>
      <c r="C382" s="75" t="str">
        <f t="array" ref="C382">XLOOKUP(A382, CURSOS!A:A, CURSOS!C:C)</f>
        <v>#N/A</v>
      </c>
      <c r="D382" s="70" t="e">
        <v>#N/A</v>
      </c>
      <c r="E382" s="48"/>
      <c r="F382" s="48" t="str">
        <f t="array" ref="F382">XLOOKUP($D382,REGOLITOS!$A:$A,REGOLITOS!F:F)</f>
        <v>#N/A</v>
      </c>
      <c r="G382" s="48" t="str">
        <f t="array" ref="G382">XLOOKUP($D382,REGOLITOS!$A:$A,REGOLITOS!G:G)</f>
        <v>#N/A</v>
      </c>
      <c r="H382" s="48" t="str">
        <f t="array" ref="H382">XLOOKUP($D382,REGOLITOS!$A:$A,REGOLITOS!H:H)</f>
        <v>#N/A</v>
      </c>
      <c r="I382" s="48" t="str">
        <f t="array" ref="I382">XLOOKUP($D382,REGOLITOS!$A:$A,REGOLITOS!I:I)</f>
        <v>#N/A</v>
      </c>
      <c r="J382" s="48" t="str">
        <f t="array" ref="J382">XLOOKUP($D382,REGOLITOS!$A:$A,REGOLITOS!J:J)</f>
        <v>#N/A</v>
      </c>
      <c r="K382" s="48" t="str">
        <f t="array" ref="K382">XLOOKUP($D382,REGOLITOS!$A:$A,REGOLITOS!K:K)</f>
        <v>#N/A</v>
      </c>
      <c r="L382" s="76"/>
      <c r="M382" s="5" t="s">
        <v>1080</v>
      </c>
      <c r="N382" s="5" t="s">
        <v>1080</v>
      </c>
      <c r="O382" s="5" t="s">
        <v>1080</v>
      </c>
      <c r="P382" s="5" t="s">
        <v>1080</v>
      </c>
      <c r="Q382" s="5" t="s">
        <v>1080</v>
      </c>
      <c r="X382" s="71">
        <f t="shared" si="5"/>
        <v>0</v>
      </c>
      <c r="Y382" s="5" t="b">
        <v>0</v>
      </c>
    </row>
    <row r="383">
      <c r="B383" s="5" t="str">
        <f t="array" ref="B383">XLOOKUP(A383, CURSOS!A:A, CURSOS!B:B)</f>
        <v>#N/A</v>
      </c>
      <c r="C383" s="75" t="str">
        <f t="array" ref="C383">XLOOKUP(A383, CURSOS!A:A, CURSOS!C:C)</f>
        <v>#N/A</v>
      </c>
      <c r="D383" s="70" t="e">
        <v>#N/A</v>
      </c>
      <c r="E383" s="48"/>
      <c r="F383" s="48" t="str">
        <f t="array" ref="F383">XLOOKUP($D383,REGOLITOS!$A:$A,REGOLITOS!F:F)</f>
        <v>#N/A</v>
      </c>
      <c r="G383" s="48" t="str">
        <f t="array" ref="G383">XLOOKUP($D383,REGOLITOS!$A:$A,REGOLITOS!G:G)</f>
        <v>#N/A</v>
      </c>
      <c r="H383" s="48" t="str">
        <f t="array" ref="H383">XLOOKUP($D383,REGOLITOS!$A:$A,REGOLITOS!H:H)</f>
        <v>#N/A</v>
      </c>
      <c r="I383" s="48" t="str">
        <f t="array" ref="I383">XLOOKUP($D383,REGOLITOS!$A:$A,REGOLITOS!I:I)</f>
        <v>#N/A</v>
      </c>
      <c r="J383" s="48" t="str">
        <f t="array" ref="J383">XLOOKUP($D383,REGOLITOS!$A:$A,REGOLITOS!J:J)</f>
        <v>#N/A</v>
      </c>
      <c r="K383" s="48" t="str">
        <f t="array" ref="K383">XLOOKUP($D383,REGOLITOS!$A:$A,REGOLITOS!K:K)</f>
        <v>#N/A</v>
      </c>
      <c r="L383" s="76"/>
      <c r="M383" s="5" t="s">
        <v>1080</v>
      </c>
      <c r="N383" s="5" t="s">
        <v>1080</v>
      </c>
      <c r="O383" s="5" t="s">
        <v>1080</v>
      </c>
      <c r="P383" s="5" t="s">
        <v>1080</v>
      </c>
      <c r="Q383" s="5" t="s">
        <v>1080</v>
      </c>
      <c r="X383" s="71">
        <f t="shared" si="5"/>
        <v>0</v>
      </c>
      <c r="Y383" s="5" t="b">
        <v>0</v>
      </c>
    </row>
    <row r="384">
      <c r="B384" s="5" t="str">
        <f t="array" ref="B384">XLOOKUP(A384, CURSOS!A:A, CURSOS!B:B)</f>
        <v>#N/A</v>
      </c>
      <c r="C384" s="75" t="str">
        <f t="array" ref="C384">XLOOKUP(A384, CURSOS!A:A, CURSOS!C:C)</f>
        <v>#N/A</v>
      </c>
      <c r="D384" s="70" t="e">
        <v>#N/A</v>
      </c>
      <c r="E384" s="48"/>
      <c r="F384" s="48" t="str">
        <f t="array" ref="F384">XLOOKUP($D384,REGOLITOS!$A:$A,REGOLITOS!F:F)</f>
        <v>#N/A</v>
      </c>
      <c r="G384" s="48" t="str">
        <f t="array" ref="G384">XLOOKUP($D384,REGOLITOS!$A:$A,REGOLITOS!G:G)</f>
        <v>#N/A</v>
      </c>
      <c r="H384" s="48" t="str">
        <f t="array" ref="H384">XLOOKUP($D384,REGOLITOS!$A:$A,REGOLITOS!H:H)</f>
        <v>#N/A</v>
      </c>
      <c r="I384" s="48" t="str">
        <f t="array" ref="I384">XLOOKUP($D384,REGOLITOS!$A:$A,REGOLITOS!I:I)</f>
        <v>#N/A</v>
      </c>
      <c r="J384" s="48" t="str">
        <f t="array" ref="J384">XLOOKUP($D384,REGOLITOS!$A:$A,REGOLITOS!J:J)</f>
        <v>#N/A</v>
      </c>
      <c r="K384" s="48" t="str">
        <f t="array" ref="K384">XLOOKUP($D384,REGOLITOS!$A:$A,REGOLITOS!K:K)</f>
        <v>#N/A</v>
      </c>
      <c r="L384" s="76"/>
      <c r="M384" s="5" t="s">
        <v>1080</v>
      </c>
      <c r="N384" s="5" t="s">
        <v>1080</v>
      </c>
      <c r="O384" s="5" t="s">
        <v>1080</v>
      </c>
      <c r="P384" s="5" t="s">
        <v>1080</v>
      </c>
      <c r="Q384" s="5" t="s">
        <v>1080</v>
      </c>
      <c r="X384" s="71">
        <f t="shared" si="5"/>
        <v>0</v>
      </c>
      <c r="Y384" s="5" t="b">
        <v>0</v>
      </c>
    </row>
    <row r="385">
      <c r="B385" s="5" t="str">
        <f t="array" ref="B385">XLOOKUP(A385, CURSOS!A:A, CURSOS!B:B)</f>
        <v>#N/A</v>
      </c>
      <c r="C385" s="75" t="str">
        <f t="array" ref="C385">XLOOKUP(A385, CURSOS!A:A, CURSOS!C:C)</f>
        <v>#N/A</v>
      </c>
      <c r="D385" s="70" t="e">
        <v>#N/A</v>
      </c>
      <c r="E385" s="48"/>
      <c r="F385" s="48" t="str">
        <f t="array" ref="F385">XLOOKUP($D385,REGOLITOS!$A:$A,REGOLITOS!F:F)</f>
        <v>#N/A</v>
      </c>
      <c r="G385" s="48" t="str">
        <f t="array" ref="G385">XLOOKUP($D385,REGOLITOS!$A:$A,REGOLITOS!G:G)</f>
        <v>#N/A</v>
      </c>
      <c r="H385" s="48" t="str">
        <f t="array" ref="H385">XLOOKUP($D385,REGOLITOS!$A:$A,REGOLITOS!H:H)</f>
        <v>#N/A</v>
      </c>
      <c r="I385" s="48" t="str">
        <f t="array" ref="I385">XLOOKUP($D385,REGOLITOS!$A:$A,REGOLITOS!I:I)</f>
        <v>#N/A</v>
      </c>
      <c r="J385" s="48" t="str">
        <f t="array" ref="J385">XLOOKUP($D385,REGOLITOS!$A:$A,REGOLITOS!J:J)</f>
        <v>#N/A</v>
      </c>
      <c r="K385" s="48" t="str">
        <f t="array" ref="K385">XLOOKUP($D385,REGOLITOS!$A:$A,REGOLITOS!K:K)</f>
        <v>#N/A</v>
      </c>
      <c r="L385" s="76"/>
      <c r="M385" s="5" t="s">
        <v>1080</v>
      </c>
      <c r="N385" s="5" t="s">
        <v>1080</v>
      </c>
      <c r="O385" s="5" t="s">
        <v>1080</v>
      </c>
      <c r="P385" s="5" t="s">
        <v>1080</v>
      </c>
      <c r="Q385" s="5" t="s">
        <v>1080</v>
      </c>
      <c r="X385" s="71">
        <f t="shared" si="5"/>
        <v>0</v>
      </c>
      <c r="Y385" s="5" t="b">
        <v>0</v>
      </c>
    </row>
    <row r="386">
      <c r="B386" s="5" t="str">
        <f t="array" ref="B386">XLOOKUP(A386, CURSOS!A:A, CURSOS!B:B)</f>
        <v>#N/A</v>
      </c>
      <c r="C386" s="75" t="str">
        <f t="array" ref="C386">XLOOKUP(A386, CURSOS!A:A, CURSOS!C:C)</f>
        <v>#N/A</v>
      </c>
      <c r="D386" s="70" t="e">
        <v>#N/A</v>
      </c>
      <c r="E386" s="48"/>
      <c r="F386" s="48" t="str">
        <f t="array" ref="F386">XLOOKUP($D386,REGOLITOS!$A:$A,REGOLITOS!F:F)</f>
        <v>#N/A</v>
      </c>
      <c r="G386" s="48" t="str">
        <f t="array" ref="G386">XLOOKUP($D386,REGOLITOS!$A:$A,REGOLITOS!G:G)</f>
        <v>#N/A</v>
      </c>
      <c r="H386" s="48" t="str">
        <f t="array" ref="H386">XLOOKUP($D386,REGOLITOS!$A:$A,REGOLITOS!H:H)</f>
        <v>#N/A</v>
      </c>
      <c r="I386" s="48" t="str">
        <f t="array" ref="I386">XLOOKUP($D386,REGOLITOS!$A:$A,REGOLITOS!I:I)</f>
        <v>#N/A</v>
      </c>
      <c r="J386" s="48" t="str">
        <f t="array" ref="J386">XLOOKUP($D386,REGOLITOS!$A:$A,REGOLITOS!J:J)</f>
        <v>#N/A</v>
      </c>
      <c r="K386" s="48" t="str">
        <f t="array" ref="K386">XLOOKUP($D386,REGOLITOS!$A:$A,REGOLITOS!K:K)</f>
        <v>#N/A</v>
      </c>
      <c r="L386" s="76"/>
      <c r="M386" s="5" t="s">
        <v>1080</v>
      </c>
      <c r="N386" s="5" t="s">
        <v>1080</v>
      </c>
      <c r="O386" s="5" t="s">
        <v>1080</v>
      </c>
      <c r="P386" s="5" t="s">
        <v>1080</v>
      </c>
      <c r="Q386" s="5" t="s">
        <v>1080</v>
      </c>
      <c r="X386" s="71">
        <f t="shared" si="5"/>
        <v>0</v>
      </c>
      <c r="Y386" s="5" t="b">
        <v>0</v>
      </c>
    </row>
    <row r="387">
      <c r="B387" s="5" t="str">
        <f t="array" ref="B387">XLOOKUP(A387, CURSOS!A:A, CURSOS!B:B)</f>
        <v>#N/A</v>
      </c>
      <c r="C387" s="75" t="str">
        <f t="array" ref="C387">XLOOKUP(A387, CURSOS!A:A, CURSOS!C:C)</f>
        <v>#N/A</v>
      </c>
      <c r="D387" s="70" t="e">
        <v>#N/A</v>
      </c>
      <c r="E387" s="48"/>
      <c r="F387" s="48" t="str">
        <f t="array" ref="F387">XLOOKUP($D387,REGOLITOS!$A:$A,REGOLITOS!F:F)</f>
        <v>#N/A</v>
      </c>
      <c r="G387" s="48" t="str">
        <f t="array" ref="G387">XLOOKUP($D387,REGOLITOS!$A:$A,REGOLITOS!G:G)</f>
        <v>#N/A</v>
      </c>
      <c r="H387" s="48" t="str">
        <f t="array" ref="H387">XLOOKUP($D387,REGOLITOS!$A:$A,REGOLITOS!H:H)</f>
        <v>#N/A</v>
      </c>
      <c r="I387" s="48" t="str">
        <f t="array" ref="I387">XLOOKUP($D387,REGOLITOS!$A:$A,REGOLITOS!I:I)</f>
        <v>#N/A</v>
      </c>
      <c r="J387" s="48" t="str">
        <f t="array" ref="J387">XLOOKUP($D387,REGOLITOS!$A:$A,REGOLITOS!J:J)</f>
        <v>#N/A</v>
      </c>
      <c r="K387" s="48" t="str">
        <f t="array" ref="K387">XLOOKUP($D387,REGOLITOS!$A:$A,REGOLITOS!K:K)</f>
        <v>#N/A</v>
      </c>
      <c r="L387" s="76"/>
      <c r="M387" s="5" t="s">
        <v>1080</v>
      </c>
      <c r="N387" s="5" t="s">
        <v>1080</v>
      </c>
      <c r="O387" s="5" t="s">
        <v>1080</v>
      </c>
      <c r="P387" s="5" t="s">
        <v>1080</v>
      </c>
      <c r="Q387" s="5" t="s">
        <v>1080</v>
      </c>
      <c r="X387" s="71">
        <f t="shared" si="5"/>
        <v>0</v>
      </c>
      <c r="Y387" s="5" t="b">
        <v>0</v>
      </c>
    </row>
    <row r="388">
      <c r="B388" s="5" t="str">
        <f t="array" ref="B388">XLOOKUP(A388, CURSOS!A:A, CURSOS!B:B)</f>
        <v>#N/A</v>
      </c>
      <c r="C388" s="75" t="str">
        <f t="array" ref="C388">XLOOKUP(A388, CURSOS!A:A, CURSOS!C:C)</f>
        <v>#N/A</v>
      </c>
      <c r="D388" s="70" t="e">
        <v>#N/A</v>
      </c>
      <c r="E388" s="48"/>
      <c r="F388" s="48" t="str">
        <f t="array" ref="F388">XLOOKUP($D388,REGOLITOS!$A:$A,REGOLITOS!F:F)</f>
        <v>#N/A</v>
      </c>
      <c r="G388" s="48" t="str">
        <f t="array" ref="G388">XLOOKUP($D388,REGOLITOS!$A:$A,REGOLITOS!G:G)</f>
        <v>#N/A</v>
      </c>
      <c r="H388" s="48" t="str">
        <f t="array" ref="H388">XLOOKUP($D388,REGOLITOS!$A:$A,REGOLITOS!H:H)</f>
        <v>#N/A</v>
      </c>
      <c r="I388" s="48" t="str">
        <f t="array" ref="I388">XLOOKUP($D388,REGOLITOS!$A:$A,REGOLITOS!I:I)</f>
        <v>#N/A</v>
      </c>
      <c r="J388" s="48" t="str">
        <f t="array" ref="J388">XLOOKUP($D388,REGOLITOS!$A:$A,REGOLITOS!J:J)</f>
        <v>#N/A</v>
      </c>
      <c r="K388" s="48" t="str">
        <f t="array" ref="K388">XLOOKUP($D388,REGOLITOS!$A:$A,REGOLITOS!K:K)</f>
        <v>#N/A</v>
      </c>
      <c r="L388" s="76"/>
      <c r="M388" s="5" t="s">
        <v>1080</v>
      </c>
      <c r="N388" s="5" t="s">
        <v>1080</v>
      </c>
      <c r="O388" s="5" t="s">
        <v>1080</v>
      </c>
      <c r="P388" s="5" t="s">
        <v>1080</v>
      </c>
      <c r="Q388" s="5" t="s">
        <v>1080</v>
      </c>
      <c r="X388" s="71">
        <f t="shared" si="5"/>
        <v>0</v>
      </c>
      <c r="Y388" s="5" t="b">
        <v>0</v>
      </c>
    </row>
    <row r="389">
      <c r="B389" s="5" t="str">
        <f t="array" ref="B389">XLOOKUP(A389, CURSOS!A:A, CURSOS!B:B)</f>
        <v>#N/A</v>
      </c>
      <c r="C389" s="75" t="str">
        <f t="array" ref="C389">XLOOKUP(A389, CURSOS!A:A, CURSOS!C:C)</f>
        <v>#N/A</v>
      </c>
      <c r="D389" s="70" t="e">
        <v>#N/A</v>
      </c>
      <c r="E389" s="48"/>
      <c r="F389" s="48" t="str">
        <f t="array" ref="F389">XLOOKUP($D389,REGOLITOS!$A:$A,REGOLITOS!F:F)</f>
        <v>#N/A</v>
      </c>
      <c r="G389" s="48" t="str">
        <f t="array" ref="G389">XLOOKUP($D389,REGOLITOS!$A:$A,REGOLITOS!G:G)</f>
        <v>#N/A</v>
      </c>
      <c r="H389" s="48" t="str">
        <f t="array" ref="H389">XLOOKUP($D389,REGOLITOS!$A:$A,REGOLITOS!H:H)</f>
        <v>#N/A</v>
      </c>
      <c r="I389" s="48" t="str">
        <f t="array" ref="I389">XLOOKUP($D389,REGOLITOS!$A:$A,REGOLITOS!I:I)</f>
        <v>#N/A</v>
      </c>
      <c r="J389" s="48" t="str">
        <f t="array" ref="J389">XLOOKUP($D389,REGOLITOS!$A:$A,REGOLITOS!J:J)</f>
        <v>#N/A</v>
      </c>
      <c r="K389" s="48" t="str">
        <f t="array" ref="K389">XLOOKUP($D389,REGOLITOS!$A:$A,REGOLITOS!K:K)</f>
        <v>#N/A</v>
      </c>
      <c r="L389" s="76"/>
      <c r="M389" s="5" t="s">
        <v>1080</v>
      </c>
      <c r="N389" s="5" t="s">
        <v>1080</v>
      </c>
      <c r="O389" s="5" t="s">
        <v>1080</v>
      </c>
      <c r="P389" s="5" t="s">
        <v>1080</v>
      </c>
      <c r="Q389" s="5" t="s">
        <v>1080</v>
      </c>
      <c r="X389" s="71">
        <f t="shared" si="5"/>
        <v>0</v>
      </c>
      <c r="Y389" s="5" t="b">
        <v>0</v>
      </c>
    </row>
    <row r="390">
      <c r="B390" s="5" t="str">
        <f t="array" ref="B390">XLOOKUP(A390, CURSOS!A:A, CURSOS!B:B)</f>
        <v>#N/A</v>
      </c>
      <c r="C390" s="75" t="str">
        <f t="array" ref="C390">XLOOKUP(A390, CURSOS!A:A, CURSOS!C:C)</f>
        <v>#N/A</v>
      </c>
      <c r="D390" s="70" t="e">
        <v>#N/A</v>
      </c>
      <c r="E390" s="48"/>
      <c r="F390" s="48" t="str">
        <f t="array" ref="F390">XLOOKUP($D390,REGOLITOS!$A:$A,REGOLITOS!F:F)</f>
        <v>#N/A</v>
      </c>
      <c r="G390" s="48" t="str">
        <f t="array" ref="G390">XLOOKUP($D390,REGOLITOS!$A:$A,REGOLITOS!G:G)</f>
        <v>#N/A</v>
      </c>
      <c r="H390" s="48" t="str">
        <f t="array" ref="H390">XLOOKUP($D390,REGOLITOS!$A:$A,REGOLITOS!H:H)</f>
        <v>#N/A</v>
      </c>
      <c r="I390" s="48" t="str">
        <f t="array" ref="I390">XLOOKUP($D390,REGOLITOS!$A:$A,REGOLITOS!I:I)</f>
        <v>#N/A</v>
      </c>
      <c r="J390" s="48" t="str">
        <f t="array" ref="J390">XLOOKUP($D390,REGOLITOS!$A:$A,REGOLITOS!J:J)</f>
        <v>#N/A</v>
      </c>
      <c r="K390" s="48" t="str">
        <f t="array" ref="K390">XLOOKUP($D390,REGOLITOS!$A:$A,REGOLITOS!K:K)</f>
        <v>#N/A</v>
      </c>
      <c r="L390" s="76"/>
      <c r="M390" s="5" t="s">
        <v>1080</v>
      </c>
      <c r="N390" s="5" t="s">
        <v>1080</v>
      </c>
      <c r="O390" s="5" t="s">
        <v>1080</v>
      </c>
      <c r="P390" s="5" t="s">
        <v>1080</v>
      </c>
      <c r="Q390" s="5" t="s">
        <v>1080</v>
      </c>
      <c r="X390" s="71">
        <f t="shared" si="5"/>
        <v>0</v>
      </c>
      <c r="Y390" s="5" t="b">
        <v>0</v>
      </c>
    </row>
    <row r="391">
      <c r="B391" s="5" t="str">
        <f t="array" ref="B391">XLOOKUP(A391, CURSOS!A:A, CURSOS!B:B)</f>
        <v>#N/A</v>
      </c>
      <c r="C391" s="75" t="str">
        <f t="array" ref="C391">XLOOKUP(A391, CURSOS!A:A, CURSOS!C:C)</f>
        <v>#N/A</v>
      </c>
      <c r="D391" s="70" t="e">
        <v>#N/A</v>
      </c>
      <c r="E391" s="48"/>
      <c r="F391" s="48" t="str">
        <f t="array" ref="F391">XLOOKUP($D391,REGOLITOS!$A:$A,REGOLITOS!F:F)</f>
        <v>#N/A</v>
      </c>
      <c r="G391" s="48" t="str">
        <f t="array" ref="G391">XLOOKUP($D391,REGOLITOS!$A:$A,REGOLITOS!G:G)</f>
        <v>#N/A</v>
      </c>
      <c r="H391" s="48" t="str">
        <f t="array" ref="H391">XLOOKUP($D391,REGOLITOS!$A:$A,REGOLITOS!H:H)</f>
        <v>#N/A</v>
      </c>
      <c r="I391" s="48" t="str">
        <f t="array" ref="I391">XLOOKUP($D391,REGOLITOS!$A:$A,REGOLITOS!I:I)</f>
        <v>#N/A</v>
      </c>
      <c r="J391" s="48" t="str">
        <f t="array" ref="J391">XLOOKUP($D391,REGOLITOS!$A:$A,REGOLITOS!J:J)</f>
        <v>#N/A</v>
      </c>
      <c r="K391" s="48" t="str">
        <f t="array" ref="K391">XLOOKUP($D391,REGOLITOS!$A:$A,REGOLITOS!K:K)</f>
        <v>#N/A</v>
      </c>
      <c r="L391" s="76"/>
      <c r="M391" s="5" t="s">
        <v>1080</v>
      </c>
      <c r="N391" s="5" t="s">
        <v>1080</v>
      </c>
      <c r="O391" s="5" t="s">
        <v>1080</v>
      </c>
      <c r="P391" s="5" t="s">
        <v>1080</v>
      </c>
      <c r="Q391" s="5" t="s">
        <v>1080</v>
      </c>
      <c r="X391" s="71">
        <f t="shared" si="5"/>
        <v>0</v>
      </c>
      <c r="Y391" s="5" t="b">
        <v>0</v>
      </c>
    </row>
    <row r="392">
      <c r="B392" s="5" t="str">
        <f t="array" ref="B392">XLOOKUP(A392, CURSOS!A:A, CURSOS!B:B)</f>
        <v>#N/A</v>
      </c>
      <c r="C392" s="75" t="str">
        <f t="array" ref="C392">XLOOKUP(A392, CURSOS!A:A, CURSOS!C:C)</f>
        <v>#N/A</v>
      </c>
      <c r="D392" s="70" t="e">
        <v>#N/A</v>
      </c>
      <c r="E392" s="48"/>
      <c r="F392" s="48" t="str">
        <f t="array" ref="F392">XLOOKUP($D392,REGOLITOS!$A:$A,REGOLITOS!F:F)</f>
        <v>#N/A</v>
      </c>
      <c r="G392" s="48" t="str">
        <f t="array" ref="G392">XLOOKUP($D392,REGOLITOS!$A:$A,REGOLITOS!G:G)</f>
        <v>#N/A</v>
      </c>
      <c r="H392" s="48" t="str">
        <f t="array" ref="H392">XLOOKUP($D392,REGOLITOS!$A:$A,REGOLITOS!H:H)</f>
        <v>#N/A</v>
      </c>
      <c r="I392" s="48" t="str">
        <f t="array" ref="I392">XLOOKUP($D392,REGOLITOS!$A:$A,REGOLITOS!I:I)</f>
        <v>#N/A</v>
      </c>
      <c r="J392" s="48" t="str">
        <f t="array" ref="J392">XLOOKUP($D392,REGOLITOS!$A:$A,REGOLITOS!J:J)</f>
        <v>#N/A</v>
      </c>
      <c r="K392" s="48" t="str">
        <f t="array" ref="K392">XLOOKUP($D392,REGOLITOS!$A:$A,REGOLITOS!K:K)</f>
        <v>#N/A</v>
      </c>
      <c r="L392" s="76"/>
      <c r="M392" s="5" t="s">
        <v>1080</v>
      </c>
      <c r="N392" s="5" t="s">
        <v>1080</v>
      </c>
      <c r="O392" s="5" t="s">
        <v>1080</v>
      </c>
      <c r="P392" s="5" t="s">
        <v>1080</v>
      </c>
      <c r="Q392" s="5" t="s">
        <v>1080</v>
      </c>
      <c r="X392" s="71">
        <f t="shared" si="5"/>
        <v>0</v>
      </c>
      <c r="Y392" s="5" t="b">
        <v>0</v>
      </c>
    </row>
    <row r="393">
      <c r="B393" s="5" t="str">
        <f t="array" ref="B393">XLOOKUP(A393, CURSOS!A:A, CURSOS!B:B)</f>
        <v>#N/A</v>
      </c>
      <c r="C393" s="75" t="str">
        <f t="array" ref="C393">XLOOKUP(A393, CURSOS!A:A, CURSOS!C:C)</f>
        <v>#N/A</v>
      </c>
      <c r="D393" s="70" t="e">
        <v>#N/A</v>
      </c>
      <c r="E393" s="48"/>
      <c r="F393" s="48" t="str">
        <f t="array" ref="F393">XLOOKUP($D393,REGOLITOS!$A:$A,REGOLITOS!F:F)</f>
        <v>#N/A</v>
      </c>
      <c r="G393" s="48" t="str">
        <f t="array" ref="G393">XLOOKUP($D393,REGOLITOS!$A:$A,REGOLITOS!G:G)</f>
        <v>#N/A</v>
      </c>
      <c r="H393" s="48" t="str">
        <f t="array" ref="H393">XLOOKUP($D393,REGOLITOS!$A:$A,REGOLITOS!H:H)</f>
        <v>#N/A</v>
      </c>
      <c r="I393" s="48" t="str">
        <f t="array" ref="I393">XLOOKUP($D393,REGOLITOS!$A:$A,REGOLITOS!I:I)</f>
        <v>#N/A</v>
      </c>
      <c r="J393" s="48" t="str">
        <f t="array" ref="J393">XLOOKUP($D393,REGOLITOS!$A:$A,REGOLITOS!J:J)</f>
        <v>#N/A</v>
      </c>
      <c r="K393" s="48" t="str">
        <f t="array" ref="K393">XLOOKUP($D393,REGOLITOS!$A:$A,REGOLITOS!K:K)</f>
        <v>#N/A</v>
      </c>
      <c r="L393" s="76"/>
      <c r="M393" s="5" t="s">
        <v>1080</v>
      </c>
      <c r="N393" s="5" t="s">
        <v>1080</v>
      </c>
      <c r="O393" s="5" t="s">
        <v>1080</v>
      </c>
      <c r="P393" s="5" t="s">
        <v>1080</v>
      </c>
      <c r="Q393" s="5" t="s">
        <v>1080</v>
      </c>
      <c r="X393" s="71">
        <f t="shared" si="5"/>
        <v>0</v>
      </c>
      <c r="Y393" s="5" t="b">
        <v>0</v>
      </c>
    </row>
    <row r="394">
      <c r="B394" s="5" t="str">
        <f t="array" ref="B394">XLOOKUP(A394, CURSOS!A:A, CURSOS!B:B)</f>
        <v>#N/A</v>
      </c>
      <c r="C394" s="75" t="str">
        <f t="array" ref="C394">XLOOKUP(A394, CURSOS!A:A, CURSOS!C:C)</f>
        <v>#N/A</v>
      </c>
      <c r="D394" s="70" t="e">
        <v>#N/A</v>
      </c>
      <c r="E394" s="48"/>
      <c r="F394" s="48" t="str">
        <f t="array" ref="F394">XLOOKUP($D394,REGOLITOS!$A:$A,REGOLITOS!F:F)</f>
        <v>#N/A</v>
      </c>
      <c r="G394" s="48" t="str">
        <f t="array" ref="G394">XLOOKUP($D394,REGOLITOS!$A:$A,REGOLITOS!G:G)</f>
        <v>#N/A</v>
      </c>
      <c r="H394" s="48" t="str">
        <f t="array" ref="H394">XLOOKUP($D394,REGOLITOS!$A:$A,REGOLITOS!H:H)</f>
        <v>#N/A</v>
      </c>
      <c r="I394" s="48" t="str">
        <f t="array" ref="I394">XLOOKUP($D394,REGOLITOS!$A:$A,REGOLITOS!I:I)</f>
        <v>#N/A</v>
      </c>
      <c r="J394" s="48" t="str">
        <f t="array" ref="J394">XLOOKUP($D394,REGOLITOS!$A:$A,REGOLITOS!J:J)</f>
        <v>#N/A</v>
      </c>
      <c r="K394" s="48" t="str">
        <f t="array" ref="K394">XLOOKUP($D394,REGOLITOS!$A:$A,REGOLITOS!K:K)</f>
        <v>#N/A</v>
      </c>
      <c r="L394" s="76"/>
      <c r="M394" s="5" t="s">
        <v>1080</v>
      </c>
      <c r="N394" s="5" t="s">
        <v>1080</v>
      </c>
      <c r="O394" s="5" t="s">
        <v>1080</v>
      </c>
      <c r="P394" s="5" t="s">
        <v>1080</v>
      </c>
      <c r="Q394" s="5" t="s">
        <v>1080</v>
      </c>
      <c r="X394" s="71">
        <f t="shared" si="5"/>
        <v>0</v>
      </c>
      <c r="Y394" s="5" t="b">
        <v>0</v>
      </c>
    </row>
    <row r="395">
      <c r="B395" s="5" t="str">
        <f t="array" ref="B395">XLOOKUP(A395, CURSOS!A:A, CURSOS!B:B)</f>
        <v>#N/A</v>
      </c>
      <c r="C395" s="75" t="str">
        <f t="array" ref="C395">XLOOKUP(A395, CURSOS!A:A, CURSOS!C:C)</f>
        <v>#N/A</v>
      </c>
      <c r="D395" s="70" t="e">
        <v>#N/A</v>
      </c>
      <c r="E395" s="48"/>
      <c r="F395" s="48" t="str">
        <f t="array" ref="F395">XLOOKUP($D395,REGOLITOS!$A:$A,REGOLITOS!F:F)</f>
        <v>#N/A</v>
      </c>
      <c r="G395" s="48" t="str">
        <f t="array" ref="G395">XLOOKUP($D395,REGOLITOS!$A:$A,REGOLITOS!G:G)</f>
        <v>#N/A</v>
      </c>
      <c r="H395" s="48" t="str">
        <f t="array" ref="H395">XLOOKUP($D395,REGOLITOS!$A:$A,REGOLITOS!H:H)</f>
        <v>#N/A</v>
      </c>
      <c r="I395" s="48" t="str">
        <f t="array" ref="I395">XLOOKUP($D395,REGOLITOS!$A:$A,REGOLITOS!I:I)</f>
        <v>#N/A</v>
      </c>
      <c r="J395" s="48" t="str">
        <f t="array" ref="J395">XLOOKUP($D395,REGOLITOS!$A:$A,REGOLITOS!J:J)</f>
        <v>#N/A</v>
      </c>
      <c r="K395" s="48" t="str">
        <f t="array" ref="K395">XLOOKUP($D395,REGOLITOS!$A:$A,REGOLITOS!K:K)</f>
        <v>#N/A</v>
      </c>
      <c r="L395" s="76"/>
      <c r="M395" s="5" t="s">
        <v>1080</v>
      </c>
      <c r="N395" s="5" t="s">
        <v>1080</v>
      </c>
      <c r="O395" s="5" t="s">
        <v>1080</v>
      </c>
      <c r="P395" s="5" t="s">
        <v>1080</v>
      </c>
      <c r="Q395" s="5" t="s">
        <v>1080</v>
      </c>
      <c r="X395" s="71">
        <f t="shared" si="5"/>
        <v>0</v>
      </c>
      <c r="Y395" s="5" t="b">
        <v>0</v>
      </c>
    </row>
    <row r="396">
      <c r="B396" s="5" t="str">
        <f t="array" ref="B396">XLOOKUP(A396, CURSOS!A:A, CURSOS!B:B)</f>
        <v>#N/A</v>
      </c>
      <c r="C396" s="75" t="str">
        <f t="array" ref="C396">XLOOKUP(A396, CURSOS!A:A, CURSOS!C:C)</f>
        <v>#N/A</v>
      </c>
      <c r="D396" s="70" t="e">
        <v>#N/A</v>
      </c>
      <c r="E396" s="48"/>
      <c r="F396" s="48" t="str">
        <f t="array" ref="F396">XLOOKUP($D396,REGOLITOS!$A:$A,REGOLITOS!F:F)</f>
        <v>#N/A</v>
      </c>
      <c r="G396" s="48" t="str">
        <f t="array" ref="G396">XLOOKUP($D396,REGOLITOS!$A:$A,REGOLITOS!G:G)</f>
        <v>#N/A</v>
      </c>
      <c r="H396" s="48" t="str">
        <f t="array" ref="H396">XLOOKUP($D396,REGOLITOS!$A:$A,REGOLITOS!H:H)</f>
        <v>#N/A</v>
      </c>
      <c r="I396" s="48" t="str">
        <f t="array" ref="I396">XLOOKUP($D396,REGOLITOS!$A:$A,REGOLITOS!I:I)</f>
        <v>#N/A</v>
      </c>
      <c r="J396" s="48" t="str">
        <f t="array" ref="J396">XLOOKUP($D396,REGOLITOS!$A:$A,REGOLITOS!J:J)</f>
        <v>#N/A</v>
      </c>
      <c r="K396" s="48" t="str">
        <f t="array" ref="K396">XLOOKUP($D396,REGOLITOS!$A:$A,REGOLITOS!K:K)</f>
        <v>#N/A</v>
      </c>
      <c r="L396" s="76"/>
      <c r="M396" s="5" t="s">
        <v>1080</v>
      </c>
      <c r="N396" s="5" t="s">
        <v>1080</v>
      </c>
      <c r="O396" s="5" t="s">
        <v>1080</v>
      </c>
      <c r="P396" s="5" t="s">
        <v>1080</v>
      </c>
      <c r="Q396" s="5" t="s">
        <v>1080</v>
      </c>
      <c r="X396" s="71">
        <f t="shared" si="5"/>
        <v>0</v>
      </c>
      <c r="Y396" s="5" t="b">
        <v>0</v>
      </c>
    </row>
    <row r="397">
      <c r="B397" s="5" t="str">
        <f t="array" ref="B397">XLOOKUP(A397, CURSOS!A:A, CURSOS!B:B)</f>
        <v>#N/A</v>
      </c>
      <c r="C397" s="75" t="str">
        <f t="array" ref="C397">XLOOKUP(A397, CURSOS!A:A, CURSOS!C:C)</f>
        <v>#N/A</v>
      </c>
      <c r="D397" s="70" t="e">
        <v>#N/A</v>
      </c>
      <c r="E397" s="48"/>
      <c r="F397" s="48" t="str">
        <f t="array" ref="F397">XLOOKUP($D397,REGOLITOS!$A:$A,REGOLITOS!F:F)</f>
        <v>#N/A</v>
      </c>
      <c r="G397" s="48" t="str">
        <f t="array" ref="G397">XLOOKUP($D397,REGOLITOS!$A:$A,REGOLITOS!G:G)</f>
        <v>#N/A</v>
      </c>
      <c r="H397" s="48" t="str">
        <f t="array" ref="H397">XLOOKUP($D397,REGOLITOS!$A:$A,REGOLITOS!H:H)</f>
        <v>#N/A</v>
      </c>
      <c r="I397" s="48" t="str">
        <f t="array" ref="I397">XLOOKUP($D397,REGOLITOS!$A:$A,REGOLITOS!I:I)</f>
        <v>#N/A</v>
      </c>
      <c r="J397" s="48" t="str">
        <f t="array" ref="J397">XLOOKUP($D397,REGOLITOS!$A:$A,REGOLITOS!J:J)</f>
        <v>#N/A</v>
      </c>
      <c r="K397" s="48" t="str">
        <f t="array" ref="K397">XLOOKUP($D397,REGOLITOS!$A:$A,REGOLITOS!K:K)</f>
        <v>#N/A</v>
      </c>
      <c r="L397" s="76"/>
      <c r="M397" s="5" t="s">
        <v>1080</v>
      </c>
      <c r="N397" s="5" t="s">
        <v>1080</v>
      </c>
      <c r="O397" s="5" t="s">
        <v>1080</v>
      </c>
      <c r="P397" s="5" t="s">
        <v>1080</v>
      </c>
      <c r="Q397" s="5" t="s">
        <v>1080</v>
      </c>
      <c r="X397" s="71">
        <f t="shared" si="5"/>
        <v>0</v>
      </c>
      <c r="Y397" s="5" t="b">
        <v>0</v>
      </c>
    </row>
    <row r="398">
      <c r="B398" s="5" t="str">
        <f t="array" ref="B398">XLOOKUP(A398, CURSOS!A:A, CURSOS!B:B)</f>
        <v>#N/A</v>
      </c>
      <c r="C398" s="75" t="str">
        <f t="array" ref="C398">XLOOKUP(A398, CURSOS!A:A, CURSOS!C:C)</f>
        <v>#N/A</v>
      </c>
      <c r="D398" s="70" t="e">
        <v>#N/A</v>
      </c>
      <c r="E398" s="48"/>
      <c r="F398" s="48" t="str">
        <f t="array" ref="F398">XLOOKUP($D398,REGOLITOS!$A:$A,REGOLITOS!F:F)</f>
        <v>#N/A</v>
      </c>
      <c r="G398" s="48" t="str">
        <f t="array" ref="G398">XLOOKUP($D398,REGOLITOS!$A:$A,REGOLITOS!G:G)</f>
        <v>#N/A</v>
      </c>
      <c r="H398" s="48" t="str">
        <f t="array" ref="H398">XLOOKUP($D398,REGOLITOS!$A:$A,REGOLITOS!H:H)</f>
        <v>#N/A</v>
      </c>
      <c r="I398" s="48" t="str">
        <f t="array" ref="I398">XLOOKUP($D398,REGOLITOS!$A:$A,REGOLITOS!I:I)</f>
        <v>#N/A</v>
      </c>
      <c r="J398" s="48" t="str">
        <f t="array" ref="J398">XLOOKUP($D398,REGOLITOS!$A:$A,REGOLITOS!J:J)</f>
        <v>#N/A</v>
      </c>
      <c r="K398" s="48" t="str">
        <f t="array" ref="K398">XLOOKUP($D398,REGOLITOS!$A:$A,REGOLITOS!K:K)</f>
        <v>#N/A</v>
      </c>
      <c r="L398" s="76"/>
      <c r="M398" s="5" t="s">
        <v>1080</v>
      </c>
      <c r="N398" s="5" t="s">
        <v>1080</v>
      </c>
      <c r="O398" s="5" t="s">
        <v>1080</v>
      </c>
      <c r="P398" s="5" t="s">
        <v>1080</v>
      </c>
      <c r="Q398" s="5" t="s">
        <v>1080</v>
      </c>
      <c r="X398" s="71">
        <f t="shared" si="5"/>
        <v>0</v>
      </c>
      <c r="Y398" s="5" t="b">
        <v>0</v>
      </c>
    </row>
    <row r="399">
      <c r="B399" s="5" t="str">
        <f t="array" ref="B399">XLOOKUP(A399, CURSOS!A:A, CURSOS!B:B)</f>
        <v>#N/A</v>
      </c>
      <c r="C399" s="75" t="str">
        <f t="array" ref="C399">XLOOKUP(A399, CURSOS!A:A, CURSOS!C:C)</f>
        <v>#N/A</v>
      </c>
      <c r="D399" s="70" t="e">
        <v>#N/A</v>
      </c>
      <c r="E399" s="48"/>
      <c r="F399" s="48" t="str">
        <f t="array" ref="F399">XLOOKUP($D399,REGOLITOS!$A:$A,REGOLITOS!F:F)</f>
        <v>#N/A</v>
      </c>
      <c r="G399" s="48" t="str">
        <f t="array" ref="G399">XLOOKUP($D399,REGOLITOS!$A:$A,REGOLITOS!G:G)</f>
        <v>#N/A</v>
      </c>
      <c r="H399" s="48" t="str">
        <f t="array" ref="H399">XLOOKUP($D399,REGOLITOS!$A:$A,REGOLITOS!H:H)</f>
        <v>#N/A</v>
      </c>
      <c r="I399" s="48" t="str">
        <f t="array" ref="I399">XLOOKUP($D399,REGOLITOS!$A:$A,REGOLITOS!I:I)</f>
        <v>#N/A</v>
      </c>
      <c r="J399" s="48" t="str">
        <f t="array" ref="J399">XLOOKUP($D399,REGOLITOS!$A:$A,REGOLITOS!J:J)</f>
        <v>#N/A</v>
      </c>
      <c r="K399" s="48" t="str">
        <f t="array" ref="K399">XLOOKUP($D399,REGOLITOS!$A:$A,REGOLITOS!K:K)</f>
        <v>#N/A</v>
      </c>
      <c r="L399" s="76"/>
      <c r="M399" s="5" t="s">
        <v>1080</v>
      </c>
      <c r="N399" s="5" t="s">
        <v>1080</v>
      </c>
      <c r="O399" s="5" t="s">
        <v>1080</v>
      </c>
      <c r="P399" s="5" t="s">
        <v>1080</v>
      </c>
      <c r="Q399" s="5" t="s">
        <v>1080</v>
      </c>
      <c r="X399" s="71">
        <f t="shared" si="5"/>
        <v>0</v>
      </c>
      <c r="Y399" s="5" t="b">
        <v>0</v>
      </c>
    </row>
    <row r="400">
      <c r="B400" s="5" t="str">
        <f t="array" ref="B400">XLOOKUP(A400, CURSOS!A:A, CURSOS!B:B)</f>
        <v>#N/A</v>
      </c>
      <c r="C400" s="75" t="str">
        <f t="array" ref="C400">XLOOKUP(A400, CURSOS!A:A, CURSOS!C:C)</f>
        <v>#N/A</v>
      </c>
      <c r="D400" s="70" t="e">
        <v>#N/A</v>
      </c>
      <c r="E400" s="48"/>
      <c r="F400" s="48" t="str">
        <f t="array" ref="F400">XLOOKUP($D400,REGOLITOS!$A:$A,REGOLITOS!F:F)</f>
        <v>#N/A</v>
      </c>
      <c r="G400" s="48" t="str">
        <f t="array" ref="G400">XLOOKUP($D400,REGOLITOS!$A:$A,REGOLITOS!G:G)</f>
        <v>#N/A</v>
      </c>
      <c r="H400" s="48" t="str">
        <f t="array" ref="H400">XLOOKUP($D400,REGOLITOS!$A:$A,REGOLITOS!H:H)</f>
        <v>#N/A</v>
      </c>
      <c r="I400" s="48" t="str">
        <f t="array" ref="I400">XLOOKUP($D400,REGOLITOS!$A:$A,REGOLITOS!I:I)</f>
        <v>#N/A</v>
      </c>
      <c r="J400" s="48" t="str">
        <f t="array" ref="J400">XLOOKUP($D400,REGOLITOS!$A:$A,REGOLITOS!J:J)</f>
        <v>#N/A</v>
      </c>
      <c r="K400" s="48" t="str">
        <f t="array" ref="K400">XLOOKUP($D400,REGOLITOS!$A:$A,REGOLITOS!K:K)</f>
        <v>#N/A</v>
      </c>
      <c r="L400" s="76"/>
      <c r="M400" s="5" t="s">
        <v>1080</v>
      </c>
      <c r="N400" s="5" t="s">
        <v>1080</v>
      </c>
      <c r="O400" s="5" t="s">
        <v>1080</v>
      </c>
      <c r="P400" s="5" t="s">
        <v>1080</v>
      </c>
      <c r="Q400" s="5" t="s">
        <v>1080</v>
      </c>
      <c r="X400" s="71">
        <f t="shared" si="5"/>
        <v>0</v>
      </c>
      <c r="Y400" s="5" t="b">
        <v>0</v>
      </c>
    </row>
    <row r="401">
      <c r="B401" s="5" t="str">
        <f t="array" ref="B401">XLOOKUP(A401, CURSOS!A:A, CURSOS!B:B)</f>
        <v>#N/A</v>
      </c>
      <c r="C401" s="75" t="str">
        <f t="array" ref="C401">XLOOKUP(A401, CURSOS!A:A, CURSOS!C:C)</f>
        <v>#N/A</v>
      </c>
      <c r="D401" s="70" t="e">
        <v>#N/A</v>
      </c>
      <c r="E401" s="48"/>
      <c r="F401" s="48" t="str">
        <f t="array" ref="F401">XLOOKUP($D401,REGOLITOS!$A:$A,REGOLITOS!F:F)</f>
        <v>#N/A</v>
      </c>
      <c r="G401" s="48" t="str">
        <f t="array" ref="G401">XLOOKUP($D401,REGOLITOS!$A:$A,REGOLITOS!G:G)</f>
        <v>#N/A</v>
      </c>
      <c r="H401" s="48" t="str">
        <f t="array" ref="H401">XLOOKUP($D401,REGOLITOS!$A:$A,REGOLITOS!H:H)</f>
        <v>#N/A</v>
      </c>
      <c r="I401" s="48" t="str">
        <f t="array" ref="I401">XLOOKUP($D401,REGOLITOS!$A:$A,REGOLITOS!I:I)</f>
        <v>#N/A</v>
      </c>
      <c r="J401" s="48" t="str">
        <f t="array" ref="J401">XLOOKUP($D401,REGOLITOS!$A:$A,REGOLITOS!J:J)</f>
        <v>#N/A</v>
      </c>
      <c r="K401" s="48" t="str">
        <f t="array" ref="K401">XLOOKUP($D401,REGOLITOS!$A:$A,REGOLITOS!K:K)</f>
        <v>#N/A</v>
      </c>
      <c r="L401" s="76"/>
      <c r="M401" s="5" t="s">
        <v>1080</v>
      </c>
      <c r="N401" s="5" t="s">
        <v>1080</v>
      </c>
      <c r="O401" s="5" t="s">
        <v>1080</v>
      </c>
      <c r="P401" s="5" t="s">
        <v>1080</v>
      </c>
      <c r="Q401" s="5" t="s">
        <v>1080</v>
      </c>
      <c r="X401" s="71">
        <f t="shared" si="5"/>
        <v>0</v>
      </c>
      <c r="Y401" s="5" t="b">
        <v>0</v>
      </c>
    </row>
    <row r="402">
      <c r="B402" s="5" t="str">
        <f t="array" ref="B402">XLOOKUP(A402, CURSOS!A:A, CURSOS!B:B)</f>
        <v>#N/A</v>
      </c>
      <c r="C402" s="75" t="str">
        <f t="array" ref="C402">XLOOKUP(A402, CURSOS!A:A, CURSOS!C:C)</f>
        <v>#N/A</v>
      </c>
      <c r="D402" s="70" t="e">
        <v>#N/A</v>
      </c>
      <c r="E402" s="48"/>
      <c r="F402" s="48" t="str">
        <f t="array" ref="F402">XLOOKUP($D402,REGOLITOS!$A:$A,REGOLITOS!F:F)</f>
        <v>#N/A</v>
      </c>
      <c r="G402" s="48" t="str">
        <f t="array" ref="G402">XLOOKUP($D402,REGOLITOS!$A:$A,REGOLITOS!G:G)</f>
        <v>#N/A</v>
      </c>
      <c r="H402" s="48" t="str">
        <f t="array" ref="H402">XLOOKUP($D402,REGOLITOS!$A:$A,REGOLITOS!H:H)</f>
        <v>#N/A</v>
      </c>
      <c r="I402" s="48" t="str">
        <f t="array" ref="I402">XLOOKUP($D402,REGOLITOS!$A:$A,REGOLITOS!I:I)</f>
        <v>#N/A</v>
      </c>
      <c r="J402" s="48" t="str">
        <f t="array" ref="J402">XLOOKUP($D402,REGOLITOS!$A:$A,REGOLITOS!J:J)</f>
        <v>#N/A</v>
      </c>
      <c r="K402" s="48" t="str">
        <f t="array" ref="K402">XLOOKUP($D402,REGOLITOS!$A:$A,REGOLITOS!K:K)</f>
        <v>#N/A</v>
      </c>
      <c r="L402" s="76"/>
      <c r="M402" s="5" t="s">
        <v>1080</v>
      </c>
      <c r="N402" s="5" t="s">
        <v>1080</v>
      </c>
      <c r="O402" s="5" t="s">
        <v>1080</v>
      </c>
      <c r="P402" s="5" t="s">
        <v>1080</v>
      </c>
      <c r="Q402" s="5" t="s">
        <v>1080</v>
      </c>
      <c r="X402" s="71">
        <f t="shared" si="5"/>
        <v>0</v>
      </c>
      <c r="Y402" s="5" t="b">
        <v>0</v>
      </c>
    </row>
    <row r="403">
      <c r="B403" s="5" t="str">
        <f t="array" ref="B403">XLOOKUP(A403, CURSOS!A:A, CURSOS!B:B)</f>
        <v>#N/A</v>
      </c>
      <c r="C403" s="75" t="str">
        <f t="array" ref="C403">XLOOKUP(A403, CURSOS!A:A, CURSOS!C:C)</f>
        <v>#N/A</v>
      </c>
      <c r="D403" s="70" t="e">
        <v>#N/A</v>
      </c>
      <c r="E403" s="48"/>
      <c r="F403" s="48" t="str">
        <f t="array" ref="F403">XLOOKUP($D403,REGOLITOS!$A:$A,REGOLITOS!F:F)</f>
        <v>#N/A</v>
      </c>
      <c r="G403" s="48" t="str">
        <f t="array" ref="G403">XLOOKUP($D403,REGOLITOS!$A:$A,REGOLITOS!G:G)</f>
        <v>#N/A</v>
      </c>
      <c r="H403" s="48" t="str">
        <f t="array" ref="H403">XLOOKUP($D403,REGOLITOS!$A:$A,REGOLITOS!H:H)</f>
        <v>#N/A</v>
      </c>
      <c r="I403" s="48" t="str">
        <f t="array" ref="I403">XLOOKUP($D403,REGOLITOS!$A:$A,REGOLITOS!I:I)</f>
        <v>#N/A</v>
      </c>
      <c r="J403" s="48" t="str">
        <f t="array" ref="J403">XLOOKUP($D403,REGOLITOS!$A:$A,REGOLITOS!J:J)</f>
        <v>#N/A</v>
      </c>
      <c r="K403" s="48" t="str">
        <f t="array" ref="K403">XLOOKUP($D403,REGOLITOS!$A:$A,REGOLITOS!K:K)</f>
        <v>#N/A</v>
      </c>
      <c r="L403" s="76"/>
      <c r="M403" s="5" t="s">
        <v>1080</v>
      </c>
      <c r="N403" s="5" t="s">
        <v>1080</v>
      </c>
      <c r="O403" s="5" t="s">
        <v>1080</v>
      </c>
      <c r="P403" s="5" t="s">
        <v>1080</v>
      </c>
      <c r="Q403" s="5" t="s">
        <v>1080</v>
      </c>
      <c r="X403" s="71">
        <f t="shared" si="5"/>
        <v>0</v>
      </c>
      <c r="Y403" s="5" t="b">
        <v>0</v>
      </c>
    </row>
    <row r="404">
      <c r="B404" s="5" t="str">
        <f t="array" ref="B404">XLOOKUP(A404, CURSOS!A:A, CURSOS!B:B)</f>
        <v>#N/A</v>
      </c>
      <c r="C404" s="75" t="str">
        <f t="array" ref="C404">XLOOKUP(A404, CURSOS!A:A, CURSOS!C:C)</f>
        <v>#N/A</v>
      </c>
      <c r="D404" s="70" t="e">
        <v>#N/A</v>
      </c>
      <c r="E404" s="48"/>
      <c r="F404" s="48" t="str">
        <f t="array" ref="F404">XLOOKUP($D404,REGOLITOS!$A:$A,REGOLITOS!F:F)</f>
        <v>#N/A</v>
      </c>
      <c r="G404" s="48" t="str">
        <f t="array" ref="G404">XLOOKUP($D404,REGOLITOS!$A:$A,REGOLITOS!G:G)</f>
        <v>#N/A</v>
      </c>
      <c r="H404" s="48" t="str">
        <f t="array" ref="H404">XLOOKUP($D404,REGOLITOS!$A:$A,REGOLITOS!H:H)</f>
        <v>#N/A</v>
      </c>
      <c r="I404" s="48" t="str">
        <f t="array" ref="I404">XLOOKUP($D404,REGOLITOS!$A:$A,REGOLITOS!I:I)</f>
        <v>#N/A</v>
      </c>
      <c r="J404" s="48" t="str">
        <f t="array" ref="J404">XLOOKUP($D404,REGOLITOS!$A:$A,REGOLITOS!J:J)</f>
        <v>#N/A</v>
      </c>
      <c r="K404" s="48" t="str">
        <f t="array" ref="K404">XLOOKUP($D404,REGOLITOS!$A:$A,REGOLITOS!K:K)</f>
        <v>#N/A</v>
      </c>
      <c r="L404" s="76"/>
      <c r="M404" s="5" t="s">
        <v>1080</v>
      </c>
      <c r="N404" s="5" t="s">
        <v>1080</v>
      </c>
      <c r="O404" s="5" t="s">
        <v>1080</v>
      </c>
      <c r="P404" s="5" t="s">
        <v>1080</v>
      </c>
      <c r="Q404" s="5" t="s">
        <v>1080</v>
      </c>
      <c r="X404" s="71">
        <f t="shared" si="5"/>
        <v>0</v>
      </c>
      <c r="Y404" s="5" t="b">
        <v>0</v>
      </c>
    </row>
    <row r="405">
      <c r="B405" s="5" t="str">
        <f t="array" ref="B405">XLOOKUP(A405, CURSOS!A:A, CURSOS!B:B)</f>
        <v>#N/A</v>
      </c>
      <c r="C405" s="75" t="str">
        <f t="array" ref="C405">XLOOKUP(A405, CURSOS!A:A, CURSOS!C:C)</f>
        <v>#N/A</v>
      </c>
      <c r="D405" s="70" t="e">
        <v>#N/A</v>
      </c>
      <c r="E405" s="48"/>
      <c r="F405" s="48" t="str">
        <f t="array" ref="F405">XLOOKUP($D405,REGOLITOS!$A:$A,REGOLITOS!F:F)</f>
        <v>#N/A</v>
      </c>
      <c r="G405" s="48" t="str">
        <f t="array" ref="G405">XLOOKUP($D405,REGOLITOS!$A:$A,REGOLITOS!G:G)</f>
        <v>#N/A</v>
      </c>
      <c r="H405" s="48" t="str">
        <f t="array" ref="H405">XLOOKUP($D405,REGOLITOS!$A:$A,REGOLITOS!H:H)</f>
        <v>#N/A</v>
      </c>
      <c r="I405" s="48" t="str">
        <f t="array" ref="I405">XLOOKUP($D405,REGOLITOS!$A:$A,REGOLITOS!I:I)</f>
        <v>#N/A</v>
      </c>
      <c r="J405" s="48" t="str">
        <f t="array" ref="J405">XLOOKUP($D405,REGOLITOS!$A:$A,REGOLITOS!J:J)</f>
        <v>#N/A</v>
      </c>
      <c r="K405" s="48" t="str">
        <f t="array" ref="K405">XLOOKUP($D405,REGOLITOS!$A:$A,REGOLITOS!K:K)</f>
        <v>#N/A</v>
      </c>
      <c r="L405" s="76"/>
      <c r="M405" s="5" t="s">
        <v>1080</v>
      </c>
      <c r="N405" s="5" t="s">
        <v>1080</v>
      </c>
      <c r="O405" s="5" t="s">
        <v>1080</v>
      </c>
      <c r="P405" s="5" t="s">
        <v>1080</v>
      </c>
      <c r="Q405" s="5" t="s">
        <v>1080</v>
      </c>
      <c r="X405" s="71">
        <f t="shared" si="5"/>
        <v>0</v>
      </c>
      <c r="Y405" s="5" t="b">
        <v>0</v>
      </c>
    </row>
    <row r="406">
      <c r="B406" s="5" t="str">
        <f t="array" ref="B406">XLOOKUP(A406, CURSOS!A:A, CURSOS!B:B)</f>
        <v>#N/A</v>
      </c>
      <c r="C406" s="75" t="str">
        <f t="array" ref="C406">XLOOKUP(A406, CURSOS!A:A, CURSOS!C:C)</f>
        <v>#N/A</v>
      </c>
      <c r="D406" s="70" t="e">
        <v>#N/A</v>
      </c>
      <c r="E406" s="48"/>
      <c r="F406" s="48" t="str">
        <f t="array" ref="F406">XLOOKUP($D406,REGOLITOS!$A:$A,REGOLITOS!F:F)</f>
        <v>#N/A</v>
      </c>
      <c r="G406" s="48" t="str">
        <f t="array" ref="G406">XLOOKUP($D406,REGOLITOS!$A:$A,REGOLITOS!G:G)</f>
        <v>#N/A</v>
      </c>
      <c r="H406" s="48" t="str">
        <f t="array" ref="H406">XLOOKUP($D406,REGOLITOS!$A:$A,REGOLITOS!H:H)</f>
        <v>#N/A</v>
      </c>
      <c r="I406" s="48" t="str">
        <f t="array" ref="I406">XLOOKUP($D406,REGOLITOS!$A:$A,REGOLITOS!I:I)</f>
        <v>#N/A</v>
      </c>
      <c r="J406" s="48" t="str">
        <f t="array" ref="J406">XLOOKUP($D406,REGOLITOS!$A:$A,REGOLITOS!J:J)</f>
        <v>#N/A</v>
      </c>
      <c r="K406" s="48" t="str">
        <f t="array" ref="K406">XLOOKUP($D406,REGOLITOS!$A:$A,REGOLITOS!K:K)</f>
        <v>#N/A</v>
      </c>
      <c r="L406" s="76"/>
      <c r="M406" s="5" t="s">
        <v>1080</v>
      </c>
      <c r="N406" s="5" t="s">
        <v>1080</v>
      </c>
      <c r="O406" s="5" t="s">
        <v>1080</v>
      </c>
      <c r="P406" s="5" t="s">
        <v>1080</v>
      </c>
      <c r="Q406" s="5" t="s">
        <v>1080</v>
      </c>
      <c r="X406" s="71">
        <f t="shared" si="5"/>
        <v>0</v>
      </c>
      <c r="Y406" s="5" t="b">
        <v>0</v>
      </c>
    </row>
    <row r="407">
      <c r="B407" s="5" t="str">
        <f t="array" ref="B407">XLOOKUP(A407, CURSOS!A:A, CURSOS!B:B)</f>
        <v>#N/A</v>
      </c>
      <c r="C407" s="75" t="str">
        <f t="array" ref="C407">XLOOKUP(A407, CURSOS!A:A, CURSOS!C:C)</f>
        <v>#N/A</v>
      </c>
      <c r="D407" s="70" t="e">
        <v>#N/A</v>
      </c>
      <c r="E407" s="48"/>
      <c r="F407" s="48" t="str">
        <f t="array" ref="F407">XLOOKUP($D407,REGOLITOS!$A:$A,REGOLITOS!F:F)</f>
        <v>#N/A</v>
      </c>
      <c r="G407" s="48" t="str">
        <f t="array" ref="G407">XLOOKUP($D407,REGOLITOS!$A:$A,REGOLITOS!G:G)</f>
        <v>#N/A</v>
      </c>
      <c r="H407" s="48" t="str">
        <f t="array" ref="H407">XLOOKUP($D407,REGOLITOS!$A:$A,REGOLITOS!H:H)</f>
        <v>#N/A</v>
      </c>
      <c r="I407" s="48" t="str">
        <f t="array" ref="I407">XLOOKUP($D407,REGOLITOS!$A:$A,REGOLITOS!I:I)</f>
        <v>#N/A</v>
      </c>
      <c r="J407" s="48" t="str">
        <f t="array" ref="J407">XLOOKUP($D407,REGOLITOS!$A:$A,REGOLITOS!J:J)</f>
        <v>#N/A</v>
      </c>
      <c r="K407" s="48" t="str">
        <f t="array" ref="K407">XLOOKUP($D407,REGOLITOS!$A:$A,REGOLITOS!K:K)</f>
        <v>#N/A</v>
      </c>
      <c r="L407" s="76"/>
      <c r="M407" s="5" t="s">
        <v>1080</v>
      </c>
      <c r="N407" s="5" t="s">
        <v>1080</v>
      </c>
      <c r="O407" s="5" t="s">
        <v>1080</v>
      </c>
      <c r="P407" s="5" t="s">
        <v>1080</v>
      </c>
      <c r="Q407" s="5" t="s">
        <v>1080</v>
      </c>
      <c r="X407" s="71">
        <f t="shared" si="5"/>
        <v>0</v>
      </c>
      <c r="Y407" s="5" t="b">
        <v>0</v>
      </c>
    </row>
    <row r="408">
      <c r="B408" s="5" t="str">
        <f t="array" ref="B408">XLOOKUP(A408, CURSOS!A:A, CURSOS!B:B)</f>
        <v>#N/A</v>
      </c>
      <c r="C408" s="75" t="str">
        <f t="array" ref="C408">XLOOKUP(A408, CURSOS!A:A, CURSOS!C:C)</f>
        <v>#N/A</v>
      </c>
      <c r="D408" s="70" t="e">
        <v>#N/A</v>
      </c>
      <c r="E408" s="48"/>
      <c r="F408" s="48" t="str">
        <f t="array" ref="F408">XLOOKUP($D408,REGOLITOS!$A:$A,REGOLITOS!F:F)</f>
        <v>#N/A</v>
      </c>
      <c r="G408" s="48" t="str">
        <f t="array" ref="G408">XLOOKUP($D408,REGOLITOS!$A:$A,REGOLITOS!G:G)</f>
        <v>#N/A</v>
      </c>
      <c r="H408" s="48" t="str">
        <f t="array" ref="H408">XLOOKUP($D408,REGOLITOS!$A:$A,REGOLITOS!H:H)</f>
        <v>#N/A</v>
      </c>
      <c r="I408" s="48" t="str">
        <f t="array" ref="I408">XLOOKUP($D408,REGOLITOS!$A:$A,REGOLITOS!I:I)</f>
        <v>#N/A</v>
      </c>
      <c r="J408" s="48" t="str">
        <f t="array" ref="J408">XLOOKUP($D408,REGOLITOS!$A:$A,REGOLITOS!J:J)</f>
        <v>#N/A</v>
      </c>
      <c r="K408" s="48" t="str">
        <f t="array" ref="K408">XLOOKUP($D408,REGOLITOS!$A:$A,REGOLITOS!K:K)</f>
        <v>#N/A</v>
      </c>
      <c r="L408" s="76"/>
      <c r="M408" s="5" t="s">
        <v>1080</v>
      </c>
      <c r="N408" s="5" t="s">
        <v>1080</v>
      </c>
      <c r="O408" s="5" t="s">
        <v>1080</v>
      </c>
      <c r="P408" s="5" t="s">
        <v>1080</v>
      </c>
      <c r="Q408" s="5" t="s">
        <v>1080</v>
      </c>
      <c r="X408" s="71">
        <f t="shared" si="5"/>
        <v>0</v>
      </c>
      <c r="Y408" s="5" t="b">
        <v>0</v>
      </c>
    </row>
    <row r="409">
      <c r="B409" s="5" t="str">
        <f t="array" ref="B409">XLOOKUP(A409, CURSOS!A:A, CURSOS!B:B)</f>
        <v>#N/A</v>
      </c>
      <c r="C409" s="75" t="str">
        <f t="array" ref="C409">XLOOKUP(A409, CURSOS!A:A, CURSOS!C:C)</f>
        <v>#N/A</v>
      </c>
      <c r="D409" s="70" t="e">
        <v>#N/A</v>
      </c>
      <c r="E409" s="48"/>
      <c r="F409" s="48" t="str">
        <f t="array" ref="F409">XLOOKUP($D409,REGOLITOS!$A:$A,REGOLITOS!F:F)</f>
        <v>#N/A</v>
      </c>
      <c r="G409" s="48" t="str">
        <f t="array" ref="G409">XLOOKUP($D409,REGOLITOS!$A:$A,REGOLITOS!G:G)</f>
        <v>#N/A</v>
      </c>
      <c r="H409" s="48" t="str">
        <f t="array" ref="H409">XLOOKUP($D409,REGOLITOS!$A:$A,REGOLITOS!H:H)</f>
        <v>#N/A</v>
      </c>
      <c r="I409" s="48" t="str">
        <f t="array" ref="I409">XLOOKUP($D409,REGOLITOS!$A:$A,REGOLITOS!I:I)</f>
        <v>#N/A</v>
      </c>
      <c r="J409" s="48" t="str">
        <f t="array" ref="J409">XLOOKUP($D409,REGOLITOS!$A:$A,REGOLITOS!J:J)</f>
        <v>#N/A</v>
      </c>
      <c r="K409" s="48" t="str">
        <f t="array" ref="K409">XLOOKUP($D409,REGOLITOS!$A:$A,REGOLITOS!K:K)</f>
        <v>#N/A</v>
      </c>
      <c r="L409" s="76"/>
      <c r="M409" s="5" t="s">
        <v>1080</v>
      </c>
      <c r="N409" s="5" t="s">
        <v>1080</v>
      </c>
      <c r="O409" s="5" t="s">
        <v>1080</v>
      </c>
      <c r="P409" s="5" t="s">
        <v>1080</v>
      </c>
      <c r="Q409" s="5" t="s">
        <v>1080</v>
      </c>
      <c r="X409" s="71">
        <f t="shared" si="5"/>
        <v>0</v>
      </c>
      <c r="Y409" s="5" t="b">
        <v>0</v>
      </c>
    </row>
    <row r="410">
      <c r="B410" s="5" t="str">
        <f t="array" ref="B410">XLOOKUP(A410, CURSOS!A:A, CURSOS!B:B)</f>
        <v>#N/A</v>
      </c>
      <c r="C410" s="75" t="str">
        <f t="array" ref="C410">XLOOKUP(A410, CURSOS!A:A, CURSOS!C:C)</f>
        <v>#N/A</v>
      </c>
      <c r="D410" s="70" t="e">
        <v>#N/A</v>
      </c>
      <c r="E410" s="48"/>
      <c r="F410" s="48" t="str">
        <f t="array" ref="F410">XLOOKUP($D410,REGOLITOS!$A:$A,REGOLITOS!F:F)</f>
        <v>#N/A</v>
      </c>
      <c r="G410" s="48" t="str">
        <f t="array" ref="G410">XLOOKUP($D410,REGOLITOS!$A:$A,REGOLITOS!G:G)</f>
        <v>#N/A</v>
      </c>
      <c r="H410" s="48" t="str">
        <f t="array" ref="H410">XLOOKUP($D410,REGOLITOS!$A:$A,REGOLITOS!H:H)</f>
        <v>#N/A</v>
      </c>
      <c r="I410" s="48" t="str">
        <f t="array" ref="I410">XLOOKUP($D410,REGOLITOS!$A:$A,REGOLITOS!I:I)</f>
        <v>#N/A</v>
      </c>
      <c r="J410" s="48" t="str">
        <f t="array" ref="J410">XLOOKUP($D410,REGOLITOS!$A:$A,REGOLITOS!J:J)</f>
        <v>#N/A</v>
      </c>
      <c r="K410" s="48" t="str">
        <f t="array" ref="K410">XLOOKUP($D410,REGOLITOS!$A:$A,REGOLITOS!K:K)</f>
        <v>#N/A</v>
      </c>
      <c r="L410" s="76"/>
      <c r="M410" s="5" t="s">
        <v>1080</v>
      </c>
      <c r="N410" s="5" t="s">
        <v>1080</v>
      </c>
      <c r="O410" s="5" t="s">
        <v>1080</v>
      </c>
      <c r="P410" s="5" t="s">
        <v>1080</v>
      </c>
      <c r="Q410" s="5" t="s">
        <v>1080</v>
      </c>
      <c r="X410" s="71">
        <f t="shared" si="5"/>
        <v>0</v>
      </c>
      <c r="Y410" s="5" t="b">
        <v>0</v>
      </c>
    </row>
    <row r="411">
      <c r="B411" s="5" t="str">
        <f t="array" ref="B411">XLOOKUP(A411, CURSOS!A:A, CURSOS!B:B)</f>
        <v>#N/A</v>
      </c>
      <c r="C411" s="75" t="str">
        <f t="array" ref="C411">XLOOKUP(A411, CURSOS!A:A, CURSOS!C:C)</f>
        <v>#N/A</v>
      </c>
      <c r="D411" s="70" t="e">
        <v>#N/A</v>
      </c>
      <c r="E411" s="48"/>
      <c r="F411" s="48" t="str">
        <f t="array" ref="F411">XLOOKUP($D411,REGOLITOS!$A:$A,REGOLITOS!F:F)</f>
        <v>#N/A</v>
      </c>
      <c r="G411" s="48" t="str">
        <f t="array" ref="G411">XLOOKUP($D411,REGOLITOS!$A:$A,REGOLITOS!G:G)</f>
        <v>#N/A</v>
      </c>
      <c r="H411" s="48" t="str">
        <f t="array" ref="H411">XLOOKUP($D411,REGOLITOS!$A:$A,REGOLITOS!H:H)</f>
        <v>#N/A</v>
      </c>
      <c r="I411" s="48" t="str">
        <f t="array" ref="I411">XLOOKUP($D411,REGOLITOS!$A:$A,REGOLITOS!I:I)</f>
        <v>#N/A</v>
      </c>
      <c r="J411" s="48" t="str">
        <f t="array" ref="J411">XLOOKUP($D411,REGOLITOS!$A:$A,REGOLITOS!J:J)</f>
        <v>#N/A</v>
      </c>
      <c r="K411" s="48" t="str">
        <f t="array" ref="K411">XLOOKUP($D411,REGOLITOS!$A:$A,REGOLITOS!K:K)</f>
        <v>#N/A</v>
      </c>
      <c r="L411" s="76"/>
      <c r="M411" s="5" t="s">
        <v>1080</v>
      </c>
      <c r="N411" s="5" t="s">
        <v>1080</v>
      </c>
      <c r="O411" s="5" t="s">
        <v>1080</v>
      </c>
      <c r="P411" s="5" t="s">
        <v>1080</v>
      </c>
      <c r="Q411" s="5" t="s">
        <v>1080</v>
      </c>
      <c r="X411" s="71">
        <f t="shared" si="5"/>
        <v>0</v>
      </c>
      <c r="Y411" s="5" t="b">
        <v>0</v>
      </c>
    </row>
    <row r="412">
      <c r="B412" s="5" t="str">
        <f t="array" ref="B412">XLOOKUP(A412, CURSOS!A:A, CURSOS!B:B)</f>
        <v>#N/A</v>
      </c>
      <c r="C412" s="75" t="str">
        <f t="array" ref="C412">XLOOKUP(A412, CURSOS!A:A, CURSOS!C:C)</f>
        <v>#N/A</v>
      </c>
      <c r="D412" s="70" t="e">
        <v>#N/A</v>
      </c>
      <c r="E412" s="48"/>
      <c r="F412" s="48" t="str">
        <f t="array" ref="F412">XLOOKUP($D412,REGOLITOS!$A:$A,REGOLITOS!F:F)</f>
        <v>#N/A</v>
      </c>
      <c r="G412" s="48" t="str">
        <f t="array" ref="G412">XLOOKUP($D412,REGOLITOS!$A:$A,REGOLITOS!G:G)</f>
        <v>#N/A</v>
      </c>
      <c r="H412" s="48" t="str">
        <f t="array" ref="H412">XLOOKUP($D412,REGOLITOS!$A:$A,REGOLITOS!H:H)</f>
        <v>#N/A</v>
      </c>
      <c r="I412" s="48" t="str">
        <f t="array" ref="I412">XLOOKUP($D412,REGOLITOS!$A:$A,REGOLITOS!I:I)</f>
        <v>#N/A</v>
      </c>
      <c r="J412" s="48" t="str">
        <f t="array" ref="J412">XLOOKUP($D412,REGOLITOS!$A:$A,REGOLITOS!J:J)</f>
        <v>#N/A</v>
      </c>
      <c r="K412" s="48" t="str">
        <f t="array" ref="K412">XLOOKUP($D412,REGOLITOS!$A:$A,REGOLITOS!K:K)</f>
        <v>#N/A</v>
      </c>
      <c r="L412" s="76"/>
      <c r="M412" s="5" t="s">
        <v>1080</v>
      </c>
      <c r="N412" s="5" t="s">
        <v>1080</v>
      </c>
      <c r="O412" s="5" t="s">
        <v>1080</v>
      </c>
      <c r="P412" s="5" t="s">
        <v>1080</v>
      </c>
      <c r="Q412" s="5" t="s">
        <v>1080</v>
      </c>
      <c r="X412" s="71">
        <f t="shared" si="5"/>
        <v>0</v>
      </c>
      <c r="Y412" s="5" t="b">
        <v>0</v>
      </c>
    </row>
    <row r="413">
      <c r="B413" s="5" t="str">
        <f t="array" ref="B413">XLOOKUP(A413, CURSOS!A:A, CURSOS!B:B)</f>
        <v>#N/A</v>
      </c>
      <c r="C413" s="75" t="str">
        <f t="array" ref="C413">XLOOKUP(A413, CURSOS!A:A, CURSOS!C:C)</f>
        <v>#N/A</v>
      </c>
      <c r="D413" s="70" t="e">
        <v>#N/A</v>
      </c>
      <c r="E413" s="48"/>
      <c r="F413" s="48" t="str">
        <f t="array" ref="F413">XLOOKUP($D413,REGOLITOS!$A:$A,REGOLITOS!F:F)</f>
        <v>#N/A</v>
      </c>
      <c r="G413" s="48" t="str">
        <f t="array" ref="G413">XLOOKUP($D413,REGOLITOS!$A:$A,REGOLITOS!G:G)</f>
        <v>#N/A</v>
      </c>
      <c r="H413" s="48" t="str">
        <f t="array" ref="H413">XLOOKUP($D413,REGOLITOS!$A:$A,REGOLITOS!H:H)</f>
        <v>#N/A</v>
      </c>
      <c r="I413" s="48" t="str">
        <f t="array" ref="I413">XLOOKUP($D413,REGOLITOS!$A:$A,REGOLITOS!I:I)</f>
        <v>#N/A</v>
      </c>
      <c r="J413" s="48" t="str">
        <f t="array" ref="J413">XLOOKUP($D413,REGOLITOS!$A:$A,REGOLITOS!J:J)</f>
        <v>#N/A</v>
      </c>
      <c r="K413" s="48" t="str">
        <f t="array" ref="K413">XLOOKUP($D413,REGOLITOS!$A:$A,REGOLITOS!K:K)</f>
        <v>#N/A</v>
      </c>
      <c r="L413" s="76"/>
      <c r="M413" s="5" t="s">
        <v>1080</v>
      </c>
      <c r="N413" s="5" t="s">
        <v>1080</v>
      </c>
      <c r="O413" s="5" t="s">
        <v>1080</v>
      </c>
      <c r="P413" s="5" t="s">
        <v>1080</v>
      </c>
      <c r="Q413" s="5" t="s">
        <v>1080</v>
      </c>
      <c r="X413" s="71">
        <f t="shared" si="5"/>
        <v>0</v>
      </c>
      <c r="Y413" s="5" t="b">
        <v>0</v>
      </c>
    </row>
    <row r="414">
      <c r="B414" s="5" t="str">
        <f t="array" ref="B414">XLOOKUP(A414, CURSOS!A:A, CURSOS!B:B)</f>
        <v>#N/A</v>
      </c>
      <c r="C414" s="75" t="str">
        <f t="array" ref="C414">XLOOKUP(A414, CURSOS!A:A, CURSOS!C:C)</f>
        <v>#N/A</v>
      </c>
      <c r="D414" s="70" t="e">
        <v>#N/A</v>
      </c>
      <c r="E414" s="48"/>
      <c r="F414" s="48" t="str">
        <f t="array" ref="F414">XLOOKUP($D414,REGOLITOS!$A:$A,REGOLITOS!F:F)</f>
        <v>#N/A</v>
      </c>
      <c r="G414" s="48" t="str">
        <f t="array" ref="G414">XLOOKUP($D414,REGOLITOS!$A:$A,REGOLITOS!G:G)</f>
        <v>#N/A</v>
      </c>
      <c r="H414" s="48" t="str">
        <f t="array" ref="H414">XLOOKUP($D414,REGOLITOS!$A:$A,REGOLITOS!H:H)</f>
        <v>#N/A</v>
      </c>
      <c r="I414" s="48" t="str">
        <f t="array" ref="I414">XLOOKUP($D414,REGOLITOS!$A:$A,REGOLITOS!I:I)</f>
        <v>#N/A</v>
      </c>
      <c r="J414" s="48" t="str">
        <f t="array" ref="J414">XLOOKUP($D414,REGOLITOS!$A:$A,REGOLITOS!J:J)</f>
        <v>#N/A</v>
      </c>
      <c r="K414" s="48" t="str">
        <f t="array" ref="K414">XLOOKUP($D414,REGOLITOS!$A:$A,REGOLITOS!K:K)</f>
        <v>#N/A</v>
      </c>
      <c r="L414" s="76"/>
      <c r="M414" s="5" t="s">
        <v>1080</v>
      </c>
      <c r="N414" s="5" t="s">
        <v>1080</v>
      </c>
      <c r="O414" s="5" t="s">
        <v>1080</v>
      </c>
      <c r="P414" s="5" t="s">
        <v>1080</v>
      </c>
      <c r="Q414" s="5" t="s">
        <v>1080</v>
      </c>
      <c r="X414" s="71">
        <f t="shared" si="5"/>
        <v>0</v>
      </c>
      <c r="Y414" s="5" t="b">
        <v>0</v>
      </c>
    </row>
    <row r="415">
      <c r="B415" s="5" t="str">
        <f t="array" ref="B415">XLOOKUP(A415, CURSOS!A:A, CURSOS!B:B)</f>
        <v>#N/A</v>
      </c>
      <c r="C415" s="75" t="str">
        <f t="array" ref="C415">XLOOKUP(A415, CURSOS!A:A, CURSOS!C:C)</f>
        <v>#N/A</v>
      </c>
      <c r="D415" s="70" t="e">
        <v>#N/A</v>
      </c>
      <c r="E415" s="48"/>
      <c r="F415" s="48" t="str">
        <f t="array" ref="F415">XLOOKUP($D415,REGOLITOS!$A:$A,REGOLITOS!F:F)</f>
        <v>#N/A</v>
      </c>
      <c r="G415" s="48" t="str">
        <f t="array" ref="G415">XLOOKUP($D415,REGOLITOS!$A:$A,REGOLITOS!G:G)</f>
        <v>#N/A</v>
      </c>
      <c r="H415" s="48" t="str">
        <f t="array" ref="H415">XLOOKUP($D415,REGOLITOS!$A:$A,REGOLITOS!H:H)</f>
        <v>#N/A</v>
      </c>
      <c r="I415" s="48" t="str">
        <f t="array" ref="I415">XLOOKUP($D415,REGOLITOS!$A:$A,REGOLITOS!I:I)</f>
        <v>#N/A</v>
      </c>
      <c r="J415" s="48" t="str">
        <f t="array" ref="J415">XLOOKUP($D415,REGOLITOS!$A:$A,REGOLITOS!J:J)</f>
        <v>#N/A</v>
      </c>
      <c r="K415" s="48" t="str">
        <f t="array" ref="K415">XLOOKUP($D415,REGOLITOS!$A:$A,REGOLITOS!K:K)</f>
        <v>#N/A</v>
      </c>
      <c r="L415" s="76"/>
      <c r="M415" s="5" t="s">
        <v>1080</v>
      </c>
      <c r="N415" s="5" t="s">
        <v>1080</v>
      </c>
      <c r="O415" s="5" t="s">
        <v>1080</v>
      </c>
      <c r="P415" s="5" t="s">
        <v>1080</v>
      </c>
      <c r="Q415" s="5" t="s">
        <v>1080</v>
      </c>
      <c r="X415" s="71">
        <f t="shared" si="5"/>
        <v>0</v>
      </c>
      <c r="Y415" s="5" t="b">
        <v>0</v>
      </c>
    </row>
    <row r="416">
      <c r="B416" s="5" t="str">
        <f t="array" ref="B416">XLOOKUP(A416, CURSOS!A:A, CURSOS!B:B)</f>
        <v>#N/A</v>
      </c>
      <c r="C416" s="75" t="str">
        <f t="array" ref="C416">XLOOKUP(A416, CURSOS!A:A, CURSOS!C:C)</f>
        <v>#N/A</v>
      </c>
      <c r="D416" s="70" t="e">
        <v>#N/A</v>
      </c>
      <c r="E416" s="48"/>
      <c r="F416" s="48" t="str">
        <f t="array" ref="F416">XLOOKUP($D416,REGOLITOS!$A:$A,REGOLITOS!F:F)</f>
        <v>#N/A</v>
      </c>
      <c r="G416" s="48" t="str">
        <f t="array" ref="G416">XLOOKUP($D416,REGOLITOS!$A:$A,REGOLITOS!G:G)</f>
        <v>#N/A</v>
      </c>
      <c r="H416" s="48" t="str">
        <f t="array" ref="H416">XLOOKUP($D416,REGOLITOS!$A:$A,REGOLITOS!H:H)</f>
        <v>#N/A</v>
      </c>
      <c r="I416" s="48" t="str">
        <f t="array" ref="I416">XLOOKUP($D416,REGOLITOS!$A:$A,REGOLITOS!I:I)</f>
        <v>#N/A</v>
      </c>
      <c r="J416" s="48" t="str">
        <f t="array" ref="J416">XLOOKUP($D416,REGOLITOS!$A:$A,REGOLITOS!J:J)</f>
        <v>#N/A</v>
      </c>
      <c r="K416" s="48" t="str">
        <f t="array" ref="K416">XLOOKUP($D416,REGOLITOS!$A:$A,REGOLITOS!K:K)</f>
        <v>#N/A</v>
      </c>
      <c r="L416" s="76"/>
      <c r="M416" s="5" t="s">
        <v>1080</v>
      </c>
      <c r="N416" s="5" t="s">
        <v>1080</v>
      </c>
      <c r="O416" s="5" t="s">
        <v>1080</v>
      </c>
      <c r="P416" s="5" t="s">
        <v>1080</v>
      </c>
      <c r="Q416" s="5" t="s">
        <v>1080</v>
      </c>
      <c r="X416" s="71">
        <f t="shared" si="5"/>
        <v>0</v>
      </c>
      <c r="Y416" s="5" t="b">
        <v>0</v>
      </c>
    </row>
    <row r="417">
      <c r="B417" s="5" t="str">
        <f t="array" ref="B417">XLOOKUP(A417, CURSOS!A:A, CURSOS!B:B)</f>
        <v>#N/A</v>
      </c>
      <c r="C417" s="75" t="str">
        <f t="array" ref="C417">XLOOKUP(A417, CURSOS!A:A, CURSOS!C:C)</f>
        <v>#N/A</v>
      </c>
      <c r="D417" s="70" t="e">
        <v>#N/A</v>
      </c>
      <c r="E417" s="48"/>
      <c r="F417" s="48" t="str">
        <f t="array" ref="F417">XLOOKUP($D417,REGOLITOS!$A:$A,REGOLITOS!F:F)</f>
        <v>#N/A</v>
      </c>
      <c r="G417" s="48" t="str">
        <f t="array" ref="G417">XLOOKUP($D417,REGOLITOS!$A:$A,REGOLITOS!G:G)</f>
        <v>#N/A</v>
      </c>
      <c r="H417" s="48" t="str">
        <f t="array" ref="H417">XLOOKUP($D417,REGOLITOS!$A:$A,REGOLITOS!H:H)</f>
        <v>#N/A</v>
      </c>
      <c r="I417" s="48" t="str">
        <f t="array" ref="I417">XLOOKUP($D417,REGOLITOS!$A:$A,REGOLITOS!I:I)</f>
        <v>#N/A</v>
      </c>
      <c r="J417" s="48" t="str">
        <f t="array" ref="J417">XLOOKUP($D417,REGOLITOS!$A:$A,REGOLITOS!J:J)</f>
        <v>#N/A</v>
      </c>
      <c r="K417" s="48" t="str">
        <f t="array" ref="K417">XLOOKUP($D417,REGOLITOS!$A:$A,REGOLITOS!K:K)</f>
        <v>#N/A</v>
      </c>
      <c r="L417" s="76"/>
      <c r="M417" s="5" t="s">
        <v>1080</v>
      </c>
      <c r="N417" s="5" t="s">
        <v>1080</v>
      </c>
      <c r="O417" s="5" t="s">
        <v>1080</v>
      </c>
      <c r="P417" s="5" t="s">
        <v>1080</v>
      </c>
      <c r="Q417" s="5" t="s">
        <v>1080</v>
      </c>
      <c r="X417" s="71">
        <f t="shared" si="5"/>
        <v>0</v>
      </c>
      <c r="Y417" s="5" t="b">
        <v>0</v>
      </c>
    </row>
    <row r="418">
      <c r="B418" s="5" t="str">
        <f t="array" ref="B418">XLOOKUP(A418, CURSOS!A:A, CURSOS!B:B)</f>
        <v>#N/A</v>
      </c>
      <c r="C418" s="75" t="str">
        <f t="array" ref="C418">XLOOKUP(A418, CURSOS!A:A, CURSOS!C:C)</f>
        <v>#N/A</v>
      </c>
      <c r="D418" s="70" t="e">
        <v>#N/A</v>
      </c>
      <c r="E418" s="48"/>
      <c r="F418" s="48" t="str">
        <f t="array" ref="F418">XLOOKUP($D418,REGOLITOS!$A:$A,REGOLITOS!F:F)</f>
        <v>#N/A</v>
      </c>
      <c r="G418" s="48" t="str">
        <f t="array" ref="G418">XLOOKUP($D418,REGOLITOS!$A:$A,REGOLITOS!G:G)</f>
        <v>#N/A</v>
      </c>
      <c r="H418" s="48" t="str">
        <f t="array" ref="H418">XLOOKUP($D418,REGOLITOS!$A:$A,REGOLITOS!H:H)</f>
        <v>#N/A</v>
      </c>
      <c r="I418" s="48" t="str">
        <f t="array" ref="I418">XLOOKUP($D418,REGOLITOS!$A:$A,REGOLITOS!I:I)</f>
        <v>#N/A</v>
      </c>
      <c r="J418" s="48" t="str">
        <f t="array" ref="J418">XLOOKUP($D418,REGOLITOS!$A:$A,REGOLITOS!J:J)</f>
        <v>#N/A</v>
      </c>
      <c r="K418" s="48" t="str">
        <f t="array" ref="K418">XLOOKUP($D418,REGOLITOS!$A:$A,REGOLITOS!K:K)</f>
        <v>#N/A</v>
      </c>
      <c r="L418" s="76"/>
      <c r="M418" s="5" t="s">
        <v>1080</v>
      </c>
      <c r="N418" s="5" t="s">
        <v>1080</v>
      </c>
      <c r="O418" s="5" t="s">
        <v>1080</v>
      </c>
      <c r="P418" s="5" t="s">
        <v>1080</v>
      </c>
      <c r="Q418" s="5" t="s">
        <v>1080</v>
      </c>
      <c r="X418" s="71">
        <f t="shared" si="5"/>
        <v>0</v>
      </c>
      <c r="Y418" s="5" t="b">
        <v>0</v>
      </c>
    </row>
    <row r="419">
      <c r="B419" s="5" t="str">
        <f t="array" ref="B419">XLOOKUP(A419, CURSOS!A:A, CURSOS!B:B)</f>
        <v>#N/A</v>
      </c>
      <c r="C419" s="75" t="str">
        <f t="array" ref="C419">XLOOKUP(A419, CURSOS!A:A, CURSOS!C:C)</f>
        <v>#N/A</v>
      </c>
      <c r="D419" s="70" t="e">
        <v>#N/A</v>
      </c>
      <c r="E419" s="48"/>
      <c r="F419" s="48" t="str">
        <f t="array" ref="F419">XLOOKUP($D419,REGOLITOS!$A:$A,REGOLITOS!F:F)</f>
        <v>#N/A</v>
      </c>
      <c r="G419" s="48" t="str">
        <f t="array" ref="G419">XLOOKUP($D419,REGOLITOS!$A:$A,REGOLITOS!G:G)</f>
        <v>#N/A</v>
      </c>
      <c r="H419" s="48" t="str">
        <f t="array" ref="H419">XLOOKUP($D419,REGOLITOS!$A:$A,REGOLITOS!H:H)</f>
        <v>#N/A</v>
      </c>
      <c r="I419" s="48" t="str">
        <f t="array" ref="I419">XLOOKUP($D419,REGOLITOS!$A:$A,REGOLITOS!I:I)</f>
        <v>#N/A</v>
      </c>
      <c r="J419" s="48" t="str">
        <f t="array" ref="J419">XLOOKUP($D419,REGOLITOS!$A:$A,REGOLITOS!J:J)</f>
        <v>#N/A</v>
      </c>
      <c r="K419" s="48" t="str">
        <f t="array" ref="K419">XLOOKUP($D419,REGOLITOS!$A:$A,REGOLITOS!K:K)</f>
        <v>#N/A</v>
      </c>
      <c r="L419" s="76"/>
      <c r="M419" s="5" t="s">
        <v>1080</v>
      </c>
      <c r="N419" s="5" t="s">
        <v>1080</v>
      </c>
      <c r="O419" s="5" t="s">
        <v>1080</v>
      </c>
      <c r="P419" s="5" t="s">
        <v>1080</v>
      </c>
      <c r="Q419" s="5" t="s">
        <v>1080</v>
      </c>
      <c r="X419" s="71">
        <f t="shared" si="5"/>
        <v>0</v>
      </c>
      <c r="Y419" s="5" t="b">
        <v>0</v>
      </c>
    </row>
    <row r="420">
      <c r="B420" s="5" t="str">
        <f t="array" ref="B420">XLOOKUP(A420, CURSOS!A:A, CURSOS!B:B)</f>
        <v>#N/A</v>
      </c>
      <c r="C420" s="75" t="str">
        <f t="array" ref="C420">XLOOKUP(A420, CURSOS!A:A, CURSOS!C:C)</f>
        <v>#N/A</v>
      </c>
      <c r="D420" s="70" t="e">
        <v>#N/A</v>
      </c>
      <c r="E420" s="48"/>
      <c r="F420" s="48" t="str">
        <f t="array" ref="F420">XLOOKUP($D420,REGOLITOS!$A:$A,REGOLITOS!F:F)</f>
        <v>#N/A</v>
      </c>
      <c r="G420" s="48" t="str">
        <f t="array" ref="G420">XLOOKUP($D420,REGOLITOS!$A:$A,REGOLITOS!G:G)</f>
        <v>#N/A</v>
      </c>
      <c r="H420" s="48" t="str">
        <f t="array" ref="H420">XLOOKUP($D420,REGOLITOS!$A:$A,REGOLITOS!H:H)</f>
        <v>#N/A</v>
      </c>
      <c r="I420" s="48" t="str">
        <f t="array" ref="I420">XLOOKUP($D420,REGOLITOS!$A:$A,REGOLITOS!I:I)</f>
        <v>#N/A</v>
      </c>
      <c r="J420" s="48" t="str">
        <f t="array" ref="J420">XLOOKUP($D420,REGOLITOS!$A:$A,REGOLITOS!J:J)</f>
        <v>#N/A</v>
      </c>
      <c r="K420" s="48" t="str">
        <f t="array" ref="K420">XLOOKUP($D420,REGOLITOS!$A:$A,REGOLITOS!K:K)</f>
        <v>#N/A</v>
      </c>
      <c r="L420" s="76"/>
      <c r="M420" s="5" t="s">
        <v>1080</v>
      </c>
      <c r="N420" s="5" t="s">
        <v>1080</v>
      </c>
      <c r="O420" s="5" t="s">
        <v>1080</v>
      </c>
      <c r="P420" s="5" t="s">
        <v>1080</v>
      </c>
      <c r="Q420" s="5" t="s">
        <v>1080</v>
      </c>
      <c r="X420" s="71">
        <f t="shared" si="5"/>
        <v>0</v>
      </c>
      <c r="Y420" s="5" t="b">
        <v>0</v>
      </c>
    </row>
    <row r="421">
      <c r="B421" s="5" t="str">
        <f t="array" ref="B421">XLOOKUP(A421, CURSOS!A:A, CURSOS!B:B)</f>
        <v>#N/A</v>
      </c>
      <c r="C421" s="75" t="str">
        <f t="array" ref="C421">XLOOKUP(A421, CURSOS!A:A, CURSOS!C:C)</f>
        <v>#N/A</v>
      </c>
      <c r="D421" s="70" t="e">
        <v>#N/A</v>
      </c>
      <c r="E421" s="48"/>
      <c r="F421" s="48" t="str">
        <f t="array" ref="F421">XLOOKUP($D421,REGOLITOS!$A:$A,REGOLITOS!F:F)</f>
        <v>#N/A</v>
      </c>
      <c r="G421" s="48" t="str">
        <f t="array" ref="G421">XLOOKUP($D421,REGOLITOS!$A:$A,REGOLITOS!G:G)</f>
        <v>#N/A</v>
      </c>
      <c r="H421" s="48" t="str">
        <f t="array" ref="H421">XLOOKUP($D421,REGOLITOS!$A:$A,REGOLITOS!H:H)</f>
        <v>#N/A</v>
      </c>
      <c r="I421" s="48" t="str">
        <f t="array" ref="I421">XLOOKUP($D421,REGOLITOS!$A:$A,REGOLITOS!I:I)</f>
        <v>#N/A</v>
      </c>
      <c r="J421" s="48" t="str">
        <f t="array" ref="J421">XLOOKUP($D421,REGOLITOS!$A:$A,REGOLITOS!J:J)</f>
        <v>#N/A</v>
      </c>
      <c r="K421" s="48" t="str">
        <f t="array" ref="K421">XLOOKUP($D421,REGOLITOS!$A:$A,REGOLITOS!K:K)</f>
        <v>#N/A</v>
      </c>
      <c r="L421" s="76"/>
      <c r="M421" s="5" t="s">
        <v>1080</v>
      </c>
      <c r="N421" s="5" t="s">
        <v>1080</v>
      </c>
      <c r="O421" s="5" t="s">
        <v>1080</v>
      </c>
      <c r="P421" s="5" t="s">
        <v>1080</v>
      </c>
      <c r="Q421" s="5" t="s">
        <v>1080</v>
      </c>
      <c r="X421" s="71">
        <f t="shared" si="5"/>
        <v>0</v>
      </c>
      <c r="Y421" s="5" t="b">
        <v>0</v>
      </c>
    </row>
    <row r="422">
      <c r="B422" s="5" t="str">
        <f t="array" ref="B422">XLOOKUP(A422, CURSOS!A:A, CURSOS!B:B)</f>
        <v>#N/A</v>
      </c>
      <c r="C422" s="75" t="str">
        <f t="array" ref="C422">XLOOKUP(A422, CURSOS!A:A, CURSOS!C:C)</f>
        <v>#N/A</v>
      </c>
      <c r="D422" s="70" t="e">
        <v>#N/A</v>
      </c>
      <c r="E422" s="48"/>
      <c r="F422" s="48" t="str">
        <f t="array" ref="F422">XLOOKUP($D422,REGOLITOS!$A:$A,REGOLITOS!F:F)</f>
        <v>#N/A</v>
      </c>
      <c r="G422" s="48" t="str">
        <f t="array" ref="G422">XLOOKUP($D422,REGOLITOS!$A:$A,REGOLITOS!G:G)</f>
        <v>#N/A</v>
      </c>
      <c r="H422" s="48" t="str">
        <f t="array" ref="H422">XLOOKUP($D422,REGOLITOS!$A:$A,REGOLITOS!H:H)</f>
        <v>#N/A</v>
      </c>
      <c r="I422" s="48" t="str">
        <f t="array" ref="I422">XLOOKUP($D422,REGOLITOS!$A:$A,REGOLITOS!I:I)</f>
        <v>#N/A</v>
      </c>
      <c r="J422" s="48" t="str">
        <f t="array" ref="J422">XLOOKUP($D422,REGOLITOS!$A:$A,REGOLITOS!J:J)</f>
        <v>#N/A</v>
      </c>
      <c r="K422" s="48" t="str">
        <f t="array" ref="K422">XLOOKUP($D422,REGOLITOS!$A:$A,REGOLITOS!K:K)</f>
        <v>#N/A</v>
      </c>
      <c r="L422" s="76"/>
      <c r="M422" s="5" t="s">
        <v>1080</v>
      </c>
      <c r="N422" s="5" t="s">
        <v>1080</v>
      </c>
      <c r="O422" s="5" t="s">
        <v>1080</v>
      </c>
      <c r="P422" s="5" t="s">
        <v>1080</v>
      </c>
      <c r="Q422" s="5" t="s">
        <v>1080</v>
      </c>
      <c r="X422" s="71">
        <f t="shared" si="5"/>
        <v>0</v>
      </c>
      <c r="Y422" s="5" t="b">
        <v>0</v>
      </c>
    </row>
    <row r="423">
      <c r="B423" s="5" t="str">
        <f t="array" ref="B423">XLOOKUP(A423, CURSOS!A:A, CURSOS!B:B)</f>
        <v>#N/A</v>
      </c>
      <c r="C423" s="75" t="str">
        <f t="array" ref="C423">XLOOKUP(A423, CURSOS!A:A, CURSOS!C:C)</f>
        <v>#N/A</v>
      </c>
      <c r="D423" s="70" t="e">
        <v>#N/A</v>
      </c>
      <c r="E423" s="48"/>
      <c r="F423" s="48" t="str">
        <f t="array" ref="F423">XLOOKUP($D423,REGOLITOS!$A:$A,REGOLITOS!F:F)</f>
        <v>#N/A</v>
      </c>
      <c r="G423" s="48" t="str">
        <f t="array" ref="G423">XLOOKUP($D423,REGOLITOS!$A:$A,REGOLITOS!G:G)</f>
        <v>#N/A</v>
      </c>
      <c r="H423" s="48" t="str">
        <f t="array" ref="H423">XLOOKUP($D423,REGOLITOS!$A:$A,REGOLITOS!H:H)</f>
        <v>#N/A</v>
      </c>
      <c r="I423" s="48" t="str">
        <f t="array" ref="I423">XLOOKUP($D423,REGOLITOS!$A:$A,REGOLITOS!I:I)</f>
        <v>#N/A</v>
      </c>
      <c r="J423" s="48" t="str">
        <f t="array" ref="J423">XLOOKUP($D423,REGOLITOS!$A:$A,REGOLITOS!J:J)</f>
        <v>#N/A</v>
      </c>
      <c r="K423" s="48" t="str">
        <f t="array" ref="K423">XLOOKUP($D423,REGOLITOS!$A:$A,REGOLITOS!K:K)</f>
        <v>#N/A</v>
      </c>
      <c r="L423" s="76"/>
      <c r="M423" s="5" t="s">
        <v>1080</v>
      </c>
      <c r="N423" s="5" t="s">
        <v>1080</v>
      </c>
      <c r="O423" s="5" t="s">
        <v>1080</v>
      </c>
      <c r="P423" s="5" t="s">
        <v>1080</v>
      </c>
      <c r="Q423" s="5" t="s">
        <v>1080</v>
      </c>
      <c r="X423" s="71">
        <f t="shared" si="5"/>
        <v>0</v>
      </c>
      <c r="Y423" s="5" t="b">
        <v>0</v>
      </c>
    </row>
    <row r="424">
      <c r="B424" s="5" t="str">
        <f t="array" ref="B424">XLOOKUP(A424, CURSOS!A:A, CURSOS!B:B)</f>
        <v>#N/A</v>
      </c>
      <c r="C424" s="75" t="str">
        <f t="array" ref="C424">XLOOKUP(A424, CURSOS!A:A, CURSOS!C:C)</f>
        <v>#N/A</v>
      </c>
      <c r="D424" s="70" t="e">
        <v>#N/A</v>
      </c>
      <c r="E424" s="48"/>
      <c r="F424" s="48" t="str">
        <f t="array" ref="F424">XLOOKUP($D424,REGOLITOS!$A:$A,REGOLITOS!F:F)</f>
        <v>#N/A</v>
      </c>
      <c r="G424" s="48" t="str">
        <f t="array" ref="G424">XLOOKUP($D424,REGOLITOS!$A:$A,REGOLITOS!G:G)</f>
        <v>#N/A</v>
      </c>
      <c r="H424" s="48" t="str">
        <f t="array" ref="H424">XLOOKUP($D424,REGOLITOS!$A:$A,REGOLITOS!H:H)</f>
        <v>#N/A</v>
      </c>
      <c r="I424" s="48" t="str">
        <f t="array" ref="I424">XLOOKUP($D424,REGOLITOS!$A:$A,REGOLITOS!I:I)</f>
        <v>#N/A</v>
      </c>
      <c r="J424" s="48" t="str">
        <f t="array" ref="J424">XLOOKUP($D424,REGOLITOS!$A:$A,REGOLITOS!J:J)</f>
        <v>#N/A</v>
      </c>
      <c r="K424" s="48" t="str">
        <f t="array" ref="K424">XLOOKUP($D424,REGOLITOS!$A:$A,REGOLITOS!K:K)</f>
        <v>#N/A</v>
      </c>
      <c r="L424" s="76"/>
      <c r="M424" s="5" t="s">
        <v>1080</v>
      </c>
      <c r="N424" s="5" t="s">
        <v>1080</v>
      </c>
      <c r="O424" s="5" t="s">
        <v>1080</v>
      </c>
      <c r="P424" s="5" t="s">
        <v>1080</v>
      </c>
      <c r="Q424" s="5" t="s">
        <v>1080</v>
      </c>
      <c r="X424" s="71">
        <f t="shared" si="5"/>
        <v>0</v>
      </c>
      <c r="Y424" s="5" t="b">
        <v>0</v>
      </c>
    </row>
    <row r="425">
      <c r="B425" s="5" t="str">
        <f t="array" ref="B425">XLOOKUP(A425, CURSOS!A:A, CURSOS!B:B)</f>
        <v>#N/A</v>
      </c>
      <c r="C425" s="75" t="str">
        <f t="array" ref="C425">XLOOKUP(A425, CURSOS!A:A, CURSOS!C:C)</f>
        <v>#N/A</v>
      </c>
      <c r="D425" s="70" t="e">
        <v>#N/A</v>
      </c>
      <c r="E425" s="48"/>
      <c r="F425" s="48" t="str">
        <f t="array" ref="F425">XLOOKUP($D425,REGOLITOS!$A:$A,REGOLITOS!F:F)</f>
        <v>#N/A</v>
      </c>
      <c r="G425" s="48" t="str">
        <f t="array" ref="G425">XLOOKUP($D425,REGOLITOS!$A:$A,REGOLITOS!G:G)</f>
        <v>#N/A</v>
      </c>
      <c r="H425" s="48" t="str">
        <f t="array" ref="H425">XLOOKUP($D425,REGOLITOS!$A:$A,REGOLITOS!H:H)</f>
        <v>#N/A</v>
      </c>
      <c r="I425" s="48" t="str">
        <f t="array" ref="I425">XLOOKUP($D425,REGOLITOS!$A:$A,REGOLITOS!I:I)</f>
        <v>#N/A</v>
      </c>
      <c r="J425" s="48" t="str">
        <f t="array" ref="J425">XLOOKUP($D425,REGOLITOS!$A:$A,REGOLITOS!J:J)</f>
        <v>#N/A</v>
      </c>
      <c r="K425" s="48" t="str">
        <f t="array" ref="K425">XLOOKUP($D425,REGOLITOS!$A:$A,REGOLITOS!K:K)</f>
        <v>#N/A</v>
      </c>
      <c r="L425" s="76"/>
      <c r="M425" s="5" t="s">
        <v>1080</v>
      </c>
      <c r="N425" s="5" t="s">
        <v>1080</v>
      </c>
      <c r="O425" s="5" t="s">
        <v>1080</v>
      </c>
      <c r="P425" s="5" t="s">
        <v>1080</v>
      </c>
      <c r="Q425" s="5" t="s">
        <v>1080</v>
      </c>
      <c r="X425" s="71">
        <f t="shared" si="5"/>
        <v>0</v>
      </c>
      <c r="Y425" s="5" t="b">
        <v>0</v>
      </c>
    </row>
    <row r="426">
      <c r="B426" s="5" t="str">
        <f t="array" ref="B426">XLOOKUP(A426, CURSOS!A:A, CURSOS!B:B)</f>
        <v>#N/A</v>
      </c>
      <c r="C426" s="75" t="str">
        <f t="array" ref="C426">XLOOKUP(A426, CURSOS!A:A, CURSOS!C:C)</f>
        <v>#N/A</v>
      </c>
      <c r="D426" s="70" t="e">
        <v>#N/A</v>
      </c>
      <c r="E426" s="48"/>
      <c r="F426" s="48" t="str">
        <f t="array" ref="F426">XLOOKUP($D426,REGOLITOS!$A:$A,REGOLITOS!F:F)</f>
        <v>#N/A</v>
      </c>
      <c r="G426" s="48" t="str">
        <f t="array" ref="G426">XLOOKUP($D426,REGOLITOS!$A:$A,REGOLITOS!G:G)</f>
        <v>#N/A</v>
      </c>
      <c r="H426" s="48" t="str">
        <f t="array" ref="H426">XLOOKUP($D426,REGOLITOS!$A:$A,REGOLITOS!H:H)</f>
        <v>#N/A</v>
      </c>
      <c r="I426" s="48" t="str">
        <f t="array" ref="I426">XLOOKUP($D426,REGOLITOS!$A:$A,REGOLITOS!I:I)</f>
        <v>#N/A</v>
      </c>
      <c r="J426" s="48" t="str">
        <f t="array" ref="J426">XLOOKUP($D426,REGOLITOS!$A:$A,REGOLITOS!J:J)</f>
        <v>#N/A</v>
      </c>
      <c r="K426" s="48" t="str">
        <f t="array" ref="K426">XLOOKUP($D426,REGOLITOS!$A:$A,REGOLITOS!K:K)</f>
        <v>#N/A</v>
      </c>
      <c r="L426" s="76"/>
      <c r="M426" s="5" t="s">
        <v>1080</v>
      </c>
      <c r="N426" s="5" t="s">
        <v>1080</v>
      </c>
      <c r="O426" s="5" t="s">
        <v>1080</v>
      </c>
      <c r="P426" s="5" t="s">
        <v>1080</v>
      </c>
      <c r="Q426" s="5" t="s">
        <v>1080</v>
      </c>
      <c r="X426" s="71">
        <f t="shared" si="5"/>
        <v>0</v>
      </c>
      <c r="Y426" s="5" t="b">
        <v>0</v>
      </c>
    </row>
    <row r="427">
      <c r="B427" s="5" t="str">
        <f t="array" ref="B427">XLOOKUP(A427, CURSOS!A:A, CURSOS!B:B)</f>
        <v>#N/A</v>
      </c>
      <c r="C427" s="75" t="str">
        <f t="array" ref="C427">XLOOKUP(A427, CURSOS!A:A, CURSOS!C:C)</f>
        <v>#N/A</v>
      </c>
      <c r="D427" s="70" t="e">
        <v>#N/A</v>
      </c>
      <c r="E427" s="48"/>
      <c r="F427" s="48" t="str">
        <f t="array" ref="F427">XLOOKUP($D427,REGOLITOS!$A:$A,REGOLITOS!F:F)</f>
        <v>#N/A</v>
      </c>
      <c r="G427" s="48" t="str">
        <f t="array" ref="G427">XLOOKUP($D427,REGOLITOS!$A:$A,REGOLITOS!G:G)</f>
        <v>#N/A</v>
      </c>
      <c r="H427" s="48" t="str">
        <f t="array" ref="H427">XLOOKUP($D427,REGOLITOS!$A:$A,REGOLITOS!H:H)</f>
        <v>#N/A</v>
      </c>
      <c r="I427" s="48" t="str">
        <f t="array" ref="I427">XLOOKUP($D427,REGOLITOS!$A:$A,REGOLITOS!I:I)</f>
        <v>#N/A</v>
      </c>
      <c r="J427" s="48" t="str">
        <f t="array" ref="J427">XLOOKUP($D427,REGOLITOS!$A:$A,REGOLITOS!J:J)</f>
        <v>#N/A</v>
      </c>
      <c r="K427" s="48" t="str">
        <f t="array" ref="K427">XLOOKUP($D427,REGOLITOS!$A:$A,REGOLITOS!K:K)</f>
        <v>#N/A</v>
      </c>
      <c r="L427" s="76"/>
      <c r="M427" s="5" t="s">
        <v>1080</v>
      </c>
      <c r="N427" s="5" t="s">
        <v>1080</v>
      </c>
      <c r="O427" s="5" t="s">
        <v>1080</v>
      </c>
      <c r="P427" s="5" t="s">
        <v>1080</v>
      </c>
      <c r="Q427" s="5" t="s">
        <v>1080</v>
      </c>
      <c r="X427" s="71">
        <f t="shared" si="5"/>
        <v>0</v>
      </c>
      <c r="Y427" s="5" t="b">
        <v>0</v>
      </c>
    </row>
    <row r="428">
      <c r="B428" s="5" t="str">
        <f t="array" ref="B428">XLOOKUP(A428, CURSOS!A:A, CURSOS!B:B)</f>
        <v>#N/A</v>
      </c>
      <c r="C428" s="75" t="str">
        <f t="array" ref="C428">XLOOKUP(A428, CURSOS!A:A, CURSOS!C:C)</f>
        <v>#N/A</v>
      </c>
      <c r="D428" s="70" t="e">
        <v>#N/A</v>
      </c>
      <c r="E428" s="48"/>
      <c r="F428" s="48" t="str">
        <f t="array" ref="F428">XLOOKUP($D428,REGOLITOS!$A:$A,REGOLITOS!F:F)</f>
        <v>#N/A</v>
      </c>
      <c r="G428" s="48" t="str">
        <f t="array" ref="G428">XLOOKUP($D428,REGOLITOS!$A:$A,REGOLITOS!G:G)</f>
        <v>#N/A</v>
      </c>
      <c r="H428" s="48" t="str">
        <f t="array" ref="H428">XLOOKUP($D428,REGOLITOS!$A:$A,REGOLITOS!H:H)</f>
        <v>#N/A</v>
      </c>
      <c r="I428" s="48" t="str">
        <f t="array" ref="I428">XLOOKUP($D428,REGOLITOS!$A:$A,REGOLITOS!I:I)</f>
        <v>#N/A</v>
      </c>
      <c r="J428" s="48" t="str">
        <f t="array" ref="J428">XLOOKUP($D428,REGOLITOS!$A:$A,REGOLITOS!J:J)</f>
        <v>#N/A</v>
      </c>
      <c r="K428" s="48" t="str">
        <f t="array" ref="K428">XLOOKUP($D428,REGOLITOS!$A:$A,REGOLITOS!K:K)</f>
        <v>#N/A</v>
      </c>
      <c r="L428" s="76"/>
      <c r="M428" s="5" t="s">
        <v>1080</v>
      </c>
      <c r="N428" s="5" t="s">
        <v>1080</v>
      </c>
      <c r="O428" s="5" t="s">
        <v>1080</v>
      </c>
      <c r="P428" s="5" t="s">
        <v>1080</v>
      </c>
      <c r="Q428" s="5" t="s">
        <v>1080</v>
      </c>
      <c r="X428" s="71">
        <f t="shared" si="5"/>
        <v>0</v>
      </c>
      <c r="Y428" s="5" t="b">
        <v>0</v>
      </c>
    </row>
    <row r="429">
      <c r="B429" s="5" t="str">
        <f t="array" ref="B429">XLOOKUP(A429, CURSOS!A:A, CURSOS!B:B)</f>
        <v>#N/A</v>
      </c>
      <c r="C429" s="75" t="str">
        <f t="array" ref="C429">XLOOKUP(A429, CURSOS!A:A, CURSOS!C:C)</f>
        <v>#N/A</v>
      </c>
      <c r="D429" s="70" t="e">
        <v>#N/A</v>
      </c>
      <c r="E429" s="48"/>
      <c r="F429" s="48" t="str">
        <f t="array" ref="F429">XLOOKUP($D429,REGOLITOS!$A:$A,REGOLITOS!F:F)</f>
        <v>#N/A</v>
      </c>
      <c r="G429" s="48" t="str">
        <f t="array" ref="G429">XLOOKUP($D429,REGOLITOS!$A:$A,REGOLITOS!G:G)</f>
        <v>#N/A</v>
      </c>
      <c r="H429" s="48" t="str">
        <f t="array" ref="H429">XLOOKUP($D429,REGOLITOS!$A:$A,REGOLITOS!H:H)</f>
        <v>#N/A</v>
      </c>
      <c r="I429" s="48" t="str">
        <f t="array" ref="I429">XLOOKUP($D429,REGOLITOS!$A:$A,REGOLITOS!I:I)</f>
        <v>#N/A</v>
      </c>
      <c r="J429" s="48" t="str">
        <f t="array" ref="J429">XLOOKUP($D429,REGOLITOS!$A:$A,REGOLITOS!J:J)</f>
        <v>#N/A</v>
      </c>
      <c r="K429" s="48" t="str">
        <f t="array" ref="K429">XLOOKUP($D429,REGOLITOS!$A:$A,REGOLITOS!K:K)</f>
        <v>#N/A</v>
      </c>
      <c r="L429" s="76"/>
      <c r="M429" s="5" t="s">
        <v>1080</v>
      </c>
      <c r="N429" s="5" t="s">
        <v>1080</v>
      </c>
      <c r="O429" s="5" t="s">
        <v>1080</v>
      </c>
      <c r="P429" s="5" t="s">
        <v>1080</v>
      </c>
      <c r="Q429" s="5" t="s">
        <v>1080</v>
      </c>
      <c r="X429" s="71">
        <f t="shared" si="5"/>
        <v>0</v>
      </c>
      <c r="Y429" s="5" t="b">
        <v>0</v>
      </c>
    </row>
    <row r="430">
      <c r="B430" s="5" t="str">
        <f t="array" ref="B430">XLOOKUP(A430, CURSOS!A:A, CURSOS!B:B)</f>
        <v>#N/A</v>
      </c>
      <c r="C430" s="75" t="str">
        <f t="array" ref="C430">XLOOKUP(A430, CURSOS!A:A, CURSOS!C:C)</f>
        <v>#N/A</v>
      </c>
      <c r="D430" s="70" t="e">
        <v>#N/A</v>
      </c>
      <c r="E430" s="48"/>
      <c r="F430" s="48" t="str">
        <f t="array" ref="F430">XLOOKUP($D430,REGOLITOS!$A:$A,REGOLITOS!F:F)</f>
        <v>#N/A</v>
      </c>
      <c r="G430" s="48" t="str">
        <f t="array" ref="G430">XLOOKUP($D430,REGOLITOS!$A:$A,REGOLITOS!G:G)</f>
        <v>#N/A</v>
      </c>
      <c r="H430" s="48" t="str">
        <f t="array" ref="H430">XLOOKUP($D430,REGOLITOS!$A:$A,REGOLITOS!H:H)</f>
        <v>#N/A</v>
      </c>
      <c r="I430" s="48" t="str">
        <f t="array" ref="I430">XLOOKUP($D430,REGOLITOS!$A:$A,REGOLITOS!I:I)</f>
        <v>#N/A</v>
      </c>
      <c r="J430" s="48" t="str">
        <f t="array" ref="J430">XLOOKUP($D430,REGOLITOS!$A:$A,REGOLITOS!J:J)</f>
        <v>#N/A</v>
      </c>
      <c r="K430" s="48" t="str">
        <f t="array" ref="K430">XLOOKUP($D430,REGOLITOS!$A:$A,REGOLITOS!K:K)</f>
        <v>#N/A</v>
      </c>
      <c r="L430" s="76"/>
      <c r="M430" s="5" t="s">
        <v>1080</v>
      </c>
      <c r="N430" s="5" t="s">
        <v>1080</v>
      </c>
      <c r="O430" s="5" t="s">
        <v>1080</v>
      </c>
      <c r="P430" s="5" t="s">
        <v>1080</v>
      </c>
      <c r="Q430" s="5" t="s">
        <v>1080</v>
      </c>
      <c r="X430" s="71">
        <f t="shared" si="5"/>
        <v>0</v>
      </c>
      <c r="Y430" s="5" t="b">
        <v>0</v>
      </c>
    </row>
    <row r="431">
      <c r="B431" s="5" t="str">
        <f t="array" ref="B431">XLOOKUP(A431, CURSOS!A:A, CURSOS!B:B)</f>
        <v>#N/A</v>
      </c>
      <c r="C431" s="75" t="str">
        <f t="array" ref="C431">XLOOKUP(A431, CURSOS!A:A, CURSOS!C:C)</f>
        <v>#N/A</v>
      </c>
      <c r="D431" s="70" t="e">
        <v>#N/A</v>
      </c>
      <c r="E431" s="48"/>
      <c r="F431" s="48" t="str">
        <f t="array" ref="F431">XLOOKUP($D431,REGOLITOS!$A:$A,REGOLITOS!F:F)</f>
        <v>#N/A</v>
      </c>
      <c r="G431" s="48" t="str">
        <f t="array" ref="G431">XLOOKUP($D431,REGOLITOS!$A:$A,REGOLITOS!G:G)</f>
        <v>#N/A</v>
      </c>
      <c r="H431" s="48" t="str">
        <f t="array" ref="H431">XLOOKUP($D431,REGOLITOS!$A:$A,REGOLITOS!H:H)</f>
        <v>#N/A</v>
      </c>
      <c r="I431" s="48" t="str">
        <f t="array" ref="I431">XLOOKUP($D431,REGOLITOS!$A:$A,REGOLITOS!I:I)</f>
        <v>#N/A</v>
      </c>
      <c r="J431" s="48" t="str">
        <f t="array" ref="J431">XLOOKUP($D431,REGOLITOS!$A:$A,REGOLITOS!J:J)</f>
        <v>#N/A</v>
      </c>
      <c r="K431" s="48" t="str">
        <f t="array" ref="K431">XLOOKUP($D431,REGOLITOS!$A:$A,REGOLITOS!K:K)</f>
        <v>#N/A</v>
      </c>
      <c r="L431" s="76"/>
      <c r="M431" s="5" t="s">
        <v>1080</v>
      </c>
      <c r="N431" s="5" t="s">
        <v>1080</v>
      </c>
      <c r="O431" s="5" t="s">
        <v>1080</v>
      </c>
      <c r="P431" s="5" t="s">
        <v>1080</v>
      </c>
      <c r="Q431" s="5" t="s">
        <v>1080</v>
      </c>
      <c r="X431" s="71">
        <f t="shared" si="5"/>
        <v>0</v>
      </c>
      <c r="Y431" s="5" t="b">
        <v>0</v>
      </c>
    </row>
    <row r="432">
      <c r="B432" s="5" t="str">
        <f t="array" ref="B432">XLOOKUP(A432, CURSOS!A:A, CURSOS!B:B)</f>
        <v>#N/A</v>
      </c>
      <c r="C432" s="75" t="str">
        <f t="array" ref="C432">XLOOKUP(A432, CURSOS!A:A, CURSOS!C:C)</f>
        <v>#N/A</v>
      </c>
      <c r="D432" s="70" t="e">
        <v>#N/A</v>
      </c>
      <c r="E432" s="48"/>
      <c r="F432" s="48" t="str">
        <f t="array" ref="F432">XLOOKUP($D432,REGOLITOS!$A:$A,REGOLITOS!F:F)</f>
        <v>#N/A</v>
      </c>
      <c r="G432" s="48" t="str">
        <f t="array" ref="G432">XLOOKUP($D432,REGOLITOS!$A:$A,REGOLITOS!G:G)</f>
        <v>#N/A</v>
      </c>
      <c r="H432" s="48" t="str">
        <f t="array" ref="H432">XLOOKUP($D432,REGOLITOS!$A:$A,REGOLITOS!H:H)</f>
        <v>#N/A</v>
      </c>
      <c r="I432" s="48" t="str">
        <f t="array" ref="I432">XLOOKUP($D432,REGOLITOS!$A:$A,REGOLITOS!I:I)</f>
        <v>#N/A</v>
      </c>
      <c r="J432" s="48" t="str">
        <f t="array" ref="J432">XLOOKUP($D432,REGOLITOS!$A:$A,REGOLITOS!J:J)</f>
        <v>#N/A</v>
      </c>
      <c r="K432" s="48" t="str">
        <f t="array" ref="K432">XLOOKUP($D432,REGOLITOS!$A:$A,REGOLITOS!K:K)</f>
        <v>#N/A</v>
      </c>
      <c r="L432" s="76"/>
      <c r="M432" s="5" t="s">
        <v>1080</v>
      </c>
      <c r="N432" s="5" t="s">
        <v>1080</v>
      </c>
      <c r="O432" s="5" t="s">
        <v>1080</v>
      </c>
      <c r="P432" s="5" t="s">
        <v>1080</v>
      </c>
      <c r="Q432" s="5" t="s">
        <v>1080</v>
      </c>
      <c r="X432" s="71">
        <f t="shared" si="5"/>
        <v>0</v>
      </c>
      <c r="Y432" s="5" t="b">
        <v>0</v>
      </c>
    </row>
    <row r="433">
      <c r="B433" s="5" t="str">
        <f t="array" ref="B433">XLOOKUP(A433, CURSOS!A:A, CURSOS!B:B)</f>
        <v>#N/A</v>
      </c>
      <c r="C433" s="75" t="str">
        <f t="array" ref="C433">XLOOKUP(A433, CURSOS!A:A, CURSOS!C:C)</f>
        <v>#N/A</v>
      </c>
      <c r="D433" s="70" t="e">
        <v>#N/A</v>
      </c>
      <c r="E433" s="48"/>
      <c r="F433" s="48" t="str">
        <f t="array" ref="F433">XLOOKUP($D433,REGOLITOS!$A:$A,REGOLITOS!F:F)</f>
        <v>#N/A</v>
      </c>
      <c r="G433" s="48" t="str">
        <f t="array" ref="G433">XLOOKUP($D433,REGOLITOS!$A:$A,REGOLITOS!G:G)</f>
        <v>#N/A</v>
      </c>
      <c r="H433" s="48" t="str">
        <f t="array" ref="H433">XLOOKUP($D433,REGOLITOS!$A:$A,REGOLITOS!H:H)</f>
        <v>#N/A</v>
      </c>
      <c r="I433" s="48" t="str">
        <f t="array" ref="I433">XLOOKUP($D433,REGOLITOS!$A:$A,REGOLITOS!I:I)</f>
        <v>#N/A</v>
      </c>
      <c r="J433" s="48" t="str">
        <f t="array" ref="J433">XLOOKUP($D433,REGOLITOS!$A:$A,REGOLITOS!J:J)</f>
        <v>#N/A</v>
      </c>
      <c r="K433" s="48" t="str">
        <f t="array" ref="K433">XLOOKUP($D433,REGOLITOS!$A:$A,REGOLITOS!K:K)</f>
        <v>#N/A</v>
      </c>
      <c r="L433" s="76"/>
      <c r="M433" s="5" t="s">
        <v>1080</v>
      </c>
      <c r="N433" s="5" t="s">
        <v>1080</v>
      </c>
      <c r="O433" s="5" t="s">
        <v>1080</v>
      </c>
      <c r="P433" s="5" t="s">
        <v>1080</v>
      </c>
      <c r="Q433" s="5" t="s">
        <v>1080</v>
      </c>
      <c r="X433" s="71">
        <f t="shared" si="5"/>
        <v>0</v>
      </c>
      <c r="Y433" s="5" t="b">
        <v>0</v>
      </c>
    </row>
    <row r="434">
      <c r="B434" s="5" t="str">
        <f t="array" ref="B434">XLOOKUP(A434, CURSOS!A:A, CURSOS!B:B)</f>
        <v>#N/A</v>
      </c>
      <c r="C434" s="75" t="str">
        <f t="array" ref="C434">XLOOKUP(A434, CURSOS!A:A, CURSOS!C:C)</f>
        <v>#N/A</v>
      </c>
      <c r="D434" s="70" t="e">
        <v>#N/A</v>
      </c>
      <c r="E434" s="48"/>
      <c r="F434" s="48" t="str">
        <f t="array" ref="F434">XLOOKUP($D434,REGOLITOS!$A:$A,REGOLITOS!F:F)</f>
        <v>#N/A</v>
      </c>
      <c r="G434" s="48" t="str">
        <f t="array" ref="G434">XLOOKUP($D434,REGOLITOS!$A:$A,REGOLITOS!G:G)</f>
        <v>#N/A</v>
      </c>
      <c r="H434" s="48" t="str">
        <f t="array" ref="H434">XLOOKUP($D434,REGOLITOS!$A:$A,REGOLITOS!H:H)</f>
        <v>#N/A</v>
      </c>
      <c r="I434" s="48" t="str">
        <f t="array" ref="I434">XLOOKUP($D434,REGOLITOS!$A:$A,REGOLITOS!I:I)</f>
        <v>#N/A</v>
      </c>
      <c r="J434" s="48" t="str">
        <f t="array" ref="J434">XLOOKUP($D434,REGOLITOS!$A:$A,REGOLITOS!J:J)</f>
        <v>#N/A</v>
      </c>
      <c r="K434" s="48" t="str">
        <f t="array" ref="K434">XLOOKUP($D434,REGOLITOS!$A:$A,REGOLITOS!K:K)</f>
        <v>#N/A</v>
      </c>
      <c r="L434" s="76"/>
      <c r="M434" s="5" t="s">
        <v>1080</v>
      </c>
      <c r="N434" s="5" t="s">
        <v>1080</v>
      </c>
      <c r="O434" s="5" t="s">
        <v>1080</v>
      </c>
      <c r="P434" s="5" t="s">
        <v>1080</v>
      </c>
      <c r="Q434" s="5" t="s">
        <v>1080</v>
      </c>
      <c r="X434" s="71">
        <f t="shared" si="5"/>
        <v>0</v>
      </c>
      <c r="Y434" s="5" t="b">
        <v>0</v>
      </c>
    </row>
    <row r="435">
      <c r="B435" s="5" t="str">
        <f t="array" ref="B435">XLOOKUP(A435, CURSOS!A:A, CURSOS!B:B)</f>
        <v>#N/A</v>
      </c>
      <c r="C435" s="75" t="str">
        <f t="array" ref="C435">XLOOKUP(A435, CURSOS!A:A, CURSOS!C:C)</f>
        <v>#N/A</v>
      </c>
      <c r="D435" s="70" t="e">
        <v>#N/A</v>
      </c>
      <c r="E435" s="48"/>
      <c r="F435" s="48" t="str">
        <f t="array" ref="F435">XLOOKUP($D435,REGOLITOS!$A:$A,REGOLITOS!F:F)</f>
        <v>#N/A</v>
      </c>
      <c r="G435" s="48" t="str">
        <f t="array" ref="G435">XLOOKUP($D435,REGOLITOS!$A:$A,REGOLITOS!G:G)</f>
        <v>#N/A</v>
      </c>
      <c r="H435" s="48" t="str">
        <f t="array" ref="H435">XLOOKUP($D435,REGOLITOS!$A:$A,REGOLITOS!H:H)</f>
        <v>#N/A</v>
      </c>
      <c r="I435" s="48" t="str">
        <f t="array" ref="I435">XLOOKUP($D435,REGOLITOS!$A:$A,REGOLITOS!I:I)</f>
        <v>#N/A</v>
      </c>
      <c r="J435" s="48" t="str">
        <f t="array" ref="J435">XLOOKUP($D435,REGOLITOS!$A:$A,REGOLITOS!J:J)</f>
        <v>#N/A</v>
      </c>
      <c r="K435" s="48" t="str">
        <f t="array" ref="K435">XLOOKUP($D435,REGOLITOS!$A:$A,REGOLITOS!K:K)</f>
        <v>#N/A</v>
      </c>
      <c r="L435" s="76"/>
      <c r="M435" s="5" t="s">
        <v>1080</v>
      </c>
      <c r="N435" s="5" t="s">
        <v>1080</v>
      </c>
      <c r="O435" s="5" t="s">
        <v>1080</v>
      </c>
      <c r="P435" s="5" t="s">
        <v>1080</v>
      </c>
      <c r="Q435" s="5" t="s">
        <v>1080</v>
      </c>
      <c r="X435" s="71">
        <f t="shared" si="5"/>
        <v>0</v>
      </c>
      <c r="Y435" s="5" t="b">
        <v>0</v>
      </c>
    </row>
    <row r="436">
      <c r="B436" s="5" t="str">
        <f t="array" ref="B436">XLOOKUP(A436, CURSOS!A:A, CURSOS!B:B)</f>
        <v>#N/A</v>
      </c>
      <c r="C436" s="75" t="str">
        <f t="array" ref="C436">XLOOKUP(A436, CURSOS!A:A, CURSOS!C:C)</f>
        <v>#N/A</v>
      </c>
      <c r="D436" s="70" t="e">
        <v>#N/A</v>
      </c>
      <c r="E436" s="48"/>
      <c r="F436" s="48" t="str">
        <f t="array" ref="F436">XLOOKUP($D436,REGOLITOS!$A:$A,REGOLITOS!F:F)</f>
        <v>#N/A</v>
      </c>
      <c r="G436" s="48" t="str">
        <f t="array" ref="G436">XLOOKUP($D436,REGOLITOS!$A:$A,REGOLITOS!G:G)</f>
        <v>#N/A</v>
      </c>
      <c r="H436" s="48" t="str">
        <f t="array" ref="H436">XLOOKUP($D436,REGOLITOS!$A:$A,REGOLITOS!H:H)</f>
        <v>#N/A</v>
      </c>
      <c r="I436" s="48" t="str">
        <f t="array" ref="I436">XLOOKUP($D436,REGOLITOS!$A:$A,REGOLITOS!I:I)</f>
        <v>#N/A</v>
      </c>
      <c r="J436" s="48" t="str">
        <f t="array" ref="J436">XLOOKUP($D436,REGOLITOS!$A:$A,REGOLITOS!J:J)</f>
        <v>#N/A</v>
      </c>
      <c r="K436" s="48" t="str">
        <f t="array" ref="K436">XLOOKUP($D436,REGOLITOS!$A:$A,REGOLITOS!K:K)</f>
        <v>#N/A</v>
      </c>
      <c r="L436" s="76"/>
      <c r="M436" s="5" t="s">
        <v>1080</v>
      </c>
      <c r="N436" s="5" t="s">
        <v>1080</v>
      </c>
      <c r="O436" s="5" t="s">
        <v>1080</v>
      </c>
      <c r="P436" s="5" t="s">
        <v>1080</v>
      </c>
      <c r="Q436" s="5" t="s">
        <v>1080</v>
      </c>
      <c r="X436" s="71">
        <f t="shared" si="5"/>
        <v>0</v>
      </c>
      <c r="Y436" s="5" t="b">
        <v>0</v>
      </c>
    </row>
    <row r="437">
      <c r="B437" s="5" t="str">
        <f t="array" ref="B437">XLOOKUP(A437, CURSOS!A:A, CURSOS!B:B)</f>
        <v>#N/A</v>
      </c>
      <c r="C437" s="75" t="str">
        <f t="array" ref="C437">XLOOKUP(A437, CURSOS!A:A, CURSOS!C:C)</f>
        <v>#N/A</v>
      </c>
      <c r="D437" s="70" t="e">
        <v>#N/A</v>
      </c>
      <c r="E437" s="48"/>
      <c r="F437" s="48" t="str">
        <f t="array" ref="F437">XLOOKUP($D437,REGOLITOS!$A:$A,REGOLITOS!F:F)</f>
        <v>#N/A</v>
      </c>
      <c r="G437" s="48" t="str">
        <f t="array" ref="G437">XLOOKUP($D437,REGOLITOS!$A:$A,REGOLITOS!G:G)</f>
        <v>#N/A</v>
      </c>
      <c r="H437" s="48" t="str">
        <f t="array" ref="H437">XLOOKUP($D437,REGOLITOS!$A:$A,REGOLITOS!H:H)</f>
        <v>#N/A</v>
      </c>
      <c r="I437" s="48" t="str">
        <f t="array" ref="I437">XLOOKUP($D437,REGOLITOS!$A:$A,REGOLITOS!I:I)</f>
        <v>#N/A</v>
      </c>
      <c r="J437" s="48" t="str">
        <f t="array" ref="J437">XLOOKUP($D437,REGOLITOS!$A:$A,REGOLITOS!J:J)</f>
        <v>#N/A</v>
      </c>
      <c r="K437" s="48" t="str">
        <f t="array" ref="K437">XLOOKUP($D437,REGOLITOS!$A:$A,REGOLITOS!K:K)</f>
        <v>#N/A</v>
      </c>
      <c r="L437" s="76"/>
      <c r="M437" s="5" t="s">
        <v>1080</v>
      </c>
      <c r="N437" s="5" t="s">
        <v>1080</v>
      </c>
      <c r="O437" s="5" t="s">
        <v>1080</v>
      </c>
      <c r="P437" s="5" t="s">
        <v>1080</v>
      </c>
      <c r="Q437" s="5" t="s">
        <v>1080</v>
      </c>
      <c r="X437" s="71">
        <f t="shared" si="5"/>
        <v>0</v>
      </c>
      <c r="Y437" s="5" t="b">
        <v>0</v>
      </c>
    </row>
    <row r="438">
      <c r="B438" s="5" t="str">
        <f t="array" ref="B438">XLOOKUP(A438, CURSOS!A:A, CURSOS!B:B)</f>
        <v>#N/A</v>
      </c>
      <c r="C438" s="75" t="str">
        <f t="array" ref="C438">XLOOKUP(A438, CURSOS!A:A, CURSOS!C:C)</f>
        <v>#N/A</v>
      </c>
      <c r="D438" s="70" t="e">
        <v>#N/A</v>
      </c>
      <c r="E438" s="48"/>
      <c r="F438" s="48" t="str">
        <f t="array" ref="F438">XLOOKUP($D438,REGOLITOS!$A:$A,REGOLITOS!F:F)</f>
        <v>#N/A</v>
      </c>
      <c r="G438" s="48" t="str">
        <f t="array" ref="G438">XLOOKUP($D438,REGOLITOS!$A:$A,REGOLITOS!G:G)</f>
        <v>#N/A</v>
      </c>
      <c r="H438" s="48" t="str">
        <f t="array" ref="H438">XLOOKUP($D438,REGOLITOS!$A:$A,REGOLITOS!H:H)</f>
        <v>#N/A</v>
      </c>
      <c r="I438" s="48" t="str">
        <f t="array" ref="I438">XLOOKUP($D438,REGOLITOS!$A:$A,REGOLITOS!I:I)</f>
        <v>#N/A</v>
      </c>
      <c r="J438" s="48" t="str">
        <f t="array" ref="J438">XLOOKUP($D438,REGOLITOS!$A:$A,REGOLITOS!J:J)</f>
        <v>#N/A</v>
      </c>
      <c r="K438" s="48" t="str">
        <f t="array" ref="K438">XLOOKUP($D438,REGOLITOS!$A:$A,REGOLITOS!K:K)</f>
        <v>#N/A</v>
      </c>
      <c r="L438" s="76"/>
      <c r="M438" s="5" t="s">
        <v>1080</v>
      </c>
      <c r="N438" s="5" t="s">
        <v>1080</v>
      </c>
      <c r="O438" s="5" t="s">
        <v>1080</v>
      </c>
      <c r="P438" s="5" t="s">
        <v>1080</v>
      </c>
      <c r="Q438" s="5" t="s">
        <v>1080</v>
      </c>
      <c r="X438" s="71">
        <f t="shared" si="5"/>
        <v>0</v>
      </c>
      <c r="Y438" s="5" t="b">
        <v>0</v>
      </c>
    </row>
    <row r="439">
      <c r="B439" s="5" t="str">
        <f t="array" ref="B439">XLOOKUP(A439, CURSOS!A:A, CURSOS!B:B)</f>
        <v>#N/A</v>
      </c>
      <c r="C439" s="75" t="str">
        <f t="array" ref="C439">XLOOKUP(A439, CURSOS!A:A, CURSOS!C:C)</f>
        <v>#N/A</v>
      </c>
      <c r="D439" s="70" t="e">
        <v>#N/A</v>
      </c>
      <c r="E439" s="48"/>
      <c r="F439" s="48" t="str">
        <f t="array" ref="F439">XLOOKUP($D439,REGOLITOS!$A:$A,REGOLITOS!F:F)</f>
        <v>#N/A</v>
      </c>
      <c r="G439" s="48" t="str">
        <f t="array" ref="G439">XLOOKUP($D439,REGOLITOS!$A:$A,REGOLITOS!G:G)</f>
        <v>#N/A</v>
      </c>
      <c r="H439" s="48" t="str">
        <f t="array" ref="H439">XLOOKUP($D439,REGOLITOS!$A:$A,REGOLITOS!H:H)</f>
        <v>#N/A</v>
      </c>
      <c r="I439" s="48" t="str">
        <f t="array" ref="I439">XLOOKUP($D439,REGOLITOS!$A:$A,REGOLITOS!I:I)</f>
        <v>#N/A</v>
      </c>
      <c r="J439" s="48" t="str">
        <f t="array" ref="J439">XLOOKUP($D439,REGOLITOS!$A:$A,REGOLITOS!J:J)</f>
        <v>#N/A</v>
      </c>
      <c r="K439" s="48" t="str">
        <f t="array" ref="K439">XLOOKUP($D439,REGOLITOS!$A:$A,REGOLITOS!K:K)</f>
        <v>#N/A</v>
      </c>
      <c r="L439" s="76"/>
      <c r="M439" s="5" t="s">
        <v>1080</v>
      </c>
      <c r="N439" s="5" t="s">
        <v>1080</v>
      </c>
      <c r="O439" s="5" t="s">
        <v>1080</v>
      </c>
      <c r="P439" s="5" t="s">
        <v>1080</v>
      </c>
      <c r="Q439" s="5" t="s">
        <v>1080</v>
      </c>
      <c r="X439" s="71">
        <f t="shared" si="5"/>
        <v>0</v>
      </c>
      <c r="Y439" s="5" t="b">
        <v>0</v>
      </c>
    </row>
    <row r="440">
      <c r="B440" s="5" t="str">
        <f t="array" ref="B440">XLOOKUP(A440, CURSOS!A:A, CURSOS!B:B)</f>
        <v>#N/A</v>
      </c>
      <c r="C440" s="75" t="str">
        <f t="array" ref="C440">XLOOKUP(A440, CURSOS!A:A, CURSOS!C:C)</f>
        <v>#N/A</v>
      </c>
      <c r="D440" s="70" t="e">
        <v>#N/A</v>
      </c>
      <c r="E440" s="48"/>
      <c r="F440" s="48" t="str">
        <f t="array" ref="F440">XLOOKUP($D440,REGOLITOS!$A:$A,REGOLITOS!F:F)</f>
        <v>#N/A</v>
      </c>
      <c r="G440" s="48" t="str">
        <f t="array" ref="G440">XLOOKUP($D440,REGOLITOS!$A:$A,REGOLITOS!G:G)</f>
        <v>#N/A</v>
      </c>
      <c r="H440" s="48" t="str">
        <f t="array" ref="H440">XLOOKUP($D440,REGOLITOS!$A:$A,REGOLITOS!H:H)</f>
        <v>#N/A</v>
      </c>
      <c r="I440" s="48" t="str">
        <f t="array" ref="I440">XLOOKUP($D440,REGOLITOS!$A:$A,REGOLITOS!I:I)</f>
        <v>#N/A</v>
      </c>
      <c r="J440" s="48" t="str">
        <f t="array" ref="J440">XLOOKUP($D440,REGOLITOS!$A:$A,REGOLITOS!J:J)</f>
        <v>#N/A</v>
      </c>
      <c r="K440" s="48" t="str">
        <f t="array" ref="K440">XLOOKUP($D440,REGOLITOS!$A:$A,REGOLITOS!K:K)</f>
        <v>#N/A</v>
      </c>
      <c r="L440" s="76"/>
      <c r="M440" s="5" t="s">
        <v>1080</v>
      </c>
      <c r="N440" s="5" t="s">
        <v>1080</v>
      </c>
      <c r="O440" s="5" t="s">
        <v>1080</v>
      </c>
      <c r="P440" s="5" t="s">
        <v>1080</v>
      </c>
      <c r="Q440" s="5" t="s">
        <v>1080</v>
      </c>
      <c r="X440" s="71">
        <f t="shared" si="5"/>
        <v>0</v>
      </c>
      <c r="Y440" s="5" t="b">
        <v>0</v>
      </c>
    </row>
    <row r="441">
      <c r="B441" s="5" t="str">
        <f t="array" ref="B441">XLOOKUP(A441, CURSOS!A:A, CURSOS!B:B)</f>
        <v>#N/A</v>
      </c>
      <c r="C441" s="75" t="str">
        <f t="array" ref="C441">XLOOKUP(A441, CURSOS!A:A, CURSOS!C:C)</f>
        <v>#N/A</v>
      </c>
      <c r="D441" s="70" t="e">
        <v>#N/A</v>
      </c>
      <c r="E441" s="48"/>
      <c r="F441" s="48" t="str">
        <f t="array" ref="F441">XLOOKUP($D441,REGOLITOS!$A:$A,REGOLITOS!F:F)</f>
        <v>#N/A</v>
      </c>
      <c r="G441" s="48" t="str">
        <f t="array" ref="G441">XLOOKUP($D441,REGOLITOS!$A:$A,REGOLITOS!G:G)</f>
        <v>#N/A</v>
      </c>
      <c r="H441" s="48" t="str">
        <f t="array" ref="H441">XLOOKUP($D441,REGOLITOS!$A:$A,REGOLITOS!H:H)</f>
        <v>#N/A</v>
      </c>
      <c r="I441" s="48" t="str">
        <f t="array" ref="I441">XLOOKUP($D441,REGOLITOS!$A:$A,REGOLITOS!I:I)</f>
        <v>#N/A</v>
      </c>
      <c r="J441" s="48" t="str">
        <f t="array" ref="J441">XLOOKUP($D441,REGOLITOS!$A:$A,REGOLITOS!J:J)</f>
        <v>#N/A</v>
      </c>
      <c r="K441" s="48" t="str">
        <f t="array" ref="K441">XLOOKUP($D441,REGOLITOS!$A:$A,REGOLITOS!K:K)</f>
        <v>#N/A</v>
      </c>
      <c r="L441" s="76"/>
      <c r="M441" s="5" t="s">
        <v>1080</v>
      </c>
      <c r="N441" s="5" t="s">
        <v>1080</v>
      </c>
      <c r="O441" s="5" t="s">
        <v>1080</v>
      </c>
      <c r="P441" s="5" t="s">
        <v>1080</v>
      </c>
      <c r="Q441" s="5" t="s">
        <v>1080</v>
      </c>
      <c r="X441" s="71">
        <f t="shared" si="5"/>
        <v>0</v>
      </c>
      <c r="Y441" s="5" t="b">
        <v>0</v>
      </c>
    </row>
    <row r="442">
      <c r="B442" s="5" t="str">
        <f t="array" ref="B442">XLOOKUP(A442, CURSOS!A:A, CURSOS!B:B)</f>
        <v>#N/A</v>
      </c>
      <c r="C442" s="75" t="str">
        <f t="array" ref="C442">XLOOKUP(A442, CURSOS!A:A, CURSOS!C:C)</f>
        <v>#N/A</v>
      </c>
      <c r="D442" s="70" t="e">
        <v>#N/A</v>
      </c>
      <c r="E442" s="48"/>
      <c r="F442" s="48" t="str">
        <f t="array" ref="F442">XLOOKUP($D442,REGOLITOS!$A:$A,REGOLITOS!F:F)</f>
        <v>#N/A</v>
      </c>
      <c r="G442" s="48" t="str">
        <f t="array" ref="G442">XLOOKUP($D442,REGOLITOS!$A:$A,REGOLITOS!G:G)</f>
        <v>#N/A</v>
      </c>
      <c r="H442" s="48" t="str">
        <f t="array" ref="H442">XLOOKUP($D442,REGOLITOS!$A:$A,REGOLITOS!H:H)</f>
        <v>#N/A</v>
      </c>
      <c r="I442" s="48" t="str">
        <f t="array" ref="I442">XLOOKUP($D442,REGOLITOS!$A:$A,REGOLITOS!I:I)</f>
        <v>#N/A</v>
      </c>
      <c r="J442" s="48" t="str">
        <f t="array" ref="J442">XLOOKUP($D442,REGOLITOS!$A:$A,REGOLITOS!J:J)</f>
        <v>#N/A</v>
      </c>
      <c r="K442" s="48" t="str">
        <f t="array" ref="K442">XLOOKUP($D442,REGOLITOS!$A:$A,REGOLITOS!K:K)</f>
        <v>#N/A</v>
      </c>
      <c r="L442" s="76"/>
      <c r="M442" s="5" t="s">
        <v>1080</v>
      </c>
      <c r="N442" s="5" t="s">
        <v>1080</v>
      </c>
      <c r="O442" s="5" t="s">
        <v>1080</v>
      </c>
      <c r="P442" s="5" t="s">
        <v>1080</v>
      </c>
      <c r="Q442" s="5" t="s">
        <v>1080</v>
      </c>
      <c r="X442" s="71">
        <f t="shared" si="5"/>
        <v>0</v>
      </c>
      <c r="Y442" s="5" t="b">
        <v>0</v>
      </c>
    </row>
    <row r="443">
      <c r="B443" s="5" t="str">
        <f t="array" ref="B443">XLOOKUP(A443, CURSOS!A:A, CURSOS!B:B)</f>
        <v>#N/A</v>
      </c>
      <c r="C443" s="75" t="str">
        <f t="array" ref="C443">XLOOKUP(A443, CURSOS!A:A, CURSOS!C:C)</f>
        <v>#N/A</v>
      </c>
      <c r="D443" s="70" t="e">
        <v>#N/A</v>
      </c>
      <c r="E443" s="48"/>
      <c r="F443" s="48" t="str">
        <f t="array" ref="F443">XLOOKUP($D443,REGOLITOS!$A:$A,REGOLITOS!F:F)</f>
        <v>#N/A</v>
      </c>
      <c r="G443" s="48" t="str">
        <f t="array" ref="G443">XLOOKUP($D443,REGOLITOS!$A:$A,REGOLITOS!G:G)</f>
        <v>#N/A</v>
      </c>
      <c r="H443" s="48" t="str">
        <f t="array" ref="H443">XLOOKUP($D443,REGOLITOS!$A:$A,REGOLITOS!H:H)</f>
        <v>#N/A</v>
      </c>
      <c r="I443" s="48" t="str">
        <f t="array" ref="I443">XLOOKUP($D443,REGOLITOS!$A:$A,REGOLITOS!I:I)</f>
        <v>#N/A</v>
      </c>
      <c r="J443" s="48" t="str">
        <f t="array" ref="J443">XLOOKUP($D443,REGOLITOS!$A:$A,REGOLITOS!J:J)</f>
        <v>#N/A</v>
      </c>
      <c r="K443" s="48" t="str">
        <f t="array" ref="K443">XLOOKUP($D443,REGOLITOS!$A:$A,REGOLITOS!K:K)</f>
        <v>#N/A</v>
      </c>
      <c r="L443" s="76"/>
      <c r="M443" s="5" t="s">
        <v>1080</v>
      </c>
      <c r="N443" s="5" t="s">
        <v>1080</v>
      </c>
      <c r="O443" s="5" t="s">
        <v>1080</v>
      </c>
      <c r="P443" s="5" t="s">
        <v>1080</v>
      </c>
      <c r="Q443" s="5" t="s">
        <v>1080</v>
      </c>
      <c r="X443" s="71">
        <f t="shared" si="5"/>
        <v>0</v>
      </c>
      <c r="Y443" s="5" t="b">
        <v>0</v>
      </c>
    </row>
    <row r="444">
      <c r="B444" s="5" t="str">
        <f t="array" ref="B444">XLOOKUP(A444, CURSOS!A:A, CURSOS!B:B)</f>
        <v>#N/A</v>
      </c>
      <c r="C444" s="75" t="str">
        <f t="array" ref="C444">XLOOKUP(A444, CURSOS!A:A, CURSOS!C:C)</f>
        <v>#N/A</v>
      </c>
      <c r="D444" s="70" t="e">
        <v>#N/A</v>
      </c>
      <c r="E444" s="48"/>
      <c r="F444" s="48" t="str">
        <f t="array" ref="F444">XLOOKUP($D444,REGOLITOS!$A:$A,REGOLITOS!F:F)</f>
        <v>#N/A</v>
      </c>
      <c r="G444" s="48" t="str">
        <f t="array" ref="G444">XLOOKUP($D444,REGOLITOS!$A:$A,REGOLITOS!G:G)</f>
        <v>#N/A</v>
      </c>
      <c r="H444" s="48" t="str">
        <f t="array" ref="H444">XLOOKUP($D444,REGOLITOS!$A:$A,REGOLITOS!H:H)</f>
        <v>#N/A</v>
      </c>
      <c r="I444" s="48" t="str">
        <f t="array" ref="I444">XLOOKUP($D444,REGOLITOS!$A:$A,REGOLITOS!I:I)</f>
        <v>#N/A</v>
      </c>
      <c r="J444" s="48" t="str">
        <f t="array" ref="J444">XLOOKUP($D444,REGOLITOS!$A:$A,REGOLITOS!J:J)</f>
        <v>#N/A</v>
      </c>
      <c r="K444" s="48" t="str">
        <f t="array" ref="K444">XLOOKUP($D444,REGOLITOS!$A:$A,REGOLITOS!K:K)</f>
        <v>#N/A</v>
      </c>
      <c r="L444" s="76"/>
      <c r="M444" s="5" t="s">
        <v>1080</v>
      </c>
      <c r="N444" s="5" t="s">
        <v>1080</v>
      </c>
      <c r="O444" s="5" t="s">
        <v>1080</v>
      </c>
      <c r="P444" s="5" t="s">
        <v>1080</v>
      </c>
      <c r="Q444" s="5" t="s">
        <v>1080</v>
      </c>
      <c r="X444" s="71">
        <f t="shared" si="5"/>
        <v>0</v>
      </c>
      <c r="Y444" s="5" t="b">
        <v>0</v>
      </c>
    </row>
    <row r="445">
      <c r="B445" s="5" t="str">
        <f t="array" ref="B445">XLOOKUP(A445, CURSOS!A:A, CURSOS!B:B)</f>
        <v>#N/A</v>
      </c>
      <c r="C445" s="75" t="str">
        <f t="array" ref="C445">XLOOKUP(A445, CURSOS!A:A, CURSOS!C:C)</f>
        <v>#N/A</v>
      </c>
      <c r="D445" s="70" t="e">
        <v>#N/A</v>
      </c>
      <c r="E445" s="48"/>
      <c r="F445" s="48" t="str">
        <f t="array" ref="F445">XLOOKUP($D445,REGOLITOS!$A:$A,REGOLITOS!F:F)</f>
        <v>#N/A</v>
      </c>
      <c r="G445" s="48" t="str">
        <f t="array" ref="G445">XLOOKUP($D445,REGOLITOS!$A:$A,REGOLITOS!G:G)</f>
        <v>#N/A</v>
      </c>
      <c r="H445" s="48" t="str">
        <f t="array" ref="H445">XLOOKUP($D445,REGOLITOS!$A:$A,REGOLITOS!H:H)</f>
        <v>#N/A</v>
      </c>
      <c r="I445" s="48" t="str">
        <f t="array" ref="I445">XLOOKUP($D445,REGOLITOS!$A:$A,REGOLITOS!I:I)</f>
        <v>#N/A</v>
      </c>
      <c r="J445" s="48" t="str">
        <f t="array" ref="J445">XLOOKUP($D445,REGOLITOS!$A:$A,REGOLITOS!J:J)</f>
        <v>#N/A</v>
      </c>
      <c r="K445" s="48" t="str">
        <f t="array" ref="K445">XLOOKUP($D445,REGOLITOS!$A:$A,REGOLITOS!K:K)</f>
        <v>#N/A</v>
      </c>
      <c r="L445" s="76"/>
      <c r="M445" s="5" t="s">
        <v>1080</v>
      </c>
      <c r="N445" s="5" t="s">
        <v>1080</v>
      </c>
      <c r="O445" s="5" t="s">
        <v>1080</v>
      </c>
      <c r="P445" s="5" t="s">
        <v>1080</v>
      </c>
      <c r="Q445" s="5" t="s">
        <v>1080</v>
      </c>
      <c r="X445" s="71">
        <f t="shared" si="5"/>
        <v>0</v>
      </c>
      <c r="Y445" s="5" t="b">
        <v>0</v>
      </c>
    </row>
    <row r="446">
      <c r="B446" s="5" t="str">
        <f t="array" ref="B446">XLOOKUP(A446, CURSOS!A:A, CURSOS!B:B)</f>
        <v>#N/A</v>
      </c>
      <c r="C446" s="75" t="str">
        <f t="array" ref="C446">XLOOKUP(A446, CURSOS!A:A, CURSOS!C:C)</f>
        <v>#N/A</v>
      </c>
      <c r="D446" s="70" t="e">
        <v>#N/A</v>
      </c>
      <c r="E446" s="48"/>
      <c r="F446" s="48" t="str">
        <f t="array" ref="F446">XLOOKUP($D446,REGOLITOS!$A:$A,REGOLITOS!F:F)</f>
        <v>#N/A</v>
      </c>
      <c r="G446" s="48" t="str">
        <f t="array" ref="G446">XLOOKUP($D446,REGOLITOS!$A:$A,REGOLITOS!G:G)</f>
        <v>#N/A</v>
      </c>
      <c r="H446" s="48" t="str">
        <f t="array" ref="H446">XLOOKUP($D446,REGOLITOS!$A:$A,REGOLITOS!H:H)</f>
        <v>#N/A</v>
      </c>
      <c r="I446" s="48" t="str">
        <f t="array" ref="I446">XLOOKUP($D446,REGOLITOS!$A:$A,REGOLITOS!I:I)</f>
        <v>#N/A</v>
      </c>
      <c r="J446" s="48" t="str">
        <f t="array" ref="J446">XLOOKUP($D446,REGOLITOS!$A:$A,REGOLITOS!J:J)</f>
        <v>#N/A</v>
      </c>
      <c r="K446" s="48" t="str">
        <f t="array" ref="K446">XLOOKUP($D446,REGOLITOS!$A:$A,REGOLITOS!K:K)</f>
        <v>#N/A</v>
      </c>
      <c r="L446" s="76"/>
      <c r="M446" s="5" t="s">
        <v>1080</v>
      </c>
      <c r="N446" s="5" t="s">
        <v>1080</v>
      </c>
      <c r="O446" s="5" t="s">
        <v>1080</v>
      </c>
      <c r="P446" s="5" t="s">
        <v>1080</v>
      </c>
      <c r="Q446" s="5" t="s">
        <v>1080</v>
      </c>
      <c r="X446" s="71">
        <f t="shared" si="5"/>
        <v>0</v>
      </c>
      <c r="Y446" s="5" t="b">
        <v>0</v>
      </c>
    </row>
    <row r="447">
      <c r="B447" s="5" t="str">
        <f t="array" ref="B447">XLOOKUP(A447, CURSOS!A:A, CURSOS!B:B)</f>
        <v>#N/A</v>
      </c>
      <c r="C447" s="75" t="str">
        <f t="array" ref="C447">XLOOKUP(A447, CURSOS!A:A, CURSOS!C:C)</f>
        <v>#N/A</v>
      </c>
      <c r="D447" s="70" t="e">
        <v>#N/A</v>
      </c>
      <c r="E447" s="48"/>
      <c r="F447" s="48" t="str">
        <f t="array" ref="F447">XLOOKUP($D447,REGOLITOS!$A:$A,REGOLITOS!F:F)</f>
        <v>#N/A</v>
      </c>
      <c r="G447" s="48" t="str">
        <f t="array" ref="G447">XLOOKUP($D447,REGOLITOS!$A:$A,REGOLITOS!G:G)</f>
        <v>#N/A</v>
      </c>
      <c r="H447" s="48" t="str">
        <f t="array" ref="H447">XLOOKUP($D447,REGOLITOS!$A:$A,REGOLITOS!H:H)</f>
        <v>#N/A</v>
      </c>
      <c r="I447" s="48" t="str">
        <f t="array" ref="I447">XLOOKUP($D447,REGOLITOS!$A:$A,REGOLITOS!I:I)</f>
        <v>#N/A</v>
      </c>
      <c r="J447" s="48" t="str">
        <f t="array" ref="J447">XLOOKUP($D447,REGOLITOS!$A:$A,REGOLITOS!J:J)</f>
        <v>#N/A</v>
      </c>
      <c r="K447" s="48" t="str">
        <f t="array" ref="K447">XLOOKUP($D447,REGOLITOS!$A:$A,REGOLITOS!K:K)</f>
        <v>#N/A</v>
      </c>
      <c r="L447" s="76"/>
      <c r="M447" s="5" t="s">
        <v>1080</v>
      </c>
      <c r="N447" s="5" t="s">
        <v>1080</v>
      </c>
      <c r="O447" s="5" t="s">
        <v>1080</v>
      </c>
      <c r="P447" s="5" t="s">
        <v>1080</v>
      </c>
      <c r="Q447" s="5" t="s">
        <v>1080</v>
      </c>
      <c r="X447" s="71">
        <f t="shared" si="5"/>
        <v>0</v>
      </c>
      <c r="Y447" s="5" t="b">
        <v>0</v>
      </c>
    </row>
    <row r="448">
      <c r="B448" s="5" t="str">
        <f t="array" ref="B448">XLOOKUP(A448, CURSOS!A:A, CURSOS!B:B)</f>
        <v>#N/A</v>
      </c>
      <c r="C448" s="75" t="str">
        <f t="array" ref="C448">XLOOKUP(A448, CURSOS!A:A, CURSOS!C:C)</f>
        <v>#N/A</v>
      </c>
      <c r="D448" s="70" t="e">
        <v>#N/A</v>
      </c>
      <c r="E448" s="48"/>
      <c r="F448" s="48" t="str">
        <f t="array" ref="F448">XLOOKUP($D448,REGOLITOS!$A:$A,REGOLITOS!F:F)</f>
        <v>#N/A</v>
      </c>
      <c r="G448" s="48" t="str">
        <f t="array" ref="G448">XLOOKUP($D448,REGOLITOS!$A:$A,REGOLITOS!G:G)</f>
        <v>#N/A</v>
      </c>
      <c r="H448" s="48" t="str">
        <f t="array" ref="H448">XLOOKUP($D448,REGOLITOS!$A:$A,REGOLITOS!H:H)</f>
        <v>#N/A</v>
      </c>
      <c r="I448" s="48" t="str">
        <f t="array" ref="I448">XLOOKUP($D448,REGOLITOS!$A:$A,REGOLITOS!I:I)</f>
        <v>#N/A</v>
      </c>
      <c r="J448" s="48" t="str">
        <f t="array" ref="J448">XLOOKUP($D448,REGOLITOS!$A:$A,REGOLITOS!J:J)</f>
        <v>#N/A</v>
      </c>
      <c r="K448" s="48" t="str">
        <f t="array" ref="K448">XLOOKUP($D448,REGOLITOS!$A:$A,REGOLITOS!K:K)</f>
        <v>#N/A</v>
      </c>
      <c r="L448" s="76"/>
      <c r="M448" s="5" t="s">
        <v>1080</v>
      </c>
      <c r="N448" s="5" t="s">
        <v>1080</v>
      </c>
      <c r="O448" s="5" t="s">
        <v>1080</v>
      </c>
      <c r="P448" s="5" t="s">
        <v>1080</v>
      </c>
      <c r="Q448" s="5" t="s">
        <v>1080</v>
      </c>
      <c r="X448" s="71">
        <f t="shared" si="5"/>
        <v>0</v>
      </c>
      <c r="Y448" s="5" t="b">
        <v>0</v>
      </c>
    </row>
    <row r="449">
      <c r="B449" s="5" t="str">
        <f t="array" ref="B449">XLOOKUP(A449, CURSOS!A:A, CURSOS!B:B)</f>
        <v>#N/A</v>
      </c>
      <c r="C449" s="75" t="str">
        <f t="array" ref="C449">XLOOKUP(A449, CURSOS!A:A, CURSOS!C:C)</f>
        <v>#N/A</v>
      </c>
      <c r="D449" s="70" t="e">
        <v>#N/A</v>
      </c>
      <c r="E449" s="48"/>
      <c r="F449" s="48" t="str">
        <f t="array" ref="F449">XLOOKUP($D449,REGOLITOS!$A:$A,REGOLITOS!F:F)</f>
        <v>#N/A</v>
      </c>
      <c r="G449" s="48" t="str">
        <f t="array" ref="G449">XLOOKUP($D449,REGOLITOS!$A:$A,REGOLITOS!G:G)</f>
        <v>#N/A</v>
      </c>
      <c r="H449" s="48" t="str">
        <f t="array" ref="H449">XLOOKUP($D449,REGOLITOS!$A:$A,REGOLITOS!H:H)</f>
        <v>#N/A</v>
      </c>
      <c r="I449" s="48" t="str">
        <f t="array" ref="I449">XLOOKUP($D449,REGOLITOS!$A:$A,REGOLITOS!I:I)</f>
        <v>#N/A</v>
      </c>
      <c r="J449" s="48" t="str">
        <f t="array" ref="J449">XLOOKUP($D449,REGOLITOS!$A:$A,REGOLITOS!J:J)</f>
        <v>#N/A</v>
      </c>
      <c r="K449" s="48" t="str">
        <f t="array" ref="K449">XLOOKUP($D449,REGOLITOS!$A:$A,REGOLITOS!K:K)</f>
        <v>#N/A</v>
      </c>
      <c r="L449" s="76"/>
      <c r="M449" s="5" t="s">
        <v>1080</v>
      </c>
      <c r="N449" s="5" t="s">
        <v>1080</v>
      </c>
      <c r="O449" s="5" t="s">
        <v>1080</v>
      </c>
      <c r="P449" s="5" t="s">
        <v>1080</v>
      </c>
      <c r="Q449" s="5" t="s">
        <v>1080</v>
      </c>
      <c r="X449" s="71">
        <f t="shared" si="5"/>
        <v>0</v>
      </c>
      <c r="Y449" s="5" t="b">
        <v>0</v>
      </c>
    </row>
    <row r="450">
      <c r="B450" s="5" t="str">
        <f t="array" ref="B450">XLOOKUP(A450, CURSOS!A:A, CURSOS!B:B)</f>
        <v>#N/A</v>
      </c>
      <c r="C450" s="75" t="str">
        <f t="array" ref="C450">XLOOKUP(A450, CURSOS!A:A, CURSOS!C:C)</f>
        <v>#N/A</v>
      </c>
      <c r="D450" s="70" t="e">
        <v>#N/A</v>
      </c>
      <c r="E450" s="48"/>
      <c r="F450" s="48" t="str">
        <f t="array" ref="F450">XLOOKUP($D450,REGOLITOS!$A:$A,REGOLITOS!F:F)</f>
        <v>#N/A</v>
      </c>
      <c r="G450" s="48" t="str">
        <f t="array" ref="G450">XLOOKUP($D450,REGOLITOS!$A:$A,REGOLITOS!G:G)</f>
        <v>#N/A</v>
      </c>
      <c r="H450" s="48" t="str">
        <f t="array" ref="H450">XLOOKUP($D450,REGOLITOS!$A:$A,REGOLITOS!H:H)</f>
        <v>#N/A</v>
      </c>
      <c r="I450" s="48" t="str">
        <f t="array" ref="I450">XLOOKUP($D450,REGOLITOS!$A:$A,REGOLITOS!I:I)</f>
        <v>#N/A</v>
      </c>
      <c r="J450" s="48" t="str">
        <f t="array" ref="J450">XLOOKUP($D450,REGOLITOS!$A:$A,REGOLITOS!J:J)</f>
        <v>#N/A</v>
      </c>
      <c r="K450" s="48" t="str">
        <f t="array" ref="K450">XLOOKUP($D450,REGOLITOS!$A:$A,REGOLITOS!K:K)</f>
        <v>#N/A</v>
      </c>
      <c r="L450" s="76"/>
      <c r="M450" s="5" t="s">
        <v>1080</v>
      </c>
      <c r="N450" s="5" t="s">
        <v>1080</v>
      </c>
      <c r="O450" s="5" t="s">
        <v>1080</v>
      </c>
      <c r="P450" s="5" t="s">
        <v>1080</v>
      </c>
      <c r="Q450" s="5" t="s">
        <v>1080</v>
      </c>
      <c r="X450" s="71">
        <f t="shared" si="5"/>
        <v>0</v>
      </c>
      <c r="Y450" s="5" t="b">
        <v>0</v>
      </c>
    </row>
    <row r="451">
      <c r="B451" s="5" t="str">
        <f t="array" ref="B451">XLOOKUP(A451, CURSOS!A:A, CURSOS!B:B)</f>
        <v>#N/A</v>
      </c>
      <c r="C451" s="75" t="str">
        <f t="array" ref="C451">XLOOKUP(A451, CURSOS!A:A, CURSOS!C:C)</f>
        <v>#N/A</v>
      </c>
      <c r="D451" s="70" t="e">
        <v>#N/A</v>
      </c>
      <c r="E451" s="48"/>
      <c r="F451" s="48" t="str">
        <f t="array" ref="F451">XLOOKUP($D451,REGOLITOS!$A:$A,REGOLITOS!F:F)</f>
        <v>#N/A</v>
      </c>
      <c r="G451" s="48" t="str">
        <f t="array" ref="G451">XLOOKUP($D451,REGOLITOS!$A:$A,REGOLITOS!G:G)</f>
        <v>#N/A</v>
      </c>
      <c r="H451" s="48" t="str">
        <f t="array" ref="H451">XLOOKUP($D451,REGOLITOS!$A:$A,REGOLITOS!H:H)</f>
        <v>#N/A</v>
      </c>
      <c r="I451" s="48" t="str">
        <f t="array" ref="I451">XLOOKUP($D451,REGOLITOS!$A:$A,REGOLITOS!I:I)</f>
        <v>#N/A</v>
      </c>
      <c r="J451" s="48" t="str">
        <f t="array" ref="J451">XLOOKUP($D451,REGOLITOS!$A:$A,REGOLITOS!J:J)</f>
        <v>#N/A</v>
      </c>
      <c r="K451" s="48" t="str">
        <f t="array" ref="K451">XLOOKUP($D451,REGOLITOS!$A:$A,REGOLITOS!K:K)</f>
        <v>#N/A</v>
      </c>
      <c r="L451" s="76"/>
      <c r="M451" s="5" t="s">
        <v>1080</v>
      </c>
      <c r="N451" s="5" t="s">
        <v>1080</v>
      </c>
      <c r="O451" s="5" t="s">
        <v>1080</v>
      </c>
      <c r="P451" s="5" t="s">
        <v>1080</v>
      </c>
      <c r="Q451" s="5" t="s">
        <v>1080</v>
      </c>
      <c r="X451" s="71">
        <f t="shared" si="5"/>
        <v>0</v>
      </c>
      <c r="Y451" s="5" t="b">
        <v>0</v>
      </c>
    </row>
    <row r="452">
      <c r="B452" s="5" t="str">
        <f t="array" ref="B452">XLOOKUP(A452, CURSOS!A:A, CURSOS!B:B)</f>
        <v>#N/A</v>
      </c>
      <c r="C452" s="75" t="str">
        <f t="array" ref="C452">XLOOKUP(A452, CURSOS!A:A, CURSOS!C:C)</f>
        <v>#N/A</v>
      </c>
      <c r="D452" s="70" t="e">
        <v>#N/A</v>
      </c>
      <c r="E452" s="48"/>
      <c r="F452" s="48" t="str">
        <f t="array" ref="F452">XLOOKUP($D452,REGOLITOS!$A:$A,REGOLITOS!F:F)</f>
        <v>#N/A</v>
      </c>
      <c r="G452" s="48" t="str">
        <f t="array" ref="G452">XLOOKUP($D452,REGOLITOS!$A:$A,REGOLITOS!G:G)</f>
        <v>#N/A</v>
      </c>
      <c r="H452" s="48" t="str">
        <f t="array" ref="H452">XLOOKUP($D452,REGOLITOS!$A:$A,REGOLITOS!H:H)</f>
        <v>#N/A</v>
      </c>
      <c r="I452" s="48" t="str">
        <f t="array" ref="I452">XLOOKUP($D452,REGOLITOS!$A:$A,REGOLITOS!I:I)</f>
        <v>#N/A</v>
      </c>
      <c r="J452" s="48" t="str">
        <f t="array" ref="J452">XLOOKUP($D452,REGOLITOS!$A:$A,REGOLITOS!J:J)</f>
        <v>#N/A</v>
      </c>
      <c r="K452" s="48" t="str">
        <f t="array" ref="K452">XLOOKUP($D452,REGOLITOS!$A:$A,REGOLITOS!K:K)</f>
        <v>#N/A</v>
      </c>
      <c r="L452" s="76"/>
      <c r="M452" s="5" t="s">
        <v>1080</v>
      </c>
      <c r="N452" s="5" t="s">
        <v>1080</v>
      </c>
      <c r="O452" s="5" t="s">
        <v>1080</v>
      </c>
      <c r="P452" s="5" t="s">
        <v>1080</v>
      </c>
      <c r="Q452" s="5" t="s">
        <v>1080</v>
      </c>
      <c r="X452" s="71">
        <f t="shared" si="5"/>
        <v>0</v>
      </c>
      <c r="Y452" s="5" t="b">
        <v>0</v>
      </c>
    </row>
    <row r="453">
      <c r="B453" s="5" t="str">
        <f t="array" ref="B453">XLOOKUP(A453, CURSOS!A:A, CURSOS!B:B)</f>
        <v>#N/A</v>
      </c>
      <c r="C453" s="75" t="str">
        <f t="array" ref="C453">XLOOKUP(A453, CURSOS!A:A, CURSOS!C:C)</f>
        <v>#N/A</v>
      </c>
      <c r="D453" s="70" t="e">
        <v>#N/A</v>
      </c>
      <c r="E453" s="48"/>
      <c r="F453" s="48" t="str">
        <f t="array" ref="F453">XLOOKUP($D453,REGOLITOS!$A:$A,REGOLITOS!F:F)</f>
        <v>#N/A</v>
      </c>
      <c r="G453" s="48" t="str">
        <f t="array" ref="G453">XLOOKUP($D453,REGOLITOS!$A:$A,REGOLITOS!G:G)</f>
        <v>#N/A</v>
      </c>
      <c r="H453" s="48" t="str">
        <f t="array" ref="H453">XLOOKUP($D453,REGOLITOS!$A:$A,REGOLITOS!H:H)</f>
        <v>#N/A</v>
      </c>
      <c r="I453" s="48" t="str">
        <f t="array" ref="I453">XLOOKUP($D453,REGOLITOS!$A:$A,REGOLITOS!I:I)</f>
        <v>#N/A</v>
      </c>
      <c r="J453" s="48" t="str">
        <f t="array" ref="J453">XLOOKUP($D453,REGOLITOS!$A:$A,REGOLITOS!J:J)</f>
        <v>#N/A</v>
      </c>
      <c r="K453" s="48" t="str">
        <f t="array" ref="K453">XLOOKUP($D453,REGOLITOS!$A:$A,REGOLITOS!K:K)</f>
        <v>#N/A</v>
      </c>
      <c r="L453" s="76"/>
      <c r="M453" s="5" t="s">
        <v>1080</v>
      </c>
      <c r="N453" s="5" t="s">
        <v>1080</v>
      </c>
      <c r="O453" s="5" t="s">
        <v>1080</v>
      </c>
      <c r="P453" s="5" t="s">
        <v>1080</v>
      </c>
      <c r="Q453" s="5" t="s">
        <v>1080</v>
      </c>
      <c r="X453" s="71">
        <f t="shared" si="5"/>
        <v>0</v>
      </c>
      <c r="Y453" s="5" t="b">
        <v>0</v>
      </c>
    </row>
    <row r="454">
      <c r="B454" s="5" t="str">
        <f t="array" ref="B454">XLOOKUP(A454, CURSOS!A:A, CURSOS!B:B)</f>
        <v>#N/A</v>
      </c>
      <c r="C454" s="75" t="str">
        <f t="array" ref="C454">XLOOKUP(A454, CURSOS!A:A, CURSOS!C:C)</f>
        <v>#N/A</v>
      </c>
      <c r="D454" s="70" t="e">
        <v>#N/A</v>
      </c>
      <c r="E454" s="48"/>
      <c r="F454" s="48" t="str">
        <f t="array" ref="F454">XLOOKUP($D454,REGOLITOS!$A:$A,REGOLITOS!F:F)</f>
        <v>#N/A</v>
      </c>
      <c r="G454" s="48" t="str">
        <f t="array" ref="G454">XLOOKUP($D454,REGOLITOS!$A:$A,REGOLITOS!G:G)</f>
        <v>#N/A</v>
      </c>
      <c r="H454" s="48" t="str">
        <f t="array" ref="H454">XLOOKUP($D454,REGOLITOS!$A:$A,REGOLITOS!H:H)</f>
        <v>#N/A</v>
      </c>
      <c r="I454" s="48" t="str">
        <f t="array" ref="I454">XLOOKUP($D454,REGOLITOS!$A:$A,REGOLITOS!I:I)</f>
        <v>#N/A</v>
      </c>
      <c r="J454" s="48" t="str">
        <f t="array" ref="J454">XLOOKUP($D454,REGOLITOS!$A:$A,REGOLITOS!J:J)</f>
        <v>#N/A</v>
      </c>
      <c r="K454" s="48" t="str">
        <f t="array" ref="K454">XLOOKUP($D454,REGOLITOS!$A:$A,REGOLITOS!K:K)</f>
        <v>#N/A</v>
      </c>
      <c r="L454" s="76"/>
      <c r="M454" s="5" t="s">
        <v>1080</v>
      </c>
      <c r="N454" s="5" t="s">
        <v>1080</v>
      </c>
      <c r="O454" s="5" t="s">
        <v>1080</v>
      </c>
      <c r="P454" s="5" t="s">
        <v>1080</v>
      </c>
      <c r="Q454" s="5" t="s">
        <v>1080</v>
      </c>
      <c r="X454" s="71">
        <f t="shared" si="5"/>
        <v>0</v>
      </c>
      <c r="Y454" s="5" t="b">
        <v>0</v>
      </c>
    </row>
    <row r="455">
      <c r="B455" s="5" t="str">
        <f t="array" ref="B455">XLOOKUP(A455, CURSOS!A:A, CURSOS!B:B)</f>
        <v>#N/A</v>
      </c>
      <c r="C455" s="75" t="str">
        <f t="array" ref="C455">XLOOKUP(A455, CURSOS!A:A, CURSOS!C:C)</f>
        <v>#N/A</v>
      </c>
      <c r="D455" s="70" t="e">
        <v>#N/A</v>
      </c>
      <c r="E455" s="48"/>
      <c r="F455" s="48" t="str">
        <f t="array" ref="F455">XLOOKUP($D455,REGOLITOS!$A:$A,REGOLITOS!F:F)</f>
        <v>#N/A</v>
      </c>
      <c r="G455" s="48" t="str">
        <f t="array" ref="G455">XLOOKUP($D455,REGOLITOS!$A:$A,REGOLITOS!G:G)</f>
        <v>#N/A</v>
      </c>
      <c r="H455" s="48" t="str">
        <f t="array" ref="H455">XLOOKUP($D455,REGOLITOS!$A:$A,REGOLITOS!H:H)</f>
        <v>#N/A</v>
      </c>
      <c r="I455" s="48" t="str">
        <f t="array" ref="I455">XLOOKUP($D455,REGOLITOS!$A:$A,REGOLITOS!I:I)</f>
        <v>#N/A</v>
      </c>
      <c r="J455" s="48" t="str">
        <f t="array" ref="J455">XLOOKUP($D455,REGOLITOS!$A:$A,REGOLITOS!J:J)</f>
        <v>#N/A</v>
      </c>
      <c r="K455" s="48" t="str">
        <f t="array" ref="K455">XLOOKUP($D455,REGOLITOS!$A:$A,REGOLITOS!K:K)</f>
        <v>#N/A</v>
      </c>
      <c r="L455" s="76"/>
      <c r="M455" s="5" t="s">
        <v>1080</v>
      </c>
      <c r="N455" s="5" t="s">
        <v>1080</v>
      </c>
      <c r="O455" s="5" t="s">
        <v>1080</v>
      </c>
      <c r="P455" s="5" t="s">
        <v>1080</v>
      </c>
      <c r="Q455" s="5" t="s">
        <v>1080</v>
      </c>
      <c r="X455" s="71">
        <f t="shared" si="5"/>
        <v>0</v>
      </c>
      <c r="Y455" s="5" t="b">
        <v>0</v>
      </c>
    </row>
    <row r="456">
      <c r="B456" s="5" t="str">
        <f t="array" ref="B456">XLOOKUP(A456, CURSOS!A:A, CURSOS!B:B)</f>
        <v>#N/A</v>
      </c>
      <c r="C456" s="75" t="str">
        <f t="array" ref="C456">XLOOKUP(A456, CURSOS!A:A, CURSOS!C:C)</f>
        <v>#N/A</v>
      </c>
      <c r="D456" s="70" t="e">
        <v>#N/A</v>
      </c>
      <c r="E456" s="48"/>
      <c r="F456" s="48" t="str">
        <f t="array" ref="F456">XLOOKUP($D456,REGOLITOS!$A:$A,REGOLITOS!F:F)</f>
        <v>#N/A</v>
      </c>
      <c r="G456" s="48" t="str">
        <f t="array" ref="G456">XLOOKUP($D456,REGOLITOS!$A:$A,REGOLITOS!G:G)</f>
        <v>#N/A</v>
      </c>
      <c r="H456" s="48" t="str">
        <f t="array" ref="H456">XLOOKUP($D456,REGOLITOS!$A:$A,REGOLITOS!H:H)</f>
        <v>#N/A</v>
      </c>
      <c r="I456" s="48" t="str">
        <f t="array" ref="I456">XLOOKUP($D456,REGOLITOS!$A:$A,REGOLITOS!I:I)</f>
        <v>#N/A</v>
      </c>
      <c r="J456" s="48" t="str">
        <f t="array" ref="J456">XLOOKUP($D456,REGOLITOS!$A:$A,REGOLITOS!J:J)</f>
        <v>#N/A</v>
      </c>
      <c r="K456" s="48" t="str">
        <f t="array" ref="K456">XLOOKUP($D456,REGOLITOS!$A:$A,REGOLITOS!K:K)</f>
        <v>#N/A</v>
      </c>
      <c r="L456" s="76"/>
      <c r="M456" s="5" t="s">
        <v>1080</v>
      </c>
      <c r="N456" s="5" t="s">
        <v>1080</v>
      </c>
      <c r="O456" s="5" t="s">
        <v>1080</v>
      </c>
      <c r="P456" s="5" t="s">
        <v>1080</v>
      </c>
      <c r="Q456" s="5" t="s">
        <v>1080</v>
      </c>
      <c r="X456" s="71">
        <f t="shared" si="5"/>
        <v>0</v>
      </c>
      <c r="Y456" s="5" t="b">
        <v>0</v>
      </c>
    </row>
    <row r="457">
      <c r="B457" s="5" t="str">
        <f t="array" ref="B457">XLOOKUP(A457, CURSOS!A:A, CURSOS!B:B)</f>
        <v>#N/A</v>
      </c>
      <c r="C457" s="75" t="str">
        <f t="array" ref="C457">XLOOKUP(A457, CURSOS!A:A, CURSOS!C:C)</f>
        <v>#N/A</v>
      </c>
      <c r="D457" s="70" t="e">
        <v>#N/A</v>
      </c>
      <c r="E457" s="48"/>
      <c r="F457" s="48" t="str">
        <f t="array" ref="F457">XLOOKUP($D457,REGOLITOS!$A:$A,REGOLITOS!F:F)</f>
        <v>#N/A</v>
      </c>
      <c r="G457" s="48" t="str">
        <f t="array" ref="G457">XLOOKUP($D457,REGOLITOS!$A:$A,REGOLITOS!G:G)</f>
        <v>#N/A</v>
      </c>
      <c r="H457" s="48" t="str">
        <f t="array" ref="H457">XLOOKUP($D457,REGOLITOS!$A:$A,REGOLITOS!H:H)</f>
        <v>#N/A</v>
      </c>
      <c r="I457" s="48" t="str">
        <f t="array" ref="I457">XLOOKUP($D457,REGOLITOS!$A:$A,REGOLITOS!I:I)</f>
        <v>#N/A</v>
      </c>
      <c r="J457" s="48" t="str">
        <f t="array" ref="J457">XLOOKUP($D457,REGOLITOS!$A:$A,REGOLITOS!J:J)</f>
        <v>#N/A</v>
      </c>
      <c r="K457" s="48" t="str">
        <f t="array" ref="K457">XLOOKUP($D457,REGOLITOS!$A:$A,REGOLITOS!K:K)</f>
        <v>#N/A</v>
      </c>
      <c r="L457" s="76"/>
      <c r="M457" s="5" t="s">
        <v>1080</v>
      </c>
      <c r="N457" s="5" t="s">
        <v>1080</v>
      </c>
      <c r="O457" s="5" t="s">
        <v>1080</v>
      </c>
      <c r="P457" s="5" t="s">
        <v>1080</v>
      </c>
      <c r="Q457" s="5" t="s">
        <v>1080</v>
      </c>
      <c r="X457" s="71">
        <f t="shared" si="5"/>
        <v>0</v>
      </c>
      <c r="Y457" s="5" t="b">
        <v>0</v>
      </c>
    </row>
    <row r="458">
      <c r="B458" s="5" t="str">
        <f t="array" ref="B458">XLOOKUP(A458, CURSOS!A:A, CURSOS!B:B)</f>
        <v>#N/A</v>
      </c>
      <c r="C458" s="75" t="str">
        <f t="array" ref="C458">XLOOKUP(A458, CURSOS!A:A, CURSOS!C:C)</f>
        <v>#N/A</v>
      </c>
      <c r="D458" s="70" t="e">
        <v>#N/A</v>
      </c>
      <c r="E458" s="48"/>
      <c r="F458" s="48" t="str">
        <f t="array" ref="F458">XLOOKUP($D458,REGOLITOS!$A:$A,REGOLITOS!F:F)</f>
        <v>#N/A</v>
      </c>
      <c r="G458" s="48" t="str">
        <f t="array" ref="G458">XLOOKUP($D458,REGOLITOS!$A:$A,REGOLITOS!G:G)</f>
        <v>#N/A</v>
      </c>
      <c r="H458" s="48" t="str">
        <f t="array" ref="H458">XLOOKUP($D458,REGOLITOS!$A:$A,REGOLITOS!H:H)</f>
        <v>#N/A</v>
      </c>
      <c r="I458" s="48" t="str">
        <f t="array" ref="I458">XLOOKUP($D458,REGOLITOS!$A:$A,REGOLITOS!I:I)</f>
        <v>#N/A</v>
      </c>
      <c r="J458" s="48" t="str">
        <f t="array" ref="J458">XLOOKUP($D458,REGOLITOS!$A:$A,REGOLITOS!J:J)</f>
        <v>#N/A</v>
      </c>
      <c r="K458" s="48" t="str">
        <f t="array" ref="K458">XLOOKUP($D458,REGOLITOS!$A:$A,REGOLITOS!K:K)</f>
        <v>#N/A</v>
      </c>
      <c r="L458" s="76"/>
      <c r="M458" s="5" t="s">
        <v>1080</v>
      </c>
      <c r="N458" s="5" t="s">
        <v>1080</v>
      </c>
      <c r="O458" s="5" t="s">
        <v>1080</v>
      </c>
      <c r="P458" s="5" t="s">
        <v>1080</v>
      </c>
      <c r="Q458" s="5" t="s">
        <v>1080</v>
      </c>
      <c r="X458" s="71">
        <f t="shared" si="5"/>
        <v>0</v>
      </c>
      <c r="Y458" s="5" t="b">
        <v>0</v>
      </c>
    </row>
    <row r="459">
      <c r="B459" s="5" t="str">
        <f t="array" ref="B459">XLOOKUP(A459, CURSOS!A:A, CURSOS!B:B)</f>
        <v>#N/A</v>
      </c>
      <c r="C459" s="75" t="str">
        <f t="array" ref="C459">XLOOKUP(A459, CURSOS!A:A, CURSOS!C:C)</f>
        <v>#N/A</v>
      </c>
      <c r="D459" s="70" t="e">
        <v>#N/A</v>
      </c>
      <c r="E459" s="48"/>
      <c r="F459" s="48" t="str">
        <f t="array" ref="F459">XLOOKUP($D459,REGOLITOS!$A:$A,REGOLITOS!F:F)</f>
        <v>#N/A</v>
      </c>
      <c r="G459" s="48" t="str">
        <f t="array" ref="G459">XLOOKUP($D459,REGOLITOS!$A:$A,REGOLITOS!G:G)</f>
        <v>#N/A</v>
      </c>
      <c r="H459" s="48" t="str">
        <f t="array" ref="H459">XLOOKUP($D459,REGOLITOS!$A:$A,REGOLITOS!H:H)</f>
        <v>#N/A</v>
      </c>
      <c r="I459" s="48" t="str">
        <f t="array" ref="I459">XLOOKUP($D459,REGOLITOS!$A:$A,REGOLITOS!I:I)</f>
        <v>#N/A</v>
      </c>
      <c r="J459" s="48" t="str">
        <f t="array" ref="J459">XLOOKUP($D459,REGOLITOS!$A:$A,REGOLITOS!J:J)</f>
        <v>#N/A</v>
      </c>
      <c r="K459" s="48" t="str">
        <f t="array" ref="K459">XLOOKUP($D459,REGOLITOS!$A:$A,REGOLITOS!K:K)</f>
        <v>#N/A</v>
      </c>
      <c r="L459" s="76"/>
      <c r="M459" s="5" t="s">
        <v>1080</v>
      </c>
      <c r="N459" s="5" t="s">
        <v>1080</v>
      </c>
      <c r="O459" s="5" t="s">
        <v>1080</v>
      </c>
      <c r="P459" s="5" t="s">
        <v>1080</v>
      </c>
      <c r="Q459" s="5" t="s">
        <v>1080</v>
      </c>
      <c r="X459" s="71">
        <f t="shared" si="5"/>
        <v>0</v>
      </c>
      <c r="Y459" s="5" t="b">
        <v>0</v>
      </c>
    </row>
    <row r="460">
      <c r="B460" s="5" t="str">
        <f t="array" ref="B460">XLOOKUP(A460, CURSOS!A:A, CURSOS!B:B)</f>
        <v>#N/A</v>
      </c>
      <c r="C460" s="75" t="str">
        <f t="array" ref="C460">XLOOKUP(A460, CURSOS!A:A, CURSOS!C:C)</f>
        <v>#N/A</v>
      </c>
      <c r="D460" s="70" t="e">
        <v>#N/A</v>
      </c>
      <c r="E460" s="48"/>
      <c r="F460" s="48" t="str">
        <f t="array" ref="F460">XLOOKUP($D460,REGOLITOS!$A:$A,REGOLITOS!F:F)</f>
        <v>#N/A</v>
      </c>
      <c r="G460" s="48" t="str">
        <f t="array" ref="G460">XLOOKUP($D460,REGOLITOS!$A:$A,REGOLITOS!G:G)</f>
        <v>#N/A</v>
      </c>
      <c r="H460" s="48" t="str">
        <f t="array" ref="H460">XLOOKUP($D460,REGOLITOS!$A:$A,REGOLITOS!H:H)</f>
        <v>#N/A</v>
      </c>
      <c r="I460" s="48" t="str">
        <f t="array" ref="I460">XLOOKUP($D460,REGOLITOS!$A:$A,REGOLITOS!I:I)</f>
        <v>#N/A</v>
      </c>
      <c r="J460" s="48" t="str">
        <f t="array" ref="J460">XLOOKUP($D460,REGOLITOS!$A:$A,REGOLITOS!J:J)</f>
        <v>#N/A</v>
      </c>
      <c r="K460" s="48" t="str">
        <f t="array" ref="K460">XLOOKUP($D460,REGOLITOS!$A:$A,REGOLITOS!K:K)</f>
        <v>#N/A</v>
      </c>
      <c r="L460" s="76"/>
      <c r="M460" s="5" t="s">
        <v>1080</v>
      </c>
      <c r="N460" s="5" t="s">
        <v>1080</v>
      </c>
      <c r="O460" s="5" t="s">
        <v>1080</v>
      </c>
      <c r="P460" s="5" t="s">
        <v>1080</v>
      </c>
      <c r="Q460" s="5" t="s">
        <v>1080</v>
      </c>
      <c r="X460" s="71">
        <f t="shared" si="5"/>
        <v>0</v>
      </c>
      <c r="Y460" s="5" t="b">
        <v>0</v>
      </c>
    </row>
    <row r="461">
      <c r="B461" s="5" t="str">
        <f t="array" ref="B461">XLOOKUP(A461, CURSOS!A:A, CURSOS!B:B)</f>
        <v>#N/A</v>
      </c>
      <c r="C461" s="75" t="str">
        <f t="array" ref="C461">XLOOKUP(A461, CURSOS!A:A, CURSOS!C:C)</f>
        <v>#N/A</v>
      </c>
      <c r="D461" s="70" t="e">
        <v>#N/A</v>
      </c>
      <c r="E461" s="48"/>
      <c r="F461" s="48" t="str">
        <f t="array" ref="F461">XLOOKUP($D461,REGOLITOS!$A:$A,REGOLITOS!F:F)</f>
        <v>#N/A</v>
      </c>
      <c r="G461" s="48" t="str">
        <f t="array" ref="G461">XLOOKUP($D461,REGOLITOS!$A:$A,REGOLITOS!G:G)</f>
        <v>#N/A</v>
      </c>
      <c r="H461" s="48" t="str">
        <f t="array" ref="H461">XLOOKUP($D461,REGOLITOS!$A:$A,REGOLITOS!H:H)</f>
        <v>#N/A</v>
      </c>
      <c r="I461" s="48" t="str">
        <f t="array" ref="I461">XLOOKUP($D461,REGOLITOS!$A:$A,REGOLITOS!I:I)</f>
        <v>#N/A</v>
      </c>
      <c r="J461" s="48" t="str">
        <f t="array" ref="J461">XLOOKUP($D461,REGOLITOS!$A:$A,REGOLITOS!J:J)</f>
        <v>#N/A</v>
      </c>
      <c r="K461" s="48" t="str">
        <f t="array" ref="K461">XLOOKUP($D461,REGOLITOS!$A:$A,REGOLITOS!K:K)</f>
        <v>#N/A</v>
      </c>
      <c r="L461" s="76"/>
      <c r="M461" s="5" t="s">
        <v>1080</v>
      </c>
      <c r="N461" s="5" t="s">
        <v>1080</v>
      </c>
      <c r="O461" s="5" t="s">
        <v>1080</v>
      </c>
      <c r="P461" s="5" t="s">
        <v>1080</v>
      </c>
      <c r="Q461" s="5" t="s">
        <v>1080</v>
      </c>
      <c r="X461" s="71">
        <f t="shared" si="5"/>
        <v>0</v>
      </c>
      <c r="Y461" s="5" t="b">
        <v>0</v>
      </c>
    </row>
    <row r="462">
      <c r="B462" s="5" t="str">
        <f t="array" ref="B462">XLOOKUP(A462, CURSOS!A:A, CURSOS!B:B)</f>
        <v>#N/A</v>
      </c>
      <c r="C462" s="75" t="str">
        <f t="array" ref="C462">XLOOKUP(A462, CURSOS!A:A, CURSOS!C:C)</f>
        <v>#N/A</v>
      </c>
      <c r="D462" s="70" t="e">
        <v>#N/A</v>
      </c>
      <c r="E462" s="48"/>
      <c r="F462" s="48" t="str">
        <f t="array" ref="F462">XLOOKUP($D462,REGOLITOS!$A:$A,REGOLITOS!F:F)</f>
        <v>#N/A</v>
      </c>
      <c r="G462" s="48" t="str">
        <f t="array" ref="G462">XLOOKUP($D462,REGOLITOS!$A:$A,REGOLITOS!G:G)</f>
        <v>#N/A</v>
      </c>
      <c r="H462" s="48" t="str">
        <f t="array" ref="H462">XLOOKUP($D462,REGOLITOS!$A:$A,REGOLITOS!H:H)</f>
        <v>#N/A</v>
      </c>
      <c r="I462" s="48" t="str">
        <f t="array" ref="I462">XLOOKUP($D462,REGOLITOS!$A:$A,REGOLITOS!I:I)</f>
        <v>#N/A</v>
      </c>
      <c r="J462" s="48" t="str">
        <f t="array" ref="J462">XLOOKUP($D462,REGOLITOS!$A:$A,REGOLITOS!J:J)</f>
        <v>#N/A</v>
      </c>
      <c r="K462" s="48" t="str">
        <f t="array" ref="K462">XLOOKUP($D462,REGOLITOS!$A:$A,REGOLITOS!K:K)</f>
        <v>#N/A</v>
      </c>
      <c r="L462" s="76"/>
      <c r="M462" s="5" t="s">
        <v>1080</v>
      </c>
      <c r="N462" s="5" t="s">
        <v>1080</v>
      </c>
      <c r="O462" s="5" t="s">
        <v>1080</v>
      </c>
      <c r="P462" s="5" t="s">
        <v>1080</v>
      </c>
      <c r="Q462" s="5" t="s">
        <v>1080</v>
      </c>
      <c r="X462" s="71">
        <f t="shared" si="5"/>
        <v>0</v>
      </c>
      <c r="Y462" s="5" t="b">
        <v>0</v>
      </c>
    </row>
    <row r="463">
      <c r="B463" s="5" t="str">
        <f t="array" ref="B463">XLOOKUP(A463, CURSOS!A:A, CURSOS!B:B)</f>
        <v>#N/A</v>
      </c>
      <c r="C463" s="75" t="str">
        <f t="array" ref="C463">XLOOKUP(A463, CURSOS!A:A, CURSOS!C:C)</f>
        <v>#N/A</v>
      </c>
      <c r="D463" s="70" t="e">
        <v>#N/A</v>
      </c>
      <c r="E463" s="48"/>
      <c r="F463" s="48" t="str">
        <f t="array" ref="F463">XLOOKUP($D463,REGOLITOS!$A:$A,REGOLITOS!F:F)</f>
        <v>#N/A</v>
      </c>
      <c r="G463" s="48" t="str">
        <f t="array" ref="G463">XLOOKUP($D463,REGOLITOS!$A:$A,REGOLITOS!G:G)</f>
        <v>#N/A</v>
      </c>
      <c r="H463" s="48" t="str">
        <f t="array" ref="H463">XLOOKUP($D463,REGOLITOS!$A:$A,REGOLITOS!H:H)</f>
        <v>#N/A</v>
      </c>
      <c r="I463" s="48" t="str">
        <f t="array" ref="I463">XLOOKUP($D463,REGOLITOS!$A:$A,REGOLITOS!I:I)</f>
        <v>#N/A</v>
      </c>
      <c r="J463" s="48" t="str">
        <f t="array" ref="J463">XLOOKUP($D463,REGOLITOS!$A:$A,REGOLITOS!J:J)</f>
        <v>#N/A</v>
      </c>
      <c r="K463" s="48" t="str">
        <f t="array" ref="K463">XLOOKUP($D463,REGOLITOS!$A:$A,REGOLITOS!K:K)</f>
        <v>#N/A</v>
      </c>
      <c r="L463" s="76"/>
      <c r="M463" s="5" t="s">
        <v>1080</v>
      </c>
      <c r="N463" s="5" t="s">
        <v>1080</v>
      </c>
      <c r="O463" s="5" t="s">
        <v>1080</v>
      </c>
      <c r="P463" s="5" t="s">
        <v>1080</v>
      </c>
      <c r="Q463" s="5" t="s">
        <v>1080</v>
      </c>
      <c r="X463" s="71">
        <f t="shared" si="5"/>
        <v>0</v>
      </c>
      <c r="Y463" s="5" t="b">
        <v>0</v>
      </c>
    </row>
    <row r="464">
      <c r="B464" s="5" t="str">
        <f t="array" ref="B464">XLOOKUP(A464, CURSOS!A:A, CURSOS!B:B)</f>
        <v>#N/A</v>
      </c>
      <c r="C464" s="75" t="str">
        <f t="array" ref="C464">XLOOKUP(A464, CURSOS!A:A, CURSOS!C:C)</f>
        <v>#N/A</v>
      </c>
      <c r="D464" s="70" t="e">
        <v>#N/A</v>
      </c>
      <c r="E464" s="48"/>
      <c r="F464" s="48" t="str">
        <f t="array" ref="F464">XLOOKUP($D464,REGOLITOS!$A:$A,REGOLITOS!F:F)</f>
        <v>#N/A</v>
      </c>
      <c r="G464" s="48" t="str">
        <f t="array" ref="G464">XLOOKUP($D464,REGOLITOS!$A:$A,REGOLITOS!G:G)</f>
        <v>#N/A</v>
      </c>
      <c r="H464" s="48" t="str">
        <f t="array" ref="H464">XLOOKUP($D464,REGOLITOS!$A:$A,REGOLITOS!H:H)</f>
        <v>#N/A</v>
      </c>
      <c r="I464" s="48" t="str">
        <f t="array" ref="I464">XLOOKUP($D464,REGOLITOS!$A:$A,REGOLITOS!I:I)</f>
        <v>#N/A</v>
      </c>
      <c r="J464" s="48" t="str">
        <f t="array" ref="J464">XLOOKUP($D464,REGOLITOS!$A:$A,REGOLITOS!J:J)</f>
        <v>#N/A</v>
      </c>
      <c r="K464" s="48" t="str">
        <f t="array" ref="K464">XLOOKUP($D464,REGOLITOS!$A:$A,REGOLITOS!K:K)</f>
        <v>#N/A</v>
      </c>
      <c r="L464" s="76"/>
      <c r="M464" s="5" t="s">
        <v>1080</v>
      </c>
      <c r="N464" s="5" t="s">
        <v>1080</v>
      </c>
      <c r="O464" s="5" t="s">
        <v>1080</v>
      </c>
      <c r="P464" s="5" t="s">
        <v>1080</v>
      </c>
      <c r="Q464" s="5" t="s">
        <v>1080</v>
      </c>
      <c r="X464" s="71">
        <f t="shared" si="5"/>
        <v>0</v>
      </c>
      <c r="Y464" s="5" t="b">
        <v>0</v>
      </c>
    </row>
    <row r="465">
      <c r="B465" s="5" t="str">
        <f t="array" ref="B465">XLOOKUP(A465, CURSOS!A:A, CURSOS!B:B)</f>
        <v>#N/A</v>
      </c>
      <c r="C465" s="75" t="str">
        <f t="array" ref="C465">XLOOKUP(A465, CURSOS!A:A, CURSOS!C:C)</f>
        <v>#N/A</v>
      </c>
      <c r="D465" s="70" t="e">
        <v>#N/A</v>
      </c>
      <c r="E465" s="48"/>
      <c r="F465" s="48" t="str">
        <f t="array" ref="F465">XLOOKUP($D465,REGOLITOS!$A:$A,REGOLITOS!F:F)</f>
        <v>#N/A</v>
      </c>
      <c r="G465" s="48" t="str">
        <f t="array" ref="G465">XLOOKUP($D465,REGOLITOS!$A:$A,REGOLITOS!G:G)</f>
        <v>#N/A</v>
      </c>
      <c r="H465" s="48" t="str">
        <f t="array" ref="H465">XLOOKUP($D465,REGOLITOS!$A:$A,REGOLITOS!H:H)</f>
        <v>#N/A</v>
      </c>
      <c r="I465" s="48" t="str">
        <f t="array" ref="I465">XLOOKUP($D465,REGOLITOS!$A:$A,REGOLITOS!I:I)</f>
        <v>#N/A</v>
      </c>
      <c r="J465" s="48" t="str">
        <f t="array" ref="J465">XLOOKUP($D465,REGOLITOS!$A:$A,REGOLITOS!J:J)</f>
        <v>#N/A</v>
      </c>
      <c r="K465" s="48" t="str">
        <f t="array" ref="K465">XLOOKUP($D465,REGOLITOS!$A:$A,REGOLITOS!K:K)</f>
        <v>#N/A</v>
      </c>
      <c r="L465" s="76"/>
      <c r="M465" s="5" t="s">
        <v>1080</v>
      </c>
      <c r="N465" s="5" t="s">
        <v>1080</v>
      </c>
      <c r="O465" s="5" t="s">
        <v>1080</v>
      </c>
      <c r="P465" s="5" t="s">
        <v>1080</v>
      </c>
      <c r="Q465" s="5" t="s">
        <v>1080</v>
      </c>
      <c r="X465" s="71">
        <f t="shared" si="5"/>
        <v>0</v>
      </c>
      <c r="Y465" s="5" t="b">
        <v>0</v>
      </c>
    </row>
    <row r="466">
      <c r="B466" s="5" t="str">
        <f t="array" ref="B466">XLOOKUP(A466, CURSOS!A:A, CURSOS!B:B)</f>
        <v>#N/A</v>
      </c>
      <c r="C466" s="75" t="str">
        <f t="array" ref="C466">XLOOKUP(A466, CURSOS!A:A, CURSOS!C:C)</f>
        <v>#N/A</v>
      </c>
      <c r="D466" s="70" t="e">
        <v>#N/A</v>
      </c>
      <c r="E466" s="48"/>
      <c r="F466" s="48" t="str">
        <f t="array" ref="F466">XLOOKUP($D466,REGOLITOS!$A:$A,REGOLITOS!F:F)</f>
        <v>#N/A</v>
      </c>
      <c r="G466" s="48" t="str">
        <f t="array" ref="G466">XLOOKUP($D466,REGOLITOS!$A:$A,REGOLITOS!G:G)</f>
        <v>#N/A</v>
      </c>
      <c r="H466" s="48" t="str">
        <f t="array" ref="H466">XLOOKUP($D466,REGOLITOS!$A:$A,REGOLITOS!H:H)</f>
        <v>#N/A</v>
      </c>
      <c r="I466" s="48" t="str">
        <f t="array" ref="I466">XLOOKUP($D466,REGOLITOS!$A:$A,REGOLITOS!I:I)</f>
        <v>#N/A</v>
      </c>
      <c r="J466" s="48" t="str">
        <f t="array" ref="J466">XLOOKUP($D466,REGOLITOS!$A:$A,REGOLITOS!J:J)</f>
        <v>#N/A</v>
      </c>
      <c r="K466" s="48" t="str">
        <f t="array" ref="K466">XLOOKUP($D466,REGOLITOS!$A:$A,REGOLITOS!K:K)</f>
        <v>#N/A</v>
      </c>
      <c r="L466" s="76"/>
      <c r="M466" s="5" t="s">
        <v>1080</v>
      </c>
      <c r="N466" s="5" t="s">
        <v>1080</v>
      </c>
      <c r="O466" s="5" t="s">
        <v>1080</v>
      </c>
      <c r="P466" s="5" t="s">
        <v>1080</v>
      </c>
      <c r="Q466" s="5" t="s">
        <v>1080</v>
      </c>
      <c r="X466" s="71">
        <f t="shared" si="5"/>
        <v>0</v>
      </c>
      <c r="Y466" s="5" t="b">
        <v>0</v>
      </c>
    </row>
    <row r="467">
      <c r="B467" s="5" t="str">
        <f t="array" ref="B467">XLOOKUP(A467, CURSOS!A:A, CURSOS!B:B)</f>
        <v>#N/A</v>
      </c>
      <c r="C467" s="75" t="str">
        <f t="array" ref="C467">XLOOKUP(A467, CURSOS!A:A, CURSOS!C:C)</f>
        <v>#N/A</v>
      </c>
      <c r="D467" s="70" t="e">
        <v>#N/A</v>
      </c>
      <c r="E467" s="48"/>
      <c r="F467" s="48" t="str">
        <f t="array" ref="F467">XLOOKUP($D467,REGOLITOS!$A:$A,REGOLITOS!F:F)</f>
        <v>#N/A</v>
      </c>
      <c r="G467" s="48" t="str">
        <f t="array" ref="G467">XLOOKUP($D467,REGOLITOS!$A:$A,REGOLITOS!G:G)</f>
        <v>#N/A</v>
      </c>
      <c r="H467" s="48" t="str">
        <f t="array" ref="H467">XLOOKUP($D467,REGOLITOS!$A:$A,REGOLITOS!H:H)</f>
        <v>#N/A</v>
      </c>
      <c r="I467" s="48" t="str">
        <f t="array" ref="I467">XLOOKUP($D467,REGOLITOS!$A:$A,REGOLITOS!I:I)</f>
        <v>#N/A</v>
      </c>
      <c r="J467" s="48" t="str">
        <f t="array" ref="J467">XLOOKUP($D467,REGOLITOS!$A:$A,REGOLITOS!J:J)</f>
        <v>#N/A</v>
      </c>
      <c r="K467" s="48" t="str">
        <f t="array" ref="K467">XLOOKUP($D467,REGOLITOS!$A:$A,REGOLITOS!K:K)</f>
        <v>#N/A</v>
      </c>
      <c r="L467" s="76"/>
      <c r="M467" s="5" t="s">
        <v>1080</v>
      </c>
      <c r="N467" s="5" t="s">
        <v>1080</v>
      </c>
      <c r="O467" s="5" t="s">
        <v>1080</v>
      </c>
      <c r="P467" s="5" t="s">
        <v>1080</v>
      </c>
      <c r="Q467" s="5" t="s">
        <v>1080</v>
      </c>
      <c r="X467" s="71">
        <f t="shared" si="5"/>
        <v>0</v>
      </c>
      <c r="Y467" s="5" t="b">
        <v>0</v>
      </c>
    </row>
    <row r="468">
      <c r="B468" s="5" t="str">
        <f t="array" ref="B468">XLOOKUP(A468, CURSOS!A:A, CURSOS!B:B)</f>
        <v>#N/A</v>
      </c>
      <c r="C468" s="75" t="str">
        <f t="array" ref="C468">XLOOKUP(A468, CURSOS!A:A, CURSOS!C:C)</f>
        <v>#N/A</v>
      </c>
      <c r="D468" s="70" t="e">
        <v>#N/A</v>
      </c>
      <c r="E468" s="48"/>
      <c r="F468" s="48" t="str">
        <f t="array" ref="F468">XLOOKUP($D468,REGOLITOS!$A:$A,REGOLITOS!F:F)</f>
        <v>#N/A</v>
      </c>
      <c r="G468" s="48" t="str">
        <f t="array" ref="G468">XLOOKUP($D468,REGOLITOS!$A:$A,REGOLITOS!G:G)</f>
        <v>#N/A</v>
      </c>
      <c r="H468" s="48" t="str">
        <f t="array" ref="H468">XLOOKUP($D468,REGOLITOS!$A:$A,REGOLITOS!H:H)</f>
        <v>#N/A</v>
      </c>
      <c r="I468" s="48" t="str">
        <f t="array" ref="I468">XLOOKUP($D468,REGOLITOS!$A:$A,REGOLITOS!I:I)</f>
        <v>#N/A</v>
      </c>
      <c r="J468" s="48" t="str">
        <f t="array" ref="J468">XLOOKUP($D468,REGOLITOS!$A:$A,REGOLITOS!J:J)</f>
        <v>#N/A</v>
      </c>
      <c r="K468" s="48" t="str">
        <f t="array" ref="K468">XLOOKUP($D468,REGOLITOS!$A:$A,REGOLITOS!K:K)</f>
        <v>#N/A</v>
      </c>
      <c r="L468" s="76"/>
      <c r="M468" s="5" t="s">
        <v>1080</v>
      </c>
      <c r="N468" s="5" t="s">
        <v>1080</v>
      </c>
      <c r="O468" s="5" t="s">
        <v>1080</v>
      </c>
      <c r="P468" s="5" t="s">
        <v>1080</v>
      </c>
      <c r="Q468" s="5" t="s">
        <v>1080</v>
      </c>
      <c r="X468" s="71">
        <f t="shared" si="5"/>
        <v>0</v>
      </c>
      <c r="Y468" s="5" t="b">
        <v>0</v>
      </c>
    </row>
    <row r="469">
      <c r="B469" s="5" t="str">
        <f t="array" ref="B469">XLOOKUP(A469, CURSOS!A:A, CURSOS!B:B)</f>
        <v>#N/A</v>
      </c>
      <c r="C469" s="75" t="str">
        <f t="array" ref="C469">XLOOKUP(A469, CURSOS!A:A, CURSOS!C:C)</f>
        <v>#N/A</v>
      </c>
      <c r="D469" s="70" t="e">
        <v>#N/A</v>
      </c>
      <c r="E469" s="48"/>
      <c r="F469" s="48" t="str">
        <f t="array" ref="F469">XLOOKUP($D469,REGOLITOS!$A:$A,REGOLITOS!F:F)</f>
        <v>#N/A</v>
      </c>
      <c r="G469" s="48" t="str">
        <f t="array" ref="G469">XLOOKUP($D469,REGOLITOS!$A:$A,REGOLITOS!G:G)</f>
        <v>#N/A</v>
      </c>
      <c r="H469" s="48" t="str">
        <f t="array" ref="H469">XLOOKUP($D469,REGOLITOS!$A:$A,REGOLITOS!H:H)</f>
        <v>#N/A</v>
      </c>
      <c r="I469" s="48" t="str">
        <f t="array" ref="I469">XLOOKUP($D469,REGOLITOS!$A:$A,REGOLITOS!I:I)</f>
        <v>#N/A</v>
      </c>
      <c r="J469" s="48" t="str">
        <f t="array" ref="J469">XLOOKUP($D469,REGOLITOS!$A:$A,REGOLITOS!J:J)</f>
        <v>#N/A</v>
      </c>
      <c r="K469" s="48" t="str">
        <f t="array" ref="K469">XLOOKUP($D469,REGOLITOS!$A:$A,REGOLITOS!K:K)</f>
        <v>#N/A</v>
      </c>
      <c r="L469" s="76"/>
      <c r="M469" s="5" t="s">
        <v>1080</v>
      </c>
      <c r="N469" s="5" t="s">
        <v>1080</v>
      </c>
      <c r="O469" s="5" t="s">
        <v>1080</v>
      </c>
      <c r="P469" s="5" t="s">
        <v>1080</v>
      </c>
      <c r="Q469" s="5" t="s">
        <v>1080</v>
      </c>
      <c r="X469" s="71">
        <f t="shared" si="5"/>
        <v>0</v>
      </c>
      <c r="Y469" s="5" t="b">
        <v>0</v>
      </c>
    </row>
    <row r="470">
      <c r="B470" s="5" t="str">
        <f t="array" ref="B470">XLOOKUP(A470, CURSOS!A:A, CURSOS!B:B)</f>
        <v>#N/A</v>
      </c>
      <c r="C470" s="75" t="str">
        <f t="array" ref="C470">XLOOKUP(A470, CURSOS!A:A, CURSOS!C:C)</f>
        <v>#N/A</v>
      </c>
      <c r="D470" s="70" t="e">
        <v>#N/A</v>
      </c>
      <c r="E470" s="48"/>
      <c r="F470" s="48" t="str">
        <f t="array" ref="F470">XLOOKUP($D470,REGOLITOS!$A:$A,REGOLITOS!F:F)</f>
        <v>#N/A</v>
      </c>
      <c r="G470" s="48" t="str">
        <f t="array" ref="G470">XLOOKUP($D470,REGOLITOS!$A:$A,REGOLITOS!G:G)</f>
        <v>#N/A</v>
      </c>
      <c r="H470" s="48" t="str">
        <f t="array" ref="H470">XLOOKUP($D470,REGOLITOS!$A:$A,REGOLITOS!H:H)</f>
        <v>#N/A</v>
      </c>
      <c r="I470" s="48" t="str">
        <f t="array" ref="I470">XLOOKUP($D470,REGOLITOS!$A:$A,REGOLITOS!I:I)</f>
        <v>#N/A</v>
      </c>
      <c r="J470" s="48" t="str">
        <f t="array" ref="J470">XLOOKUP($D470,REGOLITOS!$A:$A,REGOLITOS!J:J)</f>
        <v>#N/A</v>
      </c>
      <c r="K470" s="48" t="str">
        <f t="array" ref="K470">XLOOKUP($D470,REGOLITOS!$A:$A,REGOLITOS!K:K)</f>
        <v>#N/A</v>
      </c>
      <c r="L470" s="76"/>
      <c r="M470" s="5" t="s">
        <v>1080</v>
      </c>
      <c r="N470" s="5" t="s">
        <v>1080</v>
      </c>
      <c r="O470" s="5" t="s">
        <v>1080</v>
      </c>
      <c r="P470" s="5" t="s">
        <v>1080</v>
      </c>
      <c r="Q470" s="5" t="s">
        <v>1080</v>
      </c>
      <c r="X470" s="71">
        <f t="shared" si="5"/>
        <v>0</v>
      </c>
      <c r="Y470" s="5" t="b">
        <v>0</v>
      </c>
    </row>
    <row r="471">
      <c r="B471" s="5" t="str">
        <f t="array" ref="B471">XLOOKUP(A471, CURSOS!A:A, CURSOS!B:B)</f>
        <v>#N/A</v>
      </c>
      <c r="C471" s="75" t="str">
        <f t="array" ref="C471">XLOOKUP(A471, CURSOS!A:A, CURSOS!C:C)</f>
        <v>#N/A</v>
      </c>
      <c r="D471" s="70" t="e">
        <v>#N/A</v>
      </c>
      <c r="E471" s="48"/>
      <c r="F471" s="48" t="str">
        <f t="array" ref="F471">XLOOKUP($D471,REGOLITOS!$A:$A,REGOLITOS!F:F)</f>
        <v>#N/A</v>
      </c>
      <c r="G471" s="48" t="str">
        <f t="array" ref="G471">XLOOKUP($D471,REGOLITOS!$A:$A,REGOLITOS!G:G)</f>
        <v>#N/A</v>
      </c>
      <c r="H471" s="48" t="str">
        <f t="array" ref="H471">XLOOKUP($D471,REGOLITOS!$A:$A,REGOLITOS!H:H)</f>
        <v>#N/A</v>
      </c>
      <c r="I471" s="48" t="str">
        <f t="array" ref="I471">XLOOKUP($D471,REGOLITOS!$A:$A,REGOLITOS!I:I)</f>
        <v>#N/A</v>
      </c>
      <c r="J471" s="48" t="str">
        <f t="array" ref="J471">XLOOKUP($D471,REGOLITOS!$A:$A,REGOLITOS!J:J)</f>
        <v>#N/A</v>
      </c>
      <c r="K471" s="48" t="str">
        <f t="array" ref="K471">XLOOKUP($D471,REGOLITOS!$A:$A,REGOLITOS!K:K)</f>
        <v>#N/A</v>
      </c>
      <c r="L471" s="76"/>
      <c r="M471" s="5" t="s">
        <v>1080</v>
      </c>
      <c r="N471" s="5" t="s">
        <v>1080</v>
      </c>
      <c r="O471" s="5" t="s">
        <v>1080</v>
      </c>
      <c r="P471" s="5" t="s">
        <v>1080</v>
      </c>
      <c r="Q471" s="5" t="s">
        <v>1080</v>
      </c>
      <c r="X471" s="71">
        <f t="shared" si="5"/>
        <v>0</v>
      </c>
      <c r="Y471" s="5" t="b">
        <v>0</v>
      </c>
    </row>
    <row r="472">
      <c r="B472" s="5" t="str">
        <f t="array" ref="B472">XLOOKUP(A472, CURSOS!A:A, CURSOS!B:B)</f>
        <v>#N/A</v>
      </c>
      <c r="C472" s="75" t="str">
        <f t="array" ref="C472">XLOOKUP(A472, CURSOS!A:A, CURSOS!C:C)</f>
        <v>#N/A</v>
      </c>
      <c r="D472" s="70" t="e">
        <v>#N/A</v>
      </c>
      <c r="E472" s="48"/>
      <c r="F472" s="48" t="str">
        <f t="array" ref="F472">XLOOKUP($D472,REGOLITOS!$A:$A,REGOLITOS!F:F)</f>
        <v>#N/A</v>
      </c>
      <c r="G472" s="48" t="str">
        <f t="array" ref="G472">XLOOKUP($D472,REGOLITOS!$A:$A,REGOLITOS!G:G)</f>
        <v>#N/A</v>
      </c>
      <c r="H472" s="48" t="str">
        <f t="array" ref="H472">XLOOKUP($D472,REGOLITOS!$A:$A,REGOLITOS!H:H)</f>
        <v>#N/A</v>
      </c>
      <c r="I472" s="48" t="str">
        <f t="array" ref="I472">XLOOKUP($D472,REGOLITOS!$A:$A,REGOLITOS!I:I)</f>
        <v>#N/A</v>
      </c>
      <c r="J472" s="48" t="str">
        <f t="array" ref="J472">XLOOKUP($D472,REGOLITOS!$A:$A,REGOLITOS!J:J)</f>
        <v>#N/A</v>
      </c>
      <c r="K472" s="48" t="str">
        <f t="array" ref="K472">XLOOKUP($D472,REGOLITOS!$A:$A,REGOLITOS!K:K)</f>
        <v>#N/A</v>
      </c>
      <c r="L472" s="76"/>
      <c r="M472" s="5" t="s">
        <v>1080</v>
      </c>
      <c r="N472" s="5" t="s">
        <v>1080</v>
      </c>
      <c r="O472" s="5" t="s">
        <v>1080</v>
      </c>
      <c r="P472" s="5" t="s">
        <v>1080</v>
      </c>
      <c r="Q472" s="5" t="s">
        <v>1080</v>
      </c>
      <c r="X472" s="71">
        <f t="shared" si="5"/>
        <v>0</v>
      </c>
      <c r="Y472" s="5" t="b">
        <v>0</v>
      </c>
    </row>
    <row r="473">
      <c r="B473" s="5" t="str">
        <f t="array" ref="B473">XLOOKUP(A473, CURSOS!A:A, CURSOS!B:B)</f>
        <v>#N/A</v>
      </c>
      <c r="C473" s="75" t="str">
        <f t="array" ref="C473">XLOOKUP(A473, CURSOS!A:A, CURSOS!C:C)</f>
        <v>#N/A</v>
      </c>
      <c r="D473" s="70" t="e">
        <v>#N/A</v>
      </c>
      <c r="E473" s="48"/>
      <c r="F473" s="48" t="str">
        <f t="array" ref="F473">XLOOKUP($D473,REGOLITOS!$A:$A,REGOLITOS!F:F)</f>
        <v>#N/A</v>
      </c>
      <c r="G473" s="48" t="str">
        <f t="array" ref="G473">XLOOKUP($D473,REGOLITOS!$A:$A,REGOLITOS!G:G)</f>
        <v>#N/A</v>
      </c>
      <c r="H473" s="48" t="str">
        <f t="array" ref="H473">XLOOKUP($D473,REGOLITOS!$A:$A,REGOLITOS!H:H)</f>
        <v>#N/A</v>
      </c>
      <c r="I473" s="48" t="str">
        <f t="array" ref="I473">XLOOKUP($D473,REGOLITOS!$A:$A,REGOLITOS!I:I)</f>
        <v>#N/A</v>
      </c>
      <c r="J473" s="48" t="str">
        <f t="array" ref="J473">XLOOKUP($D473,REGOLITOS!$A:$A,REGOLITOS!J:J)</f>
        <v>#N/A</v>
      </c>
      <c r="K473" s="48" t="str">
        <f t="array" ref="K473">XLOOKUP($D473,REGOLITOS!$A:$A,REGOLITOS!K:K)</f>
        <v>#N/A</v>
      </c>
      <c r="L473" s="76"/>
      <c r="M473" s="5" t="s">
        <v>1080</v>
      </c>
      <c r="N473" s="5" t="s">
        <v>1080</v>
      </c>
      <c r="O473" s="5" t="s">
        <v>1080</v>
      </c>
      <c r="P473" s="5" t="s">
        <v>1080</v>
      </c>
      <c r="Q473" s="5" t="s">
        <v>1080</v>
      </c>
      <c r="X473" s="71">
        <f t="shared" si="5"/>
        <v>0</v>
      </c>
      <c r="Y473" s="5" t="b">
        <v>0</v>
      </c>
    </row>
    <row r="474">
      <c r="B474" s="5" t="str">
        <f t="array" ref="B474">XLOOKUP(A474, CURSOS!A:A, CURSOS!B:B)</f>
        <v>#N/A</v>
      </c>
      <c r="C474" s="75" t="str">
        <f t="array" ref="C474">XLOOKUP(A474, CURSOS!A:A, CURSOS!C:C)</f>
        <v>#N/A</v>
      </c>
      <c r="D474" s="70" t="e">
        <v>#N/A</v>
      </c>
      <c r="E474" s="48"/>
      <c r="F474" s="48" t="str">
        <f t="array" ref="F474">XLOOKUP($D474,REGOLITOS!$A:$A,REGOLITOS!F:F)</f>
        <v>#N/A</v>
      </c>
      <c r="G474" s="48" t="str">
        <f t="array" ref="G474">XLOOKUP($D474,REGOLITOS!$A:$A,REGOLITOS!G:G)</f>
        <v>#N/A</v>
      </c>
      <c r="H474" s="48" t="str">
        <f t="array" ref="H474">XLOOKUP($D474,REGOLITOS!$A:$A,REGOLITOS!H:H)</f>
        <v>#N/A</v>
      </c>
      <c r="I474" s="48" t="str">
        <f t="array" ref="I474">XLOOKUP($D474,REGOLITOS!$A:$A,REGOLITOS!I:I)</f>
        <v>#N/A</v>
      </c>
      <c r="J474" s="48" t="str">
        <f t="array" ref="J474">XLOOKUP($D474,REGOLITOS!$A:$A,REGOLITOS!J:J)</f>
        <v>#N/A</v>
      </c>
      <c r="K474" s="48" t="str">
        <f t="array" ref="K474">XLOOKUP($D474,REGOLITOS!$A:$A,REGOLITOS!K:K)</f>
        <v>#N/A</v>
      </c>
      <c r="L474" s="76"/>
      <c r="M474" s="5" t="s">
        <v>1080</v>
      </c>
      <c r="N474" s="5" t="s">
        <v>1080</v>
      </c>
      <c r="O474" s="5" t="s">
        <v>1080</v>
      </c>
      <c r="P474" s="5" t="s">
        <v>1080</v>
      </c>
      <c r="Q474" s="5" t="s">
        <v>1080</v>
      </c>
      <c r="X474" s="71">
        <f t="shared" si="5"/>
        <v>0</v>
      </c>
      <c r="Y474" s="5" t="b">
        <v>0</v>
      </c>
    </row>
    <row r="475">
      <c r="B475" s="5" t="str">
        <f t="array" ref="B475">XLOOKUP(A475, CURSOS!A:A, CURSOS!B:B)</f>
        <v>#N/A</v>
      </c>
      <c r="C475" s="75" t="str">
        <f t="array" ref="C475">XLOOKUP(A475, CURSOS!A:A, CURSOS!C:C)</f>
        <v>#N/A</v>
      </c>
      <c r="D475" s="70" t="e">
        <v>#N/A</v>
      </c>
      <c r="E475" s="48"/>
      <c r="F475" s="48" t="str">
        <f t="array" ref="F475">XLOOKUP($D475,REGOLITOS!$A:$A,REGOLITOS!F:F)</f>
        <v>#N/A</v>
      </c>
      <c r="G475" s="48" t="str">
        <f t="array" ref="G475">XLOOKUP($D475,REGOLITOS!$A:$A,REGOLITOS!G:G)</f>
        <v>#N/A</v>
      </c>
      <c r="H475" s="48" t="str">
        <f t="array" ref="H475">XLOOKUP($D475,REGOLITOS!$A:$A,REGOLITOS!H:H)</f>
        <v>#N/A</v>
      </c>
      <c r="I475" s="48" t="str">
        <f t="array" ref="I475">XLOOKUP($D475,REGOLITOS!$A:$A,REGOLITOS!I:I)</f>
        <v>#N/A</v>
      </c>
      <c r="J475" s="48" t="str">
        <f t="array" ref="J475">XLOOKUP($D475,REGOLITOS!$A:$A,REGOLITOS!J:J)</f>
        <v>#N/A</v>
      </c>
      <c r="K475" s="48" t="str">
        <f t="array" ref="K475">XLOOKUP($D475,REGOLITOS!$A:$A,REGOLITOS!K:K)</f>
        <v>#N/A</v>
      </c>
      <c r="L475" s="76"/>
      <c r="M475" s="5" t="s">
        <v>1080</v>
      </c>
      <c r="N475" s="5" t="s">
        <v>1080</v>
      </c>
      <c r="O475" s="5" t="s">
        <v>1080</v>
      </c>
      <c r="P475" s="5" t="s">
        <v>1080</v>
      </c>
      <c r="Q475" s="5" t="s">
        <v>1080</v>
      </c>
      <c r="X475" s="71">
        <f t="shared" si="5"/>
        <v>0</v>
      </c>
      <c r="Y475" s="5" t="b">
        <v>0</v>
      </c>
    </row>
    <row r="476">
      <c r="B476" s="5" t="str">
        <f t="array" ref="B476">XLOOKUP(A476, CURSOS!A:A, CURSOS!B:B)</f>
        <v>#N/A</v>
      </c>
      <c r="C476" s="75" t="str">
        <f t="array" ref="C476">XLOOKUP(A476, CURSOS!A:A, CURSOS!C:C)</f>
        <v>#N/A</v>
      </c>
      <c r="D476" s="70" t="e">
        <v>#N/A</v>
      </c>
      <c r="E476" s="48"/>
      <c r="F476" s="48" t="str">
        <f t="array" ref="F476">XLOOKUP($D476,REGOLITOS!$A:$A,REGOLITOS!F:F)</f>
        <v>#N/A</v>
      </c>
      <c r="G476" s="48" t="str">
        <f t="array" ref="G476">XLOOKUP($D476,REGOLITOS!$A:$A,REGOLITOS!G:G)</f>
        <v>#N/A</v>
      </c>
      <c r="H476" s="48" t="str">
        <f t="array" ref="H476">XLOOKUP($D476,REGOLITOS!$A:$A,REGOLITOS!H:H)</f>
        <v>#N/A</v>
      </c>
      <c r="I476" s="48" t="str">
        <f t="array" ref="I476">XLOOKUP($D476,REGOLITOS!$A:$A,REGOLITOS!I:I)</f>
        <v>#N/A</v>
      </c>
      <c r="J476" s="48" t="str">
        <f t="array" ref="J476">XLOOKUP($D476,REGOLITOS!$A:$A,REGOLITOS!J:J)</f>
        <v>#N/A</v>
      </c>
      <c r="K476" s="48" t="str">
        <f t="array" ref="K476">XLOOKUP($D476,REGOLITOS!$A:$A,REGOLITOS!K:K)</f>
        <v>#N/A</v>
      </c>
      <c r="L476" s="76"/>
      <c r="M476" s="5" t="s">
        <v>1080</v>
      </c>
      <c r="N476" s="5" t="s">
        <v>1080</v>
      </c>
      <c r="O476" s="5" t="s">
        <v>1080</v>
      </c>
      <c r="P476" s="5" t="s">
        <v>1080</v>
      </c>
      <c r="Q476" s="5" t="s">
        <v>1080</v>
      </c>
      <c r="X476" s="71">
        <f t="shared" si="5"/>
        <v>0</v>
      </c>
      <c r="Y476" s="5" t="b">
        <v>0</v>
      </c>
    </row>
    <row r="477">
      <c r="B477" s="5" t="str">
        <f t="array" ref="B477">XLOOKUP(A477, CURSOS!A:A, CURSOS!B:B)</f>
        <v>#N/A</v>
      </c>
      <c r="C477" s="75" t="str">
        <f t="array" ref="C477">XLOOKUP(A477, CURSOS!A:A, CURSOS!C:C)</f>
        <v>#N/A</v>
      </c>
      <c r="D477" s="70" t="e">
        <v>#N/A</v>
      </c>
      <c r="E477" s="48"/>
      <c r="F477" s="48" t="str">
        <f t="array" ref="F477">XLOOKUP($D477,REGOLITOS!$A:$A,REGOLITOS!F:F)</f>
        <v>#N/A</v>
      </c>
      <c r="G477" s="48" t="str">
        <f t="array" ref="G477">XLOOKUP($D477,REGOLITOS!$A:$A,REGOLITOS!G:G)</f>
        <v>#N/A</v>
      </c>
      <c r="H477" s="48" t="str">
        <f t="array" ref="H477">XLOOKUP($D477,REGOLITOS!$A:$A,REGOLITOS!H:H)</f>
        <v>#N/A</v>
      </c>
      <c r="I477" s="48" t="str">
        <f t="array" ref="I477">XLOOKUP($D477,REGOLITOS!$A:$A,REGOLITOS!I:I)</f>
        <v>#N/A</v>
      </c>
      <c r="J477" s="48" t="str">
        <f t="array" ref="J477">XLOOKUP($D477,REGOLITOS!$A:$A,REGOLITOS!J:J)</f>
        <v>#N/A</v>
      </c>
      <c r="K477" s="48" t="str">
        <f t="array" ref="K477">XLOOKUP($D477,REGOLITOS!$A:$A,REGOLITOS!K:K)</f>
        <v>#N/A</v>
      </c>
      <c r="L477" s="76"/>
      <c r="M477" s="5" t="s">
        <v>1080</v>
      </c>
      <c r="N477" s="5" t="s">
        <v>1080</v>
      </c>
      <c r="O477" s="5" t="s">
        <v>1080</v>
      </c>
      <c r="P477" s="5" t="s">
        <v>1080</v>
      </c>
      <c r="Q477" s="5" t="s">
        <v>1080</v>
      </c>
      <c r="X477" s="71">
        <f t="shared" si="5"/>
        <v>0</v>
      </c>
      <c r="Y477" s="5" t="b">
        <v>0</v>
      </c>
    </row>
    <row r="478">
      <c r="B478" s="5" t="str">
        <f t="array" ref="B478">XLOOKUP(A478, CURSOS!A:A, CURSOS!B:B)</f>
        <v>#N/A</v>
      </c>
      <c r="C478" s="75" t="str">
        <f t="array" ref="C478">XLOOKUP(A478, CURSOS!A:A, CURSOS!C:C)</f>
        <v>#N/A</v>
      </c>
      <c r="D478" s="70" t="e">
        <v>#N/A</v>
      </c>
      <c r="E478" s="48"/>
      <c r="F478" s="48" t="str">
        <f t="array" ref="F478">XLOOKUP($D478,REGOLITOS!$A:$A,REGOLITOS!F:F)</f>
        <v>#N/A</v>
      </c>
      <c r="G478" s="48" t="str">
        <f t="array" ref="G478">XLOOKUP($D478,REGOLITOS!$A:$A,REGOLITOS!G:G)</f>
        <v>#N/A</v>
      </c>
      <c r="H478" s="48" t="str">
        <f t="array" ref="H478">XLOOKUP($D478,REGOLITOS!$A:$A,REGOLITOS!H:H)</f>
        <v>#N/A</v>
      </c>
      <c r="I478" s="48" t="str">
        <f t="array" ref="I478">XLOOKUP($D478,REGOLITOS!$A:$A,REGOLITOS!I:I)</f>
        <v>#N/A</v>
      </c>
      <c r="J478" s="48" t="str">
        <f t="array" ref="J478">XLOOKUP($D478,REGOLITOS!$A:$A,REGOLITOS!J:J)</f>
        <v>#N/A</v>
      </c>
      <c r="K478" s="48" t="str">
        <f t="array" ref="K478">XLOOKUP($D478,REGOLITOS!$A:$A,REGOLITOS!K:K)</f>
        <v>#N/A</v>
      </c>
      <c r="L478" s="76"/>
      <c r="M478" s="5" t="s">
        <v>1080</v>
      </c>
      <c r="N478" s="5" t="s">
        <v>1080</v>
      </c>
      <c r="O478" s="5" t="s">
        <v>1080</v>
      </c>
      <c r="P478" s="5" t="s">
        <v>1080</v>
      </c>
      <c r="Q478" s="5" t="s">
        <v>1080</v>
      </c>
      <c r="X478" s="71">
        <f t="shared" si="5"/>
        <v>0</v>
      </c>
      <c r="Y478" s="5" t="b">
        <v>0</v>
      </c>
    </row>
    <row r="479">
      <c r="B479" s="5" t="str">
        <f t="array" ref="B479">XLOOKUP(A479, CURSOS!A:A, CURSOS!B:B)</f>
        <v>#N/A</v>
      </c>
      <c r="C479" s="75" t="str">
        <f t="array" ref="C479">XLOOKUP(A479, CURSOS!A:A, CURSOS!C:C)</f>
        <v>#N/A</v>
      </c>
      <c r="D479" s="70" t="e">
        <v>#N/A</v>
      </c>
      <c r="E479" s="48"/>
      <c r="F479" s="48" t="str">
        <f t="array" ref="F479">XLOOKUP($D479,REGOLITOS!$A:$A,REGOLITOS!F:F)</f>
        <v>#N/A</v>
      </c>
      <c r="G479" s="48" t="str">
        <f t="array" ref="G479">XLOOKUP($D479,REGOLITOS!$A:$A,REGOLITOS!G:G)</f>
        <v>#N/A</v>
      </c>
      <c r="H479" s="48" t="str">
        <f t="array" ref="H479">XLOOKUP($D479,REGOLITOS!$A:$A,REGOLITOS!H:H)</f>
        <v>#N/A</v>
      </c>
      <c r="I479" s="48" t="str">
        <f t="array" ref="I479">XLOOKUP($D479,REGOLITOS!$A:$A,REGOLITOS!I:I)</f>
        <v>#N/A</v>
      </c>
      <c r="J479" s="48" t="str">
        <f t="array" ref="J479">XLOOKUP($D479,REGOLITOS!$A:$A,REGOLITOS!J:J)</f>
        <v>#N/A</v>
      </c>
      <c r="K479" s="48" t="str">
        <f t="array" ref="K479">XLOOKUP($D479,REGOLITOS!$A:$A,REGOLITOS!K:K)</f>
        <v>#N/A</v>
      </c>
      <c r="L479" s="76"/>
      <c r="M479" s="5" t="s">
        <v>1080</v>
      </c>
      <c r="N479" s="5" t="s">
        <v>1080</v>
      </c>
      <c r="O479" s="5" t="s">
        <v>1080</v>
      </c>
      <c r="P479" s="5" t="s">
        <v>1080</v>
      </c>
      <c r="Q479" s="5" t="s">
        <v>1080</v>
      </c>
      <c r="X479" s="71">
        <f t="shared" si="5"/>
        <v>0</v>
      </c>
      <c r="Y479" s="5" t="b">
        <v>0</v>
      </c>
    </row>
    <row r="480">
      <c r="B480" s="5" t="str">
        <f t="array" ref="B480">XLOOKUP(A480, CURSOS!A:A, CURSOS!B:B)</f>
        <v>#N/A</v>
      </c>
      <c r="C480" s="75" t="str">
        <f t="array" ref="C480">XLOOKUP(A480, CURSOS!A:A, CURSOS!C:C)</f>
        <v>#N/A</v>
      </c>
      <c r="D480" s="70" t="e">
        <v>#N/A</v>
      </c>
      <c r="E480" s="48"/>
      <c r="F480" s="48" t="str">
        <f t="array" ref="F480">XLOOKUP($D480,REGOLITOS!$A:$A,REGOLITOS!F:F)</f>
        <v>#N/A</v>
      </c>
      <c r="G480" s="48" t="str">
        <f t="array" ref="G480">XLOOKUP($D480,REGOLITOS!$A:$A,REGOLITOS!G:G)</f>
        <v>#N/A</v>
      </c>
      <c r="H480" s="48" t="str">
        <f t="array" ref="H480">XLOOKUP($D480,REGOLITOS!$A:$A,REGOLITOS!H:H)</f>
        <v>#N/A</v>
      </c>
      <c r="I480" s="48" t="str">
        <f t="array" ref="I480">XLOOKUP($D480,REGOLITOS!$A:$A,REGOLITOS!I:I)</f>
        <v>#N/A</v>
      </c>
      <c r="J480" s="48" t="str">
        <f t="array" ref="J480">XLOOKUP($D480,REGOLITOS!$A:$A,REGOLITOS!J:J)</f>
        <v>#N/A</v>
      </c>
      <c r="K480" s="48" t="str">
        <f t="array" ref="K480">XLOOKUP($D480,REGOLITOS!$A:$A,REGOLITOS!K:K)</f>
        <v>#N/A</v>
      </c>
      <c r="L480" s="76"/>
      <c r="M480" s="5" t="s">
        <v>1080</v>
      </c>
      <c r="N480" s="5" t="s">
        <v>1080</v>
      </c>
      <c r="O480" s="5" t="s">
        <v>1080</v>
      </c>
      <c r="P480" s="5" t="s">
        <v>1080</v>
      </c>
      <c r="Q480" s="5" t="s">
        <v>1080</v>
      </c>
      <c r="X480" s="71">
        <f t="shared" si="5"/>
        <v>0</v>
      </c>
      <c r="Y480" s="5" t="b">
        <v>0</v>
      </c>
    </row>
    <row r="481">
      <c r="B481" s="5" t="str">
        <f t="array" ref="B481">XLOOKUP(A481, CURSOS!A:A, CURSOS!B:B)</f>
        <v>#N/A</v>
      </c>
      <c r="C481" s="75" t="str">
        <f t="array" ref="C481">XLOOKUP(A481, CURSOS!A:A, CURSOS!C:C)</f>
        <v>#N/A</v>
      </c>
      <c r="D481" s="70" t="e">
        <v>#N/A</v>
      </c>
      <c r="E481" s="48"/>
      <c r="F481" s="48" t="str">
        <f t="array" ref="F481">XLOOKUP($D481,REGOLITOS!$A:$A,REGOLITOS!F:F)</f>
        <v>#N/A</v>
      </c>
      <c r="G481" s="48" t="str">
        <f t="array" ref="G481">XLOOKUP($D481,REGOLITOS!$A:$A,REGOLITOS!G:G)</f>
        <v>#N/A</v>
      </c>
      <c r="H481" s="48" t="str">
        <f t="array" ref="H481">XLOOKUP($D481,REGOLITOS!$A:$A,REGOLITOS!H:H)</f>
        <v>#N/A</v>
      </c>
      <c r="I481" s="48" t="str">
        <f t="array" ref="I481">XLOOKUP($D481,REGOLITOS!$A:$A,REGOLITOS!I:I)</f>
        <v>#N/A</v>
      </c>
      <c r="J481" s="48" t="str">
        <f t="array" ref="J481">XLOOKUP($D481,REGOLITOS!$A:$A,REGOLITOS!J:J)</f>
        <v>#N/A</v>
      </c>
      <c r="K481" s="48" t="str">
        <f t="array" ref="K481">XLOOKUP($D481,REGOLITOS!$A:$A,REGOLITOS!K:K)</f>
        <v>#N/A</v>
      </c>
      <c r="L481" s="76"/>
      <c r="M481" s="5" t="s">
        <v>1080</v>
      </c>
      <c r="N481" s="5" t="s">
        <v>1080</v>
      </c>
      <c r="O481" s="5" t="s">
        <v>1080</v>
      </c>
      <c r="P481" s="5" t="s">
        <v>1080</v>
      </c>
      <c r="Q481" s="5" t="s">
        <v>1080</v>
      </c>
      <c r="X481" s="71">
        <f t="shared" si="5"/>
        <v>0</v>
      </c>
      <c r="Y481" s="5" t="b">
        <v>0</v>
      </c>
    </row>
    <row r="482">
      <c r="B482" s="5" t="str">
        <f t="array" ref="B482">XLOOKUP(A482, CURSOS!A:A, CURSOS!B:B)</f>
        <v>#N/A</v>
      </c>
      <c r="C482" s="75" t="str">
        <f t="array" ref="C482">XLOOKUP(A482, CURSOS!A:A, CURSOS!C:C)</f>
        <v>#N/A</v>
      </c>
      <c r="D482" s="70" t="e">
        <v>#N/A</v>
      </c>
      <c r="E482" s="48"/>
      <c r="F482" s="48" t="str">
        <f t="array" ref="F482">XLOOKUP($D482,REGOLITOS!$A:$A,REGOLITOS!F:F)</f>
        <v>#N/A</v>
      </c>
      <c r="G482" s="48" t="str">
        <f t="array" ref="G482">XLOOKUP($D482,REGOLITOS!$A:$A,REGOLITOS!G:G)</f>
        <v>#N/A</v>
      </c>
      <c r="H482" s="48" t="str">
        <f t="array" ref="H482">XLOOKUP($D482,REGOLITOS!$A:$A,REGOLITOS!H:H)</f>
        <v>#N/A</v>
      </c>
      <c r="I482" s="48" t="str">
        <f t="array" ref="I482">XLOOKUP($D482,REGOLITOS!$A:$A,REGOLITOS!I:I)</f>
        <v>#N/A</v>
      </c>
      <c r="J482" s="48" t="str">
        <f t="array" ref="J482">XLOOKUP($D482,REGOLITOS!$A:$A,REGOLITOS!J:J)</f>
        <v>#N/A</v>
      </c>
      <c r="K482" s="48" t="str">
        <f t="array" ref="K482">XLOOKUP($D482,REGOLITOS!$A:$A,REGOLITOS!K:K)</f>
        <v>#N/A</v>
      </c>
      <c r="L482" s="76"/>
      <c r="M482" s="5" t="s">
        <v>1080</v>
      </c>
      <c r="N482" s="5" t="s">
        <v>1080</v>
      </c>
      <c r="O482" s="5" t="s">
        <v>1080</v>
      </c>
      <c r="P482" s="5" t="s">
        <v>1080</v>
      </c>
      <c r="Q482" s="5" t="s">
        <v>1080</v>
      </c>
      <c r="X482" s="71">
        <f t="shared" si="5"/>
        <v>0</v>
      </c>
      <c r="Y482" s="5" t="b">
        <v>0</v>
      </c>
    </row>
    <row r="483">
      <c r="B483" s="5" t="str">
        <f t="array" ref="B483">XLOOKUP(A483, CURSOS!A:A, CURSOS!B:B)</f>
        <v>#N/A</v>
      </c>
      <c r="C483" s="75" t="str">
        <f t="array" ref="C483">XLOOKUP(A483, CURSOS!A:A, CURSOS!C:C)</f>
        <v>#N/A</v>
      </c>
      <c r="D483" s="70" t="e">
        <v>#N/A</v>
      </c>
      <c r="E483" s="48"/>
      <c r="F483" s="48" t="str">
        <f t="array" ref="F483">XLOOKUP($D483,REGOLITOS!$A:$A,REGOLITOS!F:F)</f>
        <v>#N/A</v>
      </c>
      <c r="G483" s="48" t="str">
        <f t="array" ref="G483">XLOOKUP($D483,REGOLITOS!$A:$A,REGOLITOS!G:G)</f>
        <v>#N/A</v>
      </c>
      <c r="H483" s="48" t="str">
        <f t="array" ref="H483">XLOOKUP($D483,REGOLITOS!$A:$A,REGOLITOS!H:H)</f>
        <v>#N/A</v>
      </c>
      <c r="I483" s="48" t="str">
        <f t="array" ref="I483">XLOOKUP($D483,REGOLITOS!$A:$A,REGOLITOS!I:I)</f>
        <v>#N/A</v>
      </c>
      <c r="J483" s="48" t="str">
        <f t="array" ref="J483">XLOOKUP($D483,REGOLITOS!$A:$A,REGOLITOS!J:J)</f>
        <v>#N/A</v>
      </c>
      <c r="K483" s="48" t="str">
        <f t="array" ref="K483">XLOOKUP($D483,REGOLITOS!$A:$A,REGOLITOS!K:K)</f>
        <v>#N/A</v>
      </c>
      <c r="L483" s="76"/>
      <c r="M483" s="5" t="s">
        <v>1080</v>
      </c>
      <c r="N483" s="5" t="s">
        <v>1080</v>
      </c>
      <c r="O483" s="5" t="s">
        <v>1080</v>
      </c>
      <c r="P483" s="5" t="s">
        <v>1080</v>
      </c>
      <c r="Q483" s="5" t="s">
        <v>1080</v>
      </c>
      <c r="X483" s="71">
        <f t="shared" si="5"/>
        <v>0</v>
      </c>
      <c r="Y483" s="5" t="b">
        <v>0</v>
      </c>
    </row>
    <row r="484">
      <c r="B484" s="5" t="str">
        <f t="array" ref="B484">XLOOKUP(A484, CURSOS!A:A, CURSOS!B:B)</f>
        <v>#N/A</v>
      </c>
      <c r="C484" s="75" t="str">
        <f t="array" ref="C484">XLOOKUP(A484, CURSOS!A:A, CURSOS!C:C)</f>
        <v>#N/A</v>
      </c>
      <c r="D484" s="70" t="e">
        <v>#N/A</v>
      </c>
      <c r="E484" s="48"/>
      <c r="F484" s="48" t="str">
        <f t="array" ref="F484">XLOOKUP($D484,REGOLITOS!$A:$A,REGOLITOS!F:F)</f>
        <v>#N/A</v>
      </c>
      <c r="G484" s="48" t="str">
        <f t="array" ref="G484">XLOOKUP($D484,REGOLITOS!$A:$A,REGOLITOS!G:G)</f>
        <v>#N/A</v>
      </c>
      <c r="H484" s="48" t="str">
        <f t="array" ref="H484">XLOOKUP($D484,REGOLITOS!$A:$A,REGOLITOS!H:H)</f>
        <v>#N/A</v>
      </c>
      <c r="I484" s="48" t="str">
        <f t="array" ref="I484">XLOOKUP($D484,REGOLITOS!$A:$A,REGOLITOS!I:I)</f>
        <v>#N/A</v>
      </c>
      <c r="J484" s="48" t="str">
        <f t="array" ref="J484">XLOOKUP($D484,REGOLITOS!$A:$A,REGOLITOS!J:J)</f>
        <v>#N/A</v>
      </c>
      <c r="K484" s="48" t="str">
        <f t="array" ref="K484">XLOOKUP($D484,REGOLITOS!$A:$A,REGOLITOS!K:K)</f>
        <v>#N/A</v>
      </c>
      <c r="L484" s="76"/>
      <c r="M484" s="5" t="s">
        <v>1080</v>
      </c>
      <c r="N484" s="5" t="s">
        <v>1080</v>
      </c>
      <c r="O484" s="5" t="s">
        <v>1080</v>
      </c>
      <c r="P484" s="5" t="s">
        <v>1080</v>
      </c>
      <c r="Q484" s="5" t="s">
        <v>1080</v>
      </c>
      <c r="X484" s="71">
        <f t="shared" si="5"/>
        <v>0</v>
      </c>
      <c r="Y484" s="5" t="b">
        <v>0</v>
      </c>
    </row>
    <row r="485">
      <c r="B485" s="5" t="str">
        <f t="array" ref="B485">XLOOKUP(A485, CURSOS!A:A, CURSOS!B:B)</f>
        <v>#N/A</v>
      </c>
      <c r="C485" s="75" t="str">
        <f t="array" ref="C485">XLOOKUP(A485, CURSOS!A:A, CURSOS!C:C)</f>
        <v>#N/A</v>
      </c>
      <c r="D485" s="70" t="e">
        <v>#N/A</v>
      </c>
      <c r="E485" s="48"/>
      <c r="F485" s="48" t="str">
        <f t="array" ref="F485">XLOOKUP($D485,REGOLITOS!$A:$A,REGOLITOS!F:F)</f>
        <v>#N/A</v>
      </c>
      <c r="G485" s="48" t="str">
        <f t="array" ref="G485">XLOOKUP($D485,REGOLITOS!$A:$A,REGOLITOS!G:G)</f>
        <v>#N/A</v>
      </c>
      <c r="H485" s="48" t="str">
        <f t="array" ref="H485">XLOOKUP($D485,REGOLITOS!$A:$A,REGOLITOS!H:H)</f>
        <v>#N/A</v>
      </c>
      <c r="I485" s="48" t="str">
        <f t="array" ref="I485">XLOOKUP($D485,REGOLITOS!$A:$A,REGOLITOS!I:I)</f>
        <v>#N/A</v>
      </c>
      <c r="J485" s="48" t="str">
        <f t="array" ref="J485">XLOOKUP($D485,REGOLITOS!$A:$A,REGOLITOS!J:J)</f>
        <v>#N/A</v>
      </c>
      <c r="K485" s="48" t="str">
        <f t="array" ref="K485">XLOOKUP($D485,REGOLITOS!$A:$A,REGOLITOS!K:K)</f>
        <v>#N/A</v>
      </c>
      <c r="L485" s="76"/>
      <c r="M485" s="5" t="s">
        <v>1080</v>
      </c>
      <c r="N485" s="5" t="s">
        <v>1080</v>
      </c>
      <c r="O485" s="5" t="s">
        <v>1080</v>
      </c>
      <c r="P485" s="5" t="s">
        <v>1080</v>
      </c>
      <c r="Q485" s="5" t="s">
        <v>1080</v>
      </c>
      <c r="X485" s="71">
        <f t="shared" si="5"/>
        <v>0</v>
      </c>
      <c r="Y485" s="5" t="b">
        <v>0</v>
      </c>
    </row>
    <row r="486">
      <c r="B486" s="5" t="str">
        <f t="array" ref="B486">XLOOKUP(A486, CURSOS!A:A, CURSOS!B:B)</f>
        <v>#N/A</v>
      </c>
      <c r="C486" s="75" t="str">
        <f t="array" ref="C486">XLOOKUP(A486, CURSOS!A:A, CURSOS!C:C)</f>
        <v>#N/A</v>
      </c>
      <c r="D486" s="70" t="e">
        <v>#N/A</v>
      </c>
      <c r="E486" s="48"/>
      <c r="F486" s="48" t="str">
        <f t="array" ref="F486">XLOOKUP($D486,REGOLITOS!$A:$A,REGOLITOS!F:F)</f>
        <v>#N/A</v>
      </c>
      <c r="G486" s="48" t="str">
        <f t="array" ref="G486">XLOOKUP($D486,REGOLITOS!$A:$A,REGOLITOS!G:G)</f>
        <v>#N/A</v>
      </c>
      <c r="H486" s="48" t="str">
        <f t="array" ref="H486">XLOOKUP($D486,REGOLITOS!$A:$A,REGOLITOS!H:H)</f>
        <v>#N/A</v>
      </c>
      <c r="I486" s="48" t="str">
        <f t="array" ref="I486">XLOOKUP($D486,REGOLITOS!$A:$A,REGOLITOS!I:I)</f>
        <v>#N/A</v>
      </c>
      <c r="J486" s="48" t="str">
        <f t="array" ref="J486">XLOOKUP($D486,REGOLITOS!$A:$A,REGOLITOS!J:J)</f>
        <v>#N/A</v>
      </c>
      <c r="K486" s="48" t="str">
        <f t="array" ref="K486">XLOOKUP($D486,REGOLITOS!$A:$A,REGOLITOS!K:K)</f>
        <v>#N/A</v>
      </c>
      <c r="L486" s="76"/>
      <c r="M486" s="5" t="s">
        <v>1080</v>
      </c>
      <c r="N486" s="5" t="s">
        <v>1080</v>
      </c>
      <c r="O486" s="5" t="s">
        <v>1080</v>
      </c>
      <c r="P486" s="5" t="s">
        <v>1080</v>
      </c>
      <c r="Q486" s="5" t="s">
        <v>1080</v>
      </c>
      <c r="X486" s="71">
        <f t="shared" si="5"/>
        <v>0</v>
      </c>
      <c r="Y486" s="5" t="b">
        <v>0</v>
      </c>
    </row>
    <row r="487">
      <c r="B487" s="5" t="str">
        <f t="array" ref="B487">XLOOKUP(A487, CURSOS!A:A, CURSOS!B:B)</f>
        <v>#N/A</v>
      </c>
      <c r="C487" s="75" t="str">
        <f t="array" ref="C487">XLOOKUP(A487, CURSOS!A:A, CURSOS!C:C)</f>
        <v>#N/A</v>
      </c>
      <c r="D487" s="70" t="e">
        <v>#N/A</v>
      </c>
      <c r="E487" s="48"/>
      <c r="F487" s="48" t="str">
        <f t="array" ref="F487">XLOOKUP($D487,REGOLITOS!$A:$A,REGOLITOS!F:F)</f>
        <v>#N/A</v>
      </c>
      <c r="G487" s="48" t="str">
        <f t="array" ref="G487">XLOOKUP($D487,REGOLITOS!$A:$A,REGOLITOS!G:G)</f>
        <v>#N/A</v>
      </c>
      <c r="H487" s="48" t="str">
        <f t="array" ref="H487">XLOOKUP($D487,REGOLITOS!$A:$A,REGOLITOS!H:H)</f>
        <v>#N/A</v>
      </c>
      <c r="I487" s="48" t="str">
        <f t="array" ref="I487">XLOOKUP($D487,REGOLITOS!$A:$A,REGOLITOS!I:I)</f>
        <v>#N/A</v>
      </c>
      <c r="J487" s="48" t="str">
        <f t="array" ref="J487">XLOOKUP($D487,REGOLITOS!$A:$A,REGOLITOS!J:J)</f>
        <v>#N/A</v>
      </c>
      <c r="K487" s="48" t="str">
        <f t="array" ref="K487">XLOOKUP($D487,REGOLITOS!$A:$A,REGOLITOS!K:K)</f>
        <v>#N/A</v>
      </c>
      <c r="L487" s="76"/>
      <c r="M487" s="5" t="s">
        <v>1080</v>
      </c>
      <c r="N487" s="5" t="s">
        <v>1080</v>
      </c>
      <c r="O487" s="5" t="s">
        <v>1080</v>
      </c>
      <c r="P487" s="5" t="s">
        <v>1080</v>
      </c>
      <c r="Q487" s="5" t="s">
        <v>1080</v>
      </c>
      <c r="X487" s="71">
        <f t="shared" si="5"/>
        <v>0</v>
      </c>
      <c r="Y487" s="5" t="b">
        <v>0</v>
      </c>
    </row>
    <row r="488">
      <c r="B488" s="5" t="str">
        <f t="array" ref="B488">XLOOKUP(A488, CURSOS!A:A, CURSOS!B:B)</f>
        <v>#N/A</v>
      </c>
      <c r="C488" s="75" t="str">
        <f t="array" ref="C488">XLOOKUP(A488, CURSOS!A:A, CURSOS!C:C)</f>
        <v>#N/A</v>
      </c>
      <c r="D488" s="70" t="e">
        <v>#N/A</v>
      </c>
      <c r="E488" s="48"/>
      <c r="F488" s="48" t="str">
        <f t="array" ref="F488">XLOOKUP($D488,REGOLITOS!$A:$A,REGOLITOS!F:F)</f>
        <v>#N/A</v>
      </c>
      <c r="G488" s="48" t="str">
        <f t="array" ref="G488">XLOOKUP($D488,REGOLITOS!$A:$A,REGOLITOS!G:G)</f>
        <v>#N/A</v>
      </c>
      <c r="H488" s="48" t="str">
        <f t="array" ref="H488">XLOOKUP($D488,REGOLITOS!$A:$A,REGOLITOS!H:H)</f>
        <v>#N/A</v>
      </c>
      <c r="I488" s="48" t="str">
        <f t="array" ref="I488">XLOOKUP($D488,REGOLITOS!$A:$A,REGOLITOS!I:I)</f>
        <v>#N/A</v>
      </c>
      <c r="J488" s="48" t="str">
        <f t="array" ref="J488">XLOOKUP($D488,REGOLITOS!$A:$A,REGOLITOS!J:J)</f>
        <v>#N/A</v>
      </c>
      <c r="K488" s="48" t="str">
        <f t="array" ref="K488">XLOOKUP($D488,REGOLITOS!$A:$A,REGOLITOS!K:K)</f>
        <v>#N/A</v>
      </c>
      <c r="L488" s="76"/>
      <c r="M488" s="5" t="s">
        <v>1080</v>
      </c>
      <c r="N488" s="5" t="s">
        <v>1080</v>
      </c>
      <c r="O488" s="5" t="s">
        <v>1080</v>
      </c>
      <c r="P488" s="5" t="s">
        <v>1080</v>
      </c>
      <c r="Q488" s="5" t="s">
        <v>1080</v>
      </c>
      <c r="X488" s="71">
        <f t="shared" si="5"/>
        <v>0</v>
      </c>
      <c r="Y488" s="5" t="b">
        <v>0</v>
      </c>
    </row>
    <row r="489">
      <c r="B489" s="5" t="str">
        <f t="array" ref="B489">XLOOKUP(A489, CURSOS!A:A, CURSOS!B:B)</f>
        <v>#N/A</v>
      </c>
      <c r="C489" s="75" t="str">
        <f t="array" ref="C489">XLOOKUP(A489, CURSOS!A:A, CURSOS!C:C)</f>
        <v>#N/A</v>
      </c>
      <c r="D489" s="70" t="e">
        <v>#N/A</v>
      </c>
      <c r="E489" s="48"/>
      <c r="F489" s="48" t="str">
        <f t="array" ref="F489">XLOOKUP($D489,REGOLITOS!$A:$A,REGOLITOS!F:F)</f>
        <v>#N/A</v>
      </c>
      <c r="G489" s="48" t="str">
        <f t="array" ref="G489">XLOOKUP($D489,REGOLITOS!$A:$A,REGOLITOS!G:G)</f>
        <v>#N/A</v>
      </c>
      <c r="H489" s="48" t="str">
        <f t="array" ref="H489">XLOOKUP($D489,REGOLITOS!$A:$A,REGOLITOS!H:H)</f>
        <v>#N/A</v>
      </c>
      <c r="I489" s="48" t="str">
        <f t="array" ref="I489">XLOOKUP($D489,REGOLITOS!$A:$A,REGOLITOS!I:I)</f>
        <v>#N/A</v>
      </c>
      <c r="J489" s="48" t="str">
        <f t="array" ref="J489">XLOOKUP($D489,REGOLITOS!$A:$A,REGOLITOS!J:J)</f>
        <v>#N/A</v>
      </c>
      <c r="K489" s="48" t="str">
        <f t="array" ref="K489">XLOOKUP($D489,REGOLITOS!$A:$A,REGOLITOS!K:K)</f>
        <v>#N/A</v>
      </c>
      <c r="L489" s="76"/>
      <c r="M489" s="5" t="s">
        <v>1080</v>
      </c>
      <c r="N489" s="5" t="s">
        <v>1080</v>
      </c>
      <c r="O489" s="5" t="s">
        <v>1080</v>
      </c>
      <c r="P489" s="5" t="s">
        <v>1080</v>
      </c>
      <c r="Q489" s="5" t="s">
        <v>1080</v>
      </c>
      <c r="X489" s="71">
        <f t="shared" si="5"/>
        <v>0</v>
      </c>
      <c r="Y489" s="5" t="b">
        <v>0</v>
      </c>
    </row>
    <row r="490">
      <c r="B490" s="5" t="str">
        <f t="array" ref="B490">XLOOKUP(A490, CURSOS!A:A, CURSOS!B:B)</f>
        <v>#N/A</v>
      </c>
      <c r="C490" s="75" t="str">
        <f t="array" ref="C490">XLOOKUP(A490, CURSOS!A:A, CURSOS!C:C)</f>
        <v>#N/A</v>
      </c>
      <c r="D490" s="70" t="e">
        <v>#N/A</v>
      </c>
      <c r="E490" s="48"/>
      <c r="F490" s="48" t="str">
        <f t="array" ref="F490">XLOOKUP($D490,REGOLITOS!$A:$A,REGOLITOS!F:F)</f>
        <v>#N/A</v>
      </c>
      <c r="G490" s="48" t="str">
        <f t="array" ref="G490">XLOOKUP($D490,REGOLITOS!$A:$A,REGOLITOS!G:G)</f>
        <v>#N/A</v>
      </c>
      <c r="H490" s="48" t="str">
        <f t="array" ref="H490">XLOOKUP($D490,REGOLITOS!$A:$A,REGOLITOS!H:H)</f>
        <v>#N/A</v>
      </c>
      <c r="I490" s="48" t="str">
        <f t="array" ref="I490">XLOOKUP($D490,REGOLITOS!$A:$A,REGOLITOS!I:I)</f>
        <v>#N/A</v>
      </c>
      <c r="J490" s="48" t="str">
        <f t="array" ref="J490">XLOOKUP($D490,REGOLITOS!$A:$A,REGOLITOS!J:J)</f>
        <v>#N/A</v>
      </c>
      <c r="K490" s="48" t="str">
        <f t="array" ref="K490">XLOOKUP($D490,REGOLITOS!$A:$A,REGOLITOS!K:K)</f>
        <v>#N/A</v>
      </c>
      <c r="L490" s="76"/>
      <c r="M490" s="5" t="s">
        <v>1080</v>
      </c>
      <c r="N490" s="5" t="s">
        <v>1080</v>
      </c>
      <c r="O490" s="5" t="s">
        <v>1080</v>
      </c>
      <c r="P490" s="5" t="s">
        <v>1080</v>
      </c>
      <c r="Q490" s="5" t="s">
        <v>1080</v>
      </c>
      <c r="X490" s="71">
        <f t="shared" si="5"/>
        <v>0</v>
      </c>
      <c r="Y490" s="5" t="b">
        <v>0</v>
      </c>
    </row>
    <row r="491">
      <c r="B491" s="5" t="str">
        <f t="array" ref="B491">XLOOKUP(A491, CURSOS!A:A, CURSOS!B:B)</f>
        <v>#N/A</v>
      </c>
      <c r="C491" s="75" t="str">
        <f t="array" ref="C491">XLOOKUP(A491, CURSOS!A:A, CURSOS!C:C)</f>
        <v>#N/A</v>
      </c>
      <c r="D491" s="70" t="e">
        <v>#N/A</v>
      </c>
      <c r="E491" s="48"/>
      <c r="F491" s="48" t="str">
        <f t="array" ref="F491">XLOOKUP($D491,REGOLITOS!$A:$A,REGOLITOS!F:F)</f>
        <v>#N/A</v>
      </c>
      <c r="G491" s="48" t="str">
        <f t="array" ref="G491">XLOOKUP($D491,REGOLITOS!$A:$A,REGOLITOS!G:G)</f>
        <v>#N/A</v>
      </c>
      <c r="H491" s="48" t="str">
        <f t="array" ref="H491">XLOOKUP($D491,REGOLITOS!$A:$A,REGOLITOS!H:H)</f>
        <v>#N/A</v>
      </c>
      <c r="I491" s="48" t="str">
        <f t="array" ref="I491">XLOOKUP($D491,REGOLITOS!$A:$A,REGOLITOS!I:I)</f>
        <v>#N/A</v>
      </c>
      <c r="J491" s="48" t="str">
        <f t="array" ref="J491">XLOOKUP($D491,REGOLITOS!$A:$A,REGOLITOS!J:J)</f>
        <v>#N/A</v>
      </c>
      <c r="K491" s="48" t="str">
        <f t="array" ref="K491">XLOOKUP($D491,REGOLITOS!$A:$A,REGOLITOS!K:K)</f>
        <v>#N/A</v>
      </c>
      <c r="L491" s="76"/>
      <c r="M491" s="5" t="s">
        <v>1080</v>
      </c>
      <c r="N491" s="5" t="s">
        <v>1080</v>
      </c>
      <c r="O491" s="5" t="s">
        <v>1080</v>
      </c>
      <c r="P491" s="5" t="s">
        <v>1080</v>
      </c>
      <c r="Q491" s="5" t="s">
        <v>1080</v>
      </c>
      <c r="X491" s="71">
        <f t="shared" si="5"/>
        <v>0</v>
      </c>
      <c r="Y491" s="5" t="b">
        <v>0</v>
      </c>
    </row>
    <row r="492">
      <c r="B492" s="5" t="str">
        <f t="array" ref="B492">XLOOKUP(A492, CURSOS!A:A, CURSOS!B:B)</f>
        <v>#N/A</v>
      </c>
      <c r="C492" s="75" t="str">
        <f t="array" ref="C492">XLOOKUP(A492, CURSOS!A:A, CURSOS!C:C)</f>
        <v>#N/A</v>
      </c>
      <c r="D492" s="70" t="e">
        <v>#N/A</v>
      </c>
      <c r="E492" s="48"/>
      <c r="F492" s="48" t="str">
        <f t="array" ref="F492">XLOOKUP($D492,REGOLITOS!$A:$A,REGOLITOS!F:F)</f>
        <v>#N/A</v>
      </c>
      <c r="G492" s="48" t="str">
        <f t="array" ref="G492">XLOOKUP($D492,REGOLITOS!$A:$A,REGOLITOS!G:G)</f>
        <v>#N/A</v>
      </c>
      <c r="H492" s="48" t="str">
        <f t="array" ref="H492">XLOOKUP($D492,REGOLITOS!$A:$A,REGOLITOS!H:H)</f>
        <v>#N/A</v>
      </c>
      <c r="I492" s="48" t="str">
        <f t="array" ref="I492">XLOOKUP($D492,REGOLITOS!$A:$A,REGOLITOS!I:I)</f>
        <v>#N/A</v>
      </c>
      <c r="J492" s="48" t="str">
        <f t="array" ref="J492">XLOOKUP($D492,REGOLITOS!$A:$A,REGOLITOS!J:J)</f>
        <v>#N/A</v>
      </c>
      <c r="K492" s="48" t="str">
        <f t="array" ref="K492">XLOOKUP($D492,REGOLITOS!$A:$A,REGOLITOS!K:K)</f>
        <v>#N/A</v>
      </c>
      <c r="L492" s="76"/>
      <c r="M492" s="5" t="s">
        <v>1080</v>
      </c>
      <c r="N492" s="5" t="s">
        <v>1080</v>
      </c>
      <c r="O492" s="5" t="s">
        <v>1080</v>
      </c>
      <c r="P492" s="5" t="s">
        <v>1080</v>
      </c>
      <c r="Q492" s="5" t="s">
        <v>1080</v>
      </c>
      <c r="X492" s="71">
        <f t="shared" si="5"/>
        <v>0</v>
      </c>
      <c r="Y492" s="5" t="b">
        <v>0</v>
      </c>
    </row>
    <row r="493">
      <c r="B493" s="5" t="str">
        <f t="array" ref="B493">XLOOKUP(A493, CURSOS!A:A, CURSOS!B:B)</f>
        <v>#N/A</v>
      </c>
      <c r="C493" s="75" t="str">
        <f t="array" ref="C493">XLOOKUP(A493, CURSOS!A:A, CURSOS!C:C)</f>
        <v>#N/A</v>
      </c>
      <c r="D493" s="70" t="e">
        <v>#N/A</v>
      </c>
      <c r="E493" s="48"/>
      <c r="F493" s="48" t="str">
        <f t="array" ref="F493">XLOOKUP($D493,REGOLITOS!$A:$A,REGOLITOS!F:F)</f>
        <v>#N/A</v>
      </c>
      <c r="G493" s="48" t="str">
        <f t="array" ref="G493">XLOOKUP($D493,REGOLITOS!$A:$A,REGOLITOS!G:G)</f>
        <v>#N/A</v>
      </c>
      <c r="H493" s="48" t="str">
        <f t="array" ref="H493">XLOOKUP($D493,REGOLITOS!$A:$A,REGOLITOS!H:H)</f>
        <v>#N/A</v>
      </c>
      <c r="I493" s="48" t="str">
        <f t="array" ref="I493">XLOOKUP($D493,REGOLITOS!$A:$A,REGOLITOS!I:I)</f>
        <v>#N/A</v>
      </c>
      <c r="J493" s="48" t="str">
        <f t="array" ref="J493">XLOOKUP($D493,REGOLITOS!$A:$A,REGOLITOS!J:J)</f>
        <v>#N/A</v>
      </c>
      <c r="K493" s="48" t="str">
        <f t="array" ref="K493">XLOOKUP($D493,REGOLITOS!$A:$A,REGOLITOS!K:K)</f>
        <v>#N/A</v>
      </c>
      <c r="L493" s="76"/>
      <c r="M493" s="5" t="s">
        <v>1080</v>
      </c>
      <c r="N493" s="5" t="s">
        <v>1080</v>
      </c>
      <c r="O493" s="5" t="s">
        <v>1080</v>
      </c>
      <c r="P493" s="5" t="s">
        <v>1080</v>
      </c>
      <c r="Q493" s="5" t="s">
        <v>1080</v>
      </c>
      <c r="X493" s="71">
        <f t="shared" si="5"/>
        <v>0</v>
      </c>
      <c r="Y493" s="5" t="b">
        <v>0</v>
      </c>
    </row>
    <row r="494">
      <c r="B494" s="5" t="str">
        <f t="array" ref="B494">XLOOKUP(A494, CURSOS!A:A, CURSOS!B:B)</f>
        <v>#N/A</v>
      </c>
      <c r="C494" s="75" t="str">
        <f t="array" ref="C494">XLOOKUP(A494, CURSOS!A:A, CURSOS!C:C)</f>
        <v>#N/A</v>
      </c>
      <c r="D494" s="70" t="e">
        <v>#N/A</v>
      </c>
      <c r="E494" s="48"/>
      <c r="F494" s="48" t="str">
        <f t="array" ref="F494">XLOOKUP($D494,REGOLITOS!$A:$A,REGOLITOS!F:F)</f>
        <v>#N/A</v>
      </c>
      <c r="G494" s="48" t="str">
        <f t="array" ref="G494">XLOOKUP($D494,REGOLITOS!$A:$A,REGOLITOS!G:G)</f>
        <v>#N/A</v>
      </c>
      <c r="H494" s="48" t="str">
        <f t="array" ref="H494">XLOOKUP($D494,REGOLITOS!$A:$A,REGOLITOS!H:H)</f>
        <v>#N/A</v>
      </c>
      <c r="I494" s="48" t="str">
        <f t="array" ref="I494">XLOOKUP($D494,REGOLITOS!$A:$A,REGOLITOS!I:I)</f>
        <v>#N/A</v>
      </c>
      <c r="J494" s="48" t="str">
        <f t="array" ref="J494">XLOOKUP($D494,REGOLITOS!$A:$A,REGOLITOS!J:J)</f>
        <v>#N/A</v>
      </c>
      <c r="K494" s="48" t="str">
        <f t="array" ref="K494">XLOOKUP($D494,REGOLITOS!$A:$A,REGOLITOS!K:K)</f>
        <v>#N/A</v>
      </c>
      <c r="L494" s="76"/>
      <c r="M494" s="5" t="s">
        <v>1080</v>
      </c>
      <c r="N494" s="5" t="s">
        <v>1080</v>
      </c>
      <c r="O494" s="5" t="s">
        <v>1080</v>
      </c>
      <c r="P494" s="5" t="s">
        <v>1080</v>
      </c>
      <c r="Q494" s="5" t="s">
        <v>1080</v>
      </c>
      <c r="X494" s="71">
        <f t="shared" si="5"/>
        <v>0</v>
      </c>
      <c r="Y494" s="5" t="b">
        <v>0</v>
      </c>
    </row>
    <row r="495">
      <c r="B495" s="5" t="str">
        <f t="array" ref="B495">XLOOKUP(A495, CURSOS!A:A, CURSOS!B:B)</f>
        <v>#N/A</v>
      </c>
      <c r="C495" s="75" t="str">
        <f t="array" ref="C495">XLOOKUP(A495, CURSOS!A:A, CURSOS!C:C)</f>
        <v>#N/A</v>
      </c>
      <c r="D495" s="70" t="e">
        <v>#N/A</v>
      </c>
      <c r="E495" s="48"/>
      <c r="F495" s="48" t="str">
        <f t="array" ref="F495">XLOOKUP($D495,REGOLITOS!$A:$A,REGOLITOS!F:F)</f>
        <v>#N/A</v>
      </c>
      <c r="G495" s="48" t="str">
        <f t="array" ref="G495">XLOOKUP($D495,REGOLITOS!$A:$A,REGOLITOS!G:G)</f>
        <v>#N/A</v>
      </c>
      <c r="H495" s="48" t="str">
        <f t="array" ref="H495">XLOOKUP($D495,REGOLITOS!$A:$A,REGOLITOS!H:H)</f>
        <v>#N/A</v>
      </c>
      <c r="I495" s="48" t="str">
        <f t="array" ref="I495">XLOOKUP($D495,REGOLITOS!$A:$A,REGOLITOS!I:I)</f>
        <v>#N/A</v>
      </c>
      <c r="J495" s="48" t="str">
        <f t="array" ref="J495">XLOOKUP($D495,REGOLITOS!$A:$A,REGOLITOS!J:J)</f>
        <v>#N/A</v>
      </c>
      <c r="K495" s="48" t="str">
        <f t="array" ref="K495">XLOOKUP($D495,REGOLITOS!$A:$A,REGOLITOS!K:K)</f>
        <v>#N/A</v>
      </c>
      <c r="L495" s="76"/>
      <c r="M495" s="5" t="s">
        <v>1080</v>
      </c>
      <c r="N495" s="5" t="s">
        <v>1080</v>
      </c>
      <c r="O495" s="5" t="s">
        <v>1080</v>
      </c>
      <c r="P495" s="5" t="s">
        <v>1080</v>
      </c>
      <c r="Q495" s="5" t="s">
        <v>1080</v>
      </c>
      <c r="X495" s="71">
        <f t="shared" si="5"/>
        <v>0</v>
      </c>
      <c r="Y495" s="5" t="b">
        <v>0</v>
      </c>
    </row>
    <row r="496">
      <c r="B496" s="5" t="str">
        <f t="array" ref="B496">XLOOKUP(A496, CURSOS!A:A, CURSOS!B:B)</f>
        <v>#N/A</v>
      </c>
      <c r="C496" s="75" t="str">
        <f t="array" ref="C496">XLOOKUP(A496, CURSOS!A:A, CURSOS!C:C)</f>
        <v>#N/A</v>
      </c>
      <c r="D496" s="70" t="e">
        <v>#N/A</v>
      </c>
      <c r="E496" s="48"/>
      <c r="F496" s="48" t="str">
        <f t="array" ref="F496">XLOOKUP($D496,REGOLITOS!$A:$A,REGOLITOS!F:F)</f>
        <v>#N/A</v>
      </c>
      <c r="G496" s="48" t="str">
        <f t="array" ref="G496">XLOOKUP($D496,REGOLITOS!$A:$A,REGOLITOS!G:G)</f>
        <v>#N/A</v>
      </c>
      <c r="H496" s="48" t="str">
        <f t="array" ref="H496">XLOOKUP($D496,REGOLITOS!$A:$A,REGOLITOS!H:H)</f>
        <v>#N/A</v>
      </c>
      <c r="I496" s="48" t="str">
        <f t="array" ref="I496">XLOOKUP($D496,REGOLITOS!$A:$A,REGOLITOS!I:I)</f>
        <v>#N/A</v>
      </c>
      <c r="J496" s="48" t="str">
        <f t="array" ref="J496">XLOOKUP($D496,REGOLITOS!$A:$A,REGOLITOS!J:J)</f>
        <v>#N/A</v>
      </c>
      <c r="K496" s="48" t="str">
        <f t="array" ref="K496">XLOOKUP($D496,REGOLITOS!$A:$A,REGOLITOS!K:K)</f>
        <v>#N/A</v>
      </c>
      <c r="L496" s="76"/>
      <c r="M496" s="5" t="s">
        <v>1080</v>
      </c>
      <c r="N496" s="5" t="s">
        <v>1080</v>
      </c>
      <c r="O496" s="5" t="s">
        <v>1080</v>
      </c>
      <c r="P496" s="5" t="s">
        <v>1080</v>
      </c>
      <c r="Q496" s="5" t="s">
        <v>1080</v>
      </c>
      <c r="X496" s="71">
        <f t="shared" si="5"/>
        <v>0</v>
      </c>
      <c r="Y496" s="5" t="b">
        <v>0</v>
      </c>
    </row>
    <row r="497">
      <c r="B497" s="5" t="str">
        <f t="array" ref="B497">XLOOKUP(A497, CURSOS!A:A, CURSOS!B:B)</f>
        <v>#N/A</v>
      </c>
      <c r="C497" s="75" t="str">
        <f t="array" ref="C497">XLOOKUP(A497, CURSOS!A:A, CURSOS!C:C)</f>
        <v>#N/A</v>
      </c>
      <c r="D497" s="70" t="e">
        <v>#N/A</v>
      </c>
      <c r="E497" s="48"/>
      <c r="F497" s="48" t="str">
        <f t="array" ref="F497">XLOOKUP($D497,REGOLITOS!$A:$A,REGOLITOS!F:F)</f>
        <v>#N/A</v>
      </c>
      <c r="G497" s="48" t="str">
        <f t="array" ref="G497">XLOOKUP($D497,REGOLITOS!$A:$A,REGOLITOS!G:G)</f>
        <v>#N/A</v>
      </c>
      <c r="H497" s="48" t="str">
        <f t="array" ref="H497">XLOOKUP($D497,REGOLITOS!$A:$A,REGOLITOS!H:H)</f>
        <v>#N/A</v>
      </c>
      <c r="I497" s="48" t="str">
        <f t="array" ref="I497">XLOOKUP($D497,REGOLITOS!$A:$A,REGOLITOS!I:I)</f>
        <v>#N/A</v>
      </c>
      <c r="J497" s="48" t="str">
        <f t="array" ref="J497">XLOOKUP($D497,REGOLITOS!$A:$A,REGOLITOS!J:J)</f>
        <v>#N/A</v>
      </c>
      <c r="K497" s="48" t="str">
        <f t="array" ref="K497">XLOOKUP($D497,REGOLITOS!$A:$A,REGOLITOS!K:K)</f>
        <v>#N/A</v>
      </c>
      <c r="L497" s="76"/>
      <c r="M497" s="5" t="s">
        <v>1080</v>
      </c>
      <c r="N497" s="5" t="s">
        <v>1080</v>
      </c>
      <c r="O497" s="5" t="s">
        <v>1080</v>
      </c>
      <c r="P497" s="5" t="s">
        <v>1080</v>
      </c>
      <c r="Q497" s="5" t="s">
        <v>1080</v>
      </c>
      <c r="X497" s="71">
        <f t="shared" si="5"/>
        <v>0</v>
      </c>
      <c r="Y497" s="5" t="b">
        <v>0</v>
      </c>
    </row>
    <row r="498">
      <c r="B498" s="5" t="str">
        <f t="array" ref="B498">XLOOKUP(A498, CURSOS!A:A, CURSOS!B:B)</f>
        <v>#N/A</v>
      </c>
      <c r="C498" s="75" t="str">
        <f t="array" ref="C498">XLOOKUP(A498, CURSOS!A:A, CURSOS!C:C)</f>
        <v>#N/A</v>
      </c>
      <c r="D498" s="70" t="e">
        <v>#N/A</v>
      </c>
      <c r="E498" s="48"/>
      <c r="F498" s="48" t="str">
        <f t="array" ref="F498">XLOOKUP($D498,REGOLITOS!$A:$A,REGOLITOS!F:F)</f>
        <v>#N/A</v>
      </c>
      <c r="G498" s="48" t="str">
        <f t="array" ref="G498">XLOOKUP($D498,REGOLITOS!$A:$A,REGOLITOS!G:G)</f>
        <v>#N/A</v>
      </c>
      <c r="H498" s="48" t="str">
        <f t="array" ref="H498">XLOOKUP($D498,REGOLITOS!$A:$A,REGOLITOS!H:H)</f>
        <v>#N/A</v>
      </c>
      <c r="I498" s="48" t="str">
        <f t="array" ref="I498">XLOOKUP($D498,REGOLITOS!$A:$A,REGOLITOS!I:I)</f>
        <v>#N/A</v>
      </c>
      <c r="J498" s="48" t="str">
        <f t="array" ref="J498">XLOOKUP($D498,REGOLITOS!$A:$A,REGOLITOS!J:J)</f>
        <v>#N/A</v>
      </c>
      <c r="K498" s="48" t="str">
        <f t="array" ref="K498">XLOOKUP($D498,REGOLITOS!$A:$A,REGOLITOS!K:K)</f>
        <v>#N/A</v>
      </c>
      <c r="L498" s="76"/>
      <c r="M498" s="5" t="s">
        <v>1080</v>
      </c>
      <c r="N498" s="5" t="s">
        <v>1080</v>
      </c>
      <c r="O498" s="5" t="s">
        <v>1080</v>
      </c>
      <c r="P498" s="5" t="s">
        <v>1080</v>
      </c>
      <c r="Q498" s="5" t="s">
        <v>1080</v>
      </c>
      <c r="X498" s="71">
        <f t="shared" si="5"/>
        <v>0</v>
      </c>
      <c r="Y498" s="5" t="b">
        <v>0</v>
      </c>
    </row>
    <row r="499">
      <c r="B499" s="5" t="str">
        <f t="array" ref="B499">XLOOKUP(A499, CURSOS!A:A, CURSOS!B:B)</f>
        <v>#N/A</v>
      </c>
      <c r="C499" s="75" t="str">
        <f t="array" ref="C499">XLOOKUP(A499, CURSOS!A:A, CURSOS!C:C)</f>
        <v>#N/A</v>
      </c>
      <c r="D499" s="70" t="e">
        <v>#N/A</v>
      </c>
      <c r="E499" s="48"/>
      <c r="F499" s="48" t="str">
        <f t="array" ref="F499">XLOOKUP($D499,REGOLITOS!$A:$A,REGOLITOS!F:F)</f>
        <v>#N/A</v>
      </c>
      <c r="G499" s="48" t="str">
        <f t="array" ref="G499">XLOOKUP($D499,REGOLITOS!$A:$A,REGOLITOS!G:G)</f>
        <v>#N/A</v>
      </c>
      <c r="H499" s="48" t="str">
        <f t="array" ref="H499">XLOOKUP($D499,REGOLITOS!$A:$A,REGOLITOS!H:H)</f>
        <v>#N/A</v>
      </c>
      <c r="I499" s="48" t="str">
        <f t="array" ref="I499">XLOOKUP($D499,REGOLITOS!$A:$A,REGOLITOS!I:I)</f>
        <v>#N/A</v>
      </c>
      <c r="J499" s="48" t="str">
        <f t="array" ref="J499">XLOOKUP($D499,REGOLITOS!$A:$A,REGOLITOS!J:J)</f>
        <v>#N/A</v>
      </c>
      <c r="K499" s="48" t="str">
        <f t="array" ref="K499">XLOOKUP($D499,REGOLITOS!$A:$A,REGOLITOS!K:K)</f>
        <v>#N/A</v>
      </c>
      <c r="L499" s="76"/>
      <c r="M499" s="5" t="s">
        <v>1080</v>
      </c>
      <c r="N499" s="5" t="s">
        <v>1080</v>
      </c>
      <c r="O499" s="5" t="s">
        <v>1080</v>
      </c>
      <c r="P499" s="5" t="s">
        <v>1080</v>
      </c>
      <c r="Q499" s="5" t="s">
        <v>1080</v>
      </c>
      <c r="X499" s="71">
        <f t="shared" si="5"/>
        <v>0</v>
      </c>
      <c r="Y499" s="5" t="b">
        <v>0</v>
      </c>
    </row>
    <row r="500">
      <c r="B500" s="5" t="str">
        <f t="array" ref="B500">XLOOKUP(A500, CURSOS!A:A, CURSOS!B:B)</f>
        <v>#N/A</v>
      </c>
      <c r="C500" s="75" t="str">
        <f t="array" ref="C500">XLOOKUP(A500, CURSOS!A:A, CURSOS!C:C)</f>
        <v>#N/A</v>
      </c>
      <c r="D500" s="70" t="e">
        <v>#N/A</v>
      </c>
      <c r="E500" s="48"/>
      <c r="F500" s="48" t="str">
        <f t="array" ref="F500">XLOOKUP($D500,REGOLITOS!$A:$A,REGOLITOS!F:F)</f>
        <v>#N/A</v>
      </c>
      <c r="G500" s="48" t="str">
        <f t="array" ref="G500">XLOOKUP($D500,REGOLITOS!$A:$A,REGOLITOS!G:G)</f>
        <v>#N/A</v>
      </c>
      <c r="H500" s="48" t="str">
        <f t="array" ref="H500">XLOOKUP($D500,REGOLITOS!$A:$A,REGOLITOS!H:H)</f>
        <v>#N/A</v>
      </c>
      <c r="I500" s="48" t="str">
        <f t="array" ref="I500">XLOOKUP($D500,REGOLITOS!$A:$A,REGOLITOS!I:I)</f>
        <v>#N/A</v>
      </c>
      <c r="J500" s="48" t="str">
        <f t="array" ref="J500">XLOOKUP($D500,REGOLITOS!$A:$A,REGOLITOS!J:J)</f>
        <v>#N/A</v>
      </c>
      <c r="K500" s="48" t="str">
        <f t="array" ref="K500">XLOOKUP($D500,REGOLITOS!$A:$A,REGOLITOS!K:K)</f>
        <v>#N/A</v>
      </c>
      <c r="L500" s="76"/>
      <c r="M500" s="5" t="s">
        <v>1080</v>
      </c>
      <c r="N500" s="5" t="s">
        <v>1080</v>
      </c>
      <c r="O500" s="5" t="s">
        <v>1080</v>
      </c>
      <c r="P500" s="5" t="s">
        <v>1080</v>
      </c>
      <c r="Q500" s="5" t="s">
        <v>1080</v>
      </c>
      <c r="X500" s="71">
        <f t="shared" si="5"/>
        <v>0</v>
      </c>
      <c r="Y500" s="5" t="b">
        <v>0</v>
      </c>
    </row>
    <row r="501">
      <c r="B501" s="5" t="str">
        <f t="array" ref="B501">XLOOKUP(A501, CURSOS!A:A, CURSOS!B:B)</f>
        <v>#N/A</v>
      </c>
      <c r="C501" s="75" t="str">
        <f t="array" ref="C501">XLOOKUP(A501, CURSOS!A:A, CURSOS!C:C)</f>
        <v>#N/A</v>
      </c>
      <c r="D501" s="70" t="e">
        <v>#N/A</v>
      </c>
      <c r="E501" s="48"/>
      <c r="F501" s="48" t="str">
        <f t="array" ref="F501">XLOOKUP($D501,REGOLITOS!$A:$A,REGOLITOS!F:F)</f>
        <v>#N/A</v>
      </c>
      <c r="G501" s="48" t="str">
        <f t="array" ref="G501">XLOOKUP($D501,REGOLITOS!$A:$A,REGOLITOS!G:G)</f>
        <v>#N/A</v>
      </c>
      <c r="H501" s="48" t="str">
        <f t="array" ref="H501">XLOOKUP($D501,REGOLITOS!$A:$A,REGOLITOS!H:H)</f>
        <v>#N/A</v>
      </c>
      <c r="I501" s="48" t="str">
        <f t="array" ref="I501">XLOOKUP($D501,REGOLITOS!$A:$A,REGOLITOS!I:I)</f>
        <v>#N/A</v>
      </c>
      <c r="J501" s="48" t="str">
        <f t="array" ref="J501">XLOOKUP($D501,REGOLITOS!$A:$A,REGOLITOS!J:J)</f>
        <v>#N/A</v>
      </c>
      <c r="K501" s="48" t="str">
        <f t="array" ref="K501">XLOOKUP($D501,REGOLITOS!$A:$A,REGOLITOS!K:K)</f>
        <v>#N/A</v>
      </c>
      <c r="L501" s="76"/>
      <c r="M501" s="5" t="s">
        <v>1080</v>
      </c>
      <c r="N501" s="5" t="s">
        <v>1080</v>
      </c>
      <c r="O501" s="5" t="s">
        <v>1080</v>
      </c>
      <c r="P501" s="5" t="s">
        <v>1080</v>
      </c>
      <c r="Q501" s="5" t="s">
        <v>1080</v>
      </c>
      <c r="X501" s="71">
        <f t="shared" si="5"/>
        <v>0</v>
      </c>
      <c r="Y501" s="5" t="b">
        <v>0</v>
      </c>
    </row>
    <row r="502">
      <c r="B502" s="5" t="str">
        <f t="array" ref="B502">XLOOKUP(A502, CURSOS!A:A, CURSOS!B:B)</f>
        <v>#N/A</v>
      </c>
      <c r="C502" s="75" t="str">
        <f t="array" ref="C502">XLOOKUP(A502, CURSOS!A:A, CURSOS!C:C)</f>
        <v>#N/A</v>
      </c>
      <c r="D502" s="70" t="e">
        <v>#N/A</v>
      </c>
      <c r="E502" s="48"/>
      <c r="F502" s="48" t="str">
        <f t="array" ref="F502">XLOOKUP($D502,REGOLITOS!$A:$A,REGOLITOS!F:F)</f>
        <v>#N/A</v>
      </c>
      <c r="G502" s="48" t="str">
        <f t="array" ref="G502">XLOOKUP($D502,REGOLITOS!$A:$A,REGOLITOS!G:G)</f>
        <v>#N/A</v>
      </c>
      <c r="H502" s="48" t="str">
        <f t="array" ref="H502">XLOOKUP($D502,REGOLITOS!$A:$A,REGOLITOS!H:H)</f>
        <v>#N/A</v>
      </c>
      <c r="I502" s="48" t="str">
        <f t="array" ref="I502">XLOOKUP($D502,REGOLITOS!$A:$A,REGOLITOS!I:I)</f>
        <v>#N/A</v>
      </c>
      <c r="J502" s="48" t="str">
        <f t="array" ref="J502">XLOOKUP($D502,REGOLITOS!$A:$A,REGOLITOS!J:J)</f>
        <v>#N/A</v>
      </c>
      <c r="K502" s="48" t="str">
        <f t="array" ref="K502">XLOOKUP($D502,REGOLITOS!$A:$A,REGOLITOS!K:K)</f>
        <v>#N/A</v>
      </c>
      <c r="L502" s="76"/>
      <c r="M502" s="5" t="s">
        <v>1080</v>
      </c>
      <c r="N502" s="5" t="s">
        <v>1080</v>
      </c>
      <c r="O502" s="5" t="s">
        <v>1080</v>
      </c>
      <c r="P502" s="5" t="s">
        <v>1080</v>
      </c>
      <c r="Q502" s="5" t="s">
        <v>1080</v>
      </c>
      <c r="X502" s="71">
        <f t="shared" si="5"/>
        <v>0</v>
      </c>
      <c r="Y502" s="5" t="b">
        <v>0</v>
      </c>
    </row>
    <row r="503">
      <c r="B503" s="5" t="str">
        <f t="array" ref="B503">XLOOKUP(A503, CURSOS!A:A, CURSOS!B:B)</f>
        <v>#N/A</v>
      </c>
      <c r="C503" s="75" t="str">
        <f t="array" ref="C503">XLOOKUP(A503, CURSOS!A:A, CURSOS!C:C)</f>
        <v>#N/A</v>
      </c>
      <c r="D503" s="70" t="e">
        <v>#N/A</v>
      </c>
      <c r="E503" s="48"/>
      <c r="F503" s="48" t="str">
        <f t="array" ref="F503">XLOOKUP($D503,REGOLITOS!$A:$A,REGOLITOS!F:F)</f>
        <v>#N/A</v>
      </c>
      <c r="G503" s="48" t="str">
        <f t="array" ref="G503">XLOOKUP($D503,REGOLITOS!$A:$A,REGOLITOS!G:G)</f>
        <v>#N/A</v>
      </c>
      <c r="H503" s="48" t="str">
        <f t="array" ref="H503">XLOOKUP($D503,REGOLITOS!$A:$A,REGOLITOS!H:H)</f>
        <v>#N/A</v>
      </c>
      <c r="I503" s="48" t="str">
        <f t="array" ref="I503">XLOOKUP($D503,REGOLITOS!$A:$A,REGOLITOS!I:I)</f>
        <v>#N/A</v>
      </c>
      <c r="J503" s="48" t="str">
        <f t="array" ref="J503">XLOOKUP($D503,REGOLITOS!$A:$A,REGOLITOS!J:J)</f>
        <v>#N/A</v>
      </c>
      <c r="K503" s="48" t="str">
        <f t="array" ref="K503">XLOOKUP($D503,REGOLITOS!$A:$A,REGOLITOS!K:K)</f>
        <v>#N/A</v>
      </c>
      <c r="L503" s="76"/>
      <c r="M503" s="5" t="s">
        <v>1080</v>
      </c>
      <c r="N503" s="5" t="s">
        <v>1080</v>
      </c>
      <c r="O503" s="5" t="s">
        <v>1080</v>
      </c>
      <c r="P503" s="5" t="s">
        <v>1080</v>
      </c>
      <c r="Q503" s="5" t="s">
        <v>1080</v>
      </c>
      <c r="X503" s="71">
        <f t="shared" si="5"/>
        <v>0</v>
      </c>
      <c r="Y503" s="5" t="b">
        <v>0</v>
      </c>
    </row>
    <row r="504">
      <c r="B504" s="5" t="str">
        <f t="array" ref="B504">XLOOKUP(A504, CURSOS!A:A, CURSOS!B:B)</f>
        <v>#N/A</v>
      </c>
      <c r="C504" s="75" t="str">
        <f t="array" ref="C504">XLOOKUP(A504, CURSOS!A:A, CURSOS!C:C)</f>
        <v>#N/A</v>
      </c>
      <c r="D504" s="70" t="e">
        <v>#N/A</v>
      </c>
      <c r="E504" s="48"/>
      <c r="F504" s="48" t="str">
        <f t="array" ref="F504">XLOOKUP($D504,REGOLITOS!$A:$A,REGOLITOS!F:F)</f>
        <v>#N/A</v>
      </c>
      <c r="G504" s="48" t="str">
        <f t="array" ref="G504">XLOOKUP($D504,REGOLITOS!$A:$A,REGOLITOS!G:G)</f>
        <v>#N/A</v>
      </c>
      <c r="H504" s="48" t="str">
        <f t="array" ref="H504">XLOOKUP($D504,REGOLITOS!$A:$A,REGOLITOS!H:H)</f>
        <v>#N/A</v>
      </c>
      <c r="I504" s="48" t="str">
        <f t="array" ref="I504">XLOOKUP($D504,REGOLITOS!$A:$A,REGOLITOS!I:I)</f>
        <v>#N/A</v>
      </c>
      <c r="J504" s="48" t="str">
        <f t="array" ref="J504">XLOOKUP($D504,REGOLITOS!$A:$A,REGOLITOS!J:J)</f>
        <v>#N/A</v>
      </c>
      <c r="K504" s="48" t="str">
        <f t="array" ref="K504">XLOOKUP($D504,REGOLITOS!$A:$A,REGOLITOS!K:K)</f>
        <v>#N/A</v>
      </c>
      <c r="L504" s="76"/>
      <c r="M504" s="5" t="s">
        <v>1080</v>
      </c>
      <c r="N504" s="5" t="s">
        <v>1080</v>
      </c>
      <c r="O504" s="5" t="s">
        <v>1080</v>
      </c>
      <c r="P504" s="5" t="s">
        <v>1080</v>
      </c>
      <c r="Q504" s="5" t="s">
        <v>1080</v>
      </c>
      <c r="X504" s="71">
        <f t="shared" si="5"/>
        <v>0</v>
      </c>
      <c r="Y504" s="5" t="b">
        <v>0</v>
      </c>
    </row>
    <row r="505">
      <c r="B505" s="5" t="str">
        <f t="array" ref="B505">XLOOKUP(A505, CURSOS!A:A, CURSOS!B:B)</f>
        <v>#N/A</v>
      </c>
      <c r="C505" s="75" t="str">
        <f t="array" ref="C505">XLOOKUP(A505, CURSOS!A:A, CURSOS!C:C)</f>
        <v>#N/A</v>
      </c>
      <c r="D505" s="70" t="e">
        <v>#N/A</v>
      </c>
      <c r="E505" s="48"/>
      <c r="F505" s="48" t="str">
        <f t="array" ref="F505">XLOOKUP($D505,REGOLITOS!$A:$A,REGOLITOS!F:F)</f>
        <v>#N/A</v>
      </c>
      <c r="G505" s="48" t="str">
        <f t="array" ref="G505">XLOOKUP($D505,REGOLITOS!$A:$A,REGOLITOS!G:G)</f>
        <v>#N/A</v>
      </c>
      <c r="H505" s="48" t="str">
        <f t="array" ref="H505">XLOOKUP($D505,REGOLITOS!$A:$A,REGOLITOS!H:H)</f>
        <v>#N/A</v>
      </c>
      <c r="I505" s="48" t="str">
        <f t="array" ref="I505">XLOOKUP($D505,REGOLITOS!$A:$A,REGOLITOS!I:I)</f>
        <v>#N/A</v>
      </c>
      <c r="J505" s="48" t="str">
        <f t="array" ref="J505">XLOOKUP($D505,REGOLITOS!$A:$A,REGOLITOS!J:J)</f>
        <v>#N/A</v>
      </c>
      <c r="K505" s="48" t="str">
        <f t="array" ref="K505">XLOOKUP($D505,REGOLITOS!$A:$A,REGOLITOS!K:K)</f>
        <v>#N/A</v>
      </c>
      <c r="L505" s="76"/>
      <c r="M505" s="5" t="s">
        <v>1080</v>
      </c>
      <c r="N505" s="5" t="s">
        <v>1080</v>
      </c>
      <c r="O505" s="5" t="s">
        <v>1080</v>
      </c>
      <c r="P505" s="5" t="s">
        <v>1080</v>
      </c>
      <c r="Q505" s="5" t="s">
        <v>1080</v>
      </c>
      <c r="X505" s="71">
        <f t="shared" si="5"/>
        <v>0</v>
      </c>
      <c r="Y505" s="5" t="b">
        <v>0</v>
      </c>
    </row>
    <row r="506">
      <c r="B506" s="5" t="str">
        <f t="array" ref="B506">XLOOKUP(A506, CURSOS!A:A, CURSOS!B:B)</f>
        <v>#N/A</v>
      </c>
      <c r="C506" s="75" t="str">
        <f t="array" ref="C506">XLOOKUP(A506, CURSOS!A:A, CURSOS!C:C)</f>
        <v>#N/A</v>
      </c>
      <c r="D506" s="70" t="e">
        <v>#N/A</v>
      </c>
      <c r="E506" s="48"/>
      <c r="F506" s="48" t="str">
        <f t="array" ref="F506">XLOOKUP($D506,REGOLITOS!$A:$A,REGOLITOS!F:F)</f>
        <v>#N/A</v>
      </c>
      <c r="G506" s="48" t="str">
        <f t="array" ref="G506">XLOOKUP($D506,REGOLITOS!$A:$A,REGOLITOS!G:G)</f>
        <v>#N/A</v>
      </c>
      <c r="H506" s="48" t="str">
        <f t="array" ref="H506">XLOOKUP($D506,REGOLITOS!$A:$A,REGOLITOS!H:H)</f>
        <v>#N/A</v>
      </c>
      <c r="I506" s="48" t="str">
        <f t="array" ref="I506">XLOOKUP($D506,REGOLITOS!$A:$A,REGOLITOS!I:I)</f>
        <v>#N/A</v>
      </c>
      <c r="J506" s="48" t="str">
        <f t="array" ref="J506">XLOOKUP($D506,REGOLITOS!$A:$A,REGOLITOS!J:J)</f>
        <v>#N/A</v>
      </c>
      <c r="K506" s="48" t="str">
        <f t="array" ref="K506">XLOOKUP($D506,REGOLITOS!$A:$A,REGOLITOS!K:K)</f>
        <v>#N/A</v>
      </c>
      <c r="L506" s="76"/>
      <c r="M506" s="5" t="s">
        <v>1080</v>
      </c>
      <c r="N506" s="5" t="s">
        <v>1080</v>
      </c>
      <c r="O506" s="5" t="s">
        <v>1080</v>
      </c>
      <c r="P506" s="5" t="s">
        <v>1080</v>
      </c>
      <c r="Q506" s="5" t="s">
        <v>1080</v>
      </c>
      <c r="X506" s="71">
        <f t="shared" si="5"/>
        <v>0</v>
      </c>
      <c r="Y506" s="5" t="b">
        <v>0</v>
      </c>
    </row>
    <row r="507">
      <c r="B507" s="5" t="str">
        <f t="array" ref="B507">XLOOKUP(A507, CURSOS!A:A, CURSOS!B:B)</f>
        <v>#N/A</v>
      </c>
      <c r="C507" s="75" t="str">
        <f t="array" ref="C507">XLOOKUP(A507, CURSOS!A:A, CURSOS!C:C)</f>
        <v>#N/A</v>
      </c>
      <c r="D507" s="70" t="e">
        <v>#N/A</v>
      </c>
      <c r="E507" s="48"/>
      <c r="F507" s="48" t="str">
        <f t="array" ref="F507">XLOOKUP($D507,REGOLITOS!$A:$A,REGOLITOS!F:F)</f>
        <v>#N/A</v>
      </c>
      <c r="G507" s="48" t="str">
        <f t="array" ref="G507">XLOOKUP($D507,REGOLITOS!$A:$A,REGOLITOS!G:G)</f>
        <v>#N/A</v>
      </c>
      <c r="H507" s="48" t="str">
        <f t="array" ref="H507">XLOOKUP($D507,REGOLITOS!$A:$A,REGOLITOS!H:H)</f>
        <v>#N/A</v>
      </c>
      <c r="I507" s="48" t="str">
        <f t="array" ref="I507">XLOOKUP($D507,REGOLITOS!$A:$A,REGOLITOS!I:I)</f>
        <v>#N/A</v>
      </c>
      <c r="J507" s="48" t="str">
        <f t="array" ref="J507">XLOOKUP($D507,REGOLITOS!$A:$A,REGOLITOS!J:J)</f>
        <v>#N/A</v>
      </c>
      <c r="K507" s="48" t="str">
        <f t="array" ref="K507">XLOOKUP($D507,REGOLITOS!$A:$A,REGOLITOS!K:K)</f>
        <v>#N/A</v>
      </c>
      <c r="L507" s="76"/>
      <c r="M507" s="5" t="s">
        <v>1080</v>
      </c>
      <c r="N507" s="5" t="s">
        <v>1080</v>
      </c>
      <c r="O507" s="5" t="s">
        <v>1080</v>
      </c>
      <c r="P507" s="5" t="s">
        <v>1080</v>
      </c>
      <c r="Q507" s="5" t="s">
        <v>1080</v>
      </c>
      <c r="X507" s="71">
        <f t="shared" si="5"/>
        <v>0</v>
      </c>
      <c r="Y507" s="5" t="b">
        <v>0</v>
      </c>
    </row>
    <row r="508">
      <c r="B508" s="5" t="str">
        <f t="array" ref="B508">XLOOKUP(A508, CURSOS!A:A, CURSOS!B:B)</f>
        <v>#N/A</v>
      </c>
      <c r="C508" s="75" t="str">
        <f t="array" ref="C508">XLOOKUP(A508, CURSOS!A:A, CURSOS!C:C)</f>
        <v>#N/A</v>
      </c>
      <c r="D508" s="70" t="e">
        <v>#N/A</v>
      </c>
      <c r="E508" s="48"/>
      <c r="F508" s="48" t="str">
        <f t="array" ref="F508">XLOOKUP($D508,REGOLITOS!$A:$A,REGOLITOS!F:F)</f>
        <v>#N/A</v>
      </c>
      <c r="G508" s="48" t="str">
        <f t="array" ref="G508">XLOOKUP($D508,REGOLITOS!$A:$A,REGOLITOS!G:G)</f>
        <v>#N/A</v>
      </c>
      <c r="H508" s="48" t="str">
        <f t="array" ref="H508">XLOOKUP($D508,REGOLITOS!$A:$A,REGOLITOS!H:H)</f>
        <v>#N/A</v>
      </c>
      <c r="I508" s="48" t="str">
        <f t="array" ref="I508">XLOOKUP($D508,REGOLITOS!$A:$A,REGOLITOS!I:I)</f>
        <v>#N/A</v>
      </c>
      <c r="J508" s="48" t="str">
        <f t="array" ref="J508">XLOOKUP($D508,REGOLITOS!$A:$A,REGOLITOS!J:J)</f>
        <v>#N/A</v>
      </c>
      <c r="K508" s="48" t="str">
        <f t="array" ref="K508">XLOOKUP($D508,REGOLITOS!$A:$A,REGOLITOS!K:K)</f>
        <v>#N/A</v>
      </c>
      <c r="L508" s="76"/>
      <c r="M508" s="5" t="s">
        <v>1080</v>
      </c>
      <c r="N508" s="5" t="s">
        <v>1080</v>
      </c>
      <c r="O508" s="5" t="s">
        <v>1080</v>
      </c>
      <c r="P508" s="5" t="s">
        <v>1080</v>
      </c>
      <c r="Q508" s="5" t="s">
        <v>1080</v>
      </c>
      <c r="X508" s="71">
        <f t="shared" si="5"/>
        <v>0</v>
      </c>
      <c r="Y508" s="5" t="b">
        <v>0</v>
      </c>
    </row>
    <row r="509">
      <c r="B509" s="5" t="str">
        <f t="array" ref="B509">XLOOKUP(A509, CURSOS!A:A, CURSOS!B:B)</f>
        <v>#N/A</v>
      </c>
      <c r="C509" s="75" t="str">
        <f t="array" ref="C509">XLOOKUP(A509, CURSOS!A:A, CURSOS!C:C)</f>
        <v>#N/A</v>
      </c>
      <c r="D509" s="70" t="e">
        <v>#N/A</v>
      </c>
      <c r="E509" s="48"/>
      <c r="F509" s="48" t="str">
        <f t="array" ref="F509">XLOOKUP($D509,REGOLITOS!$A:$A,REGOLITOS!F:F)</f>
        <v>#N/A</v>
      </c>
      <c r="G509" s="48" t="str">
        <f t="array" ref="G509">XLOOKUP($D509,REGOLITOS!$A:$A,REGOLITOS!G:G)</f>
        <v>#N/A</v>
      </c>
      <c r="H509" s="48" t="str">
        <f t="array" ref="H509">XLOOKUP($D509,REGOLITOS!$A:$A,REGOLITOS!H:H)</f>
        <v>#N/A</v>
      </c>
      <c r="I509" s="48" t="str">
        <f t="array" ref="I509">XLOOKUP($D509,REGOLITOS!$A:$A,REGOLITOS!I:I)</f>
        <v>#N/A</v>
      </c>
      <c r="J509" s="48" t="str">
        <f t="array" ref="J509">XLOOKUP($D509,REGOLITOS!$A:$A,REGOLITOS!J:J)</f>
        <v>#N/A</v>
      </c>
      <c r="K509" s="48" t="str">
        <f t="array" ref="K509">XLOOKUP($D509,REGOLITOS!$A:$A,REGOLITOS!K:K)</f>
        <v>#N/A</v>
      </c>
      <c r="L509" s="76"/>
      <c r="M509" s="5" t="s">
        <v>1080</v>
      </c>
      <c r="N509" s="5" t="s">
        <v>1080</v>
      </c>
      <c r="O509" s="5" t="s">
        <v>1080</v>
      </c>
      <c r="P509" s="5" t="s">
        <v>1080</v>
      </c>
      <c r="Q509" s="5" t="s">
        <v>1080</v>
      </c>
      <c r="X509" s="71">
        <f t="shared" si="5"/>
        <v>0</v>
      </c>
      <c r="Y509" s="5" t="b">
        <v>0</v>
      </c>
    </row>
    <row r="510">
      <c r="B510" s="5" t="str">
        <f t="array" ref="B510">XLOOKUP(A510, CURSOS!A:A, CURSOS!B:B)</f>
        <v>#N/A</v>
      </c>
      <c r="C510" s="75" t="str">
        <f t="array" ref="C510">XLOOKUP(A510, CURSOS!A:A, CURSOS!C:C)</f>
        <v>#N/A</v>
      </c>
      <c r="D510" s="70" t="e">
        <v>#N/A</v>
      </c>
      <c r="E510" s="48"/>
      <c r="F510" s="48" t="str">
        <f t="array" ref="F510">XLOOKUP($D510,REGOLITOS!$A:$A,REGOLITOS!F:F)</f>
        <v>#N/A</v>
      </c>
      <c r="G510" s="48" t="str">
        <f t="array" ref="G510">XLOOKUP($D510,REGOLITOS!$A:$A,REGOLITOS!G:G)</f>
        <v>#N/A</v>
      </c>
      <c r="H510" s="48" t="str">
        <f t="array" ref="H510">XLOOKUP($D510,REGOLITOS!$A:$A,REGOLITOS!H:H)</f>
        <v>#N/A</v>
      </c>
      <c r="I510" s="48" t="str">
        <f t="array" ref="I510">XLOOKUP($D510,REGOLITOS!$A:$A,REGOLITOS!I:I)</f>
        <v>#N/A</v>
      </c>
      <c r="J510" s="48" t="str">
        <f t="array" ref="J510">XLOOKUP($D510,REGOLITOS!$A:$A,REGOLITOS!J:J)</f>
        <v>#N/A</v>
      </c>
      <c r="K510" s="48" t="str">
        <f t="array" ref="K510">XLOOKUP($D510,REGOLITOS!$A:$A,REGOLITOS!K:K)</f>
        <v>#N/A</v>
      </c>
      <c r="L510" s="76"/>
      <c r="M510" s="5" t="s">
        <v>1080</v>
      </c>
      <c r="N510" s="5" t="s">
        <v>1080</v>
      </c>
      <c r="O510" s="5" t="s">
        <v>1080</v>
      </c>
      <c r="P510" s="5" t="s">
        <v>1080</v>
      </c>
      <c r="Q510" s="5" t="s">
        <v>1080</v>
      </c>
      <c r="X510" s="71">
        <f t="shared" si="5"/>
        <v>0</v>
      </c>
      <c r="Y510" s="5" t="b">
        <v>0</v>
      </c>
    </row>
    <row r="511">
      <c r="B511" s="5" t="str">
        <f t="array" ref="B511">XLOOKUP(A511, CURSOS!A:A, CURSOS!B:B)</f>
        <v>#N/A</v>
      </c>
      <c r="C511" s="75" t="str">
        <f t="array" ref="C511">XLOOKUP(A511, CURSOS!A:A, CURSOS!C:C)</f>
        <v>#N/A</v>
      </c>
      <c r="D511" s="70" t="e">
        <v>#N/A</v>
      </c>
      <c r="E511" s="48"/>
      <c r="F511" s="48" t="str">
        <f t="array" ref="F511">XLOOKUP($D511,REGOLITOS!$A:$A,REGOLITOS!F:F)</f>
        <v>#N/A</v>
      </c>
      <c r="G511" s="48" t="str">
        <f t="array" ref="G511">XLOOKUP($D511,REGOLITOS!$A:$A,REGOLITOS!G:G)</f>
        <v>#N/A</v>
      </c>
      <c r="H511" s="48" t="str">
        <f t="array" ref="H511">XLOOKUP($D511,REGOLITOS!$A:$A,REGOLITOS!H:H)</f>
        <v>#N/A</v>
      </c>
      <c r="I511" s="48" t="str">
        <f t="array" ref="I511">XLOOKUP($D511,REGOLITOS!$A:$A,REGOLITOS!I:I)</f>
        <v>#N/A</v>
      </c>
      <c r="J511" s="48" t="str">
        <f t="array" ref="J511">XLOOKUP($D511,REGOLITOS!$A:$A,REGOLITOS!J:J)</f>
        <v>#N/A</v>
      </c>
      <c r="K511" s="48" t="str">
        <f t="array" ref="K511">XLOOKUP($D511,REGOLITOS!$A:$A,REGOLITOS!K:K)</f>
        <v>#N/A</v>
      </c>
      <c r="L511" s="76"/>
      <c r="M511" s="5" t="s">
        <v>1080</v>
      </c>
      <c r="N511" s="5" t="s">
        <v>1080</v>
      </c>
      <c r="O511" s="5" t="s">
        <v>1080</v>
      </c>
      <c r="P511" s="5" t="s">
        <v>1080</v>
      </c>
      <c r="Q511" s="5" t="s">
        <v>1080</v>
      </c>
      <c r="X511" s="71">
        <f t="shared" si="5"/>
        <v>0</v>
      </c>
      <c r="Y511" s="5" t="b">
        <v>0</v>
      </c>
    </row>
    <row r="512">
      <c r="B512" s="5" t="str">
        <f t="array" ref="B512">XLOOKUP(A512, CURSOS!A:A, CURSOS!B:B)</f>
        <v>#N/A</v>
      </c>
      <c r="C512" s="75" t="str">
        <f t="array" ref="C512">XLOOKUP(A512, CURSOS!A:A, CURSOS!C:C)</f>
        <v>#N/A</v>
      </c>
      <c r="D512" s="70" t="e">
        <v>#N/A</v>
      </c>
      <c r="E512" s="48"/>
      <c r="F512" s="48" t="str">
        <f t="array" ref="F512">XLOOKUP($D512,REGOLITOS!$A:$A,REGOLITOS!F:F)</f>
        <v>#N/A</v>
      </c>
      <c r="G512" s="48" t="str">
        <f t="array" ref="G512">XLOOKUP($D512,REGOLITOS!$A:$A,REGOLITOS!G:G)</f>
        <v>#N/A</v>
      </c>
      <c r="H512" s="48" t="str">
        <f t="array" ref="H512">XLOOKUP($D512,REGOLITOS!$A:$A,REGOLITOS!H:H)</f>
        <v>#N/A</v>
      </c>
      <c r="I512" s="48" t="str">
        <f t="array" ref="I512">XLOOKUP($D512,REGOLITOS!$A:$A,REGOLITOS!I:I)</f>
        <v>#N/A</v>
      </c>
      <c r="J512" s="48" t="str">
        <f t="array" ref="J512">XLOOKUP($D512,REGOLITOS!$A:$A,REGOLITOS!J:J)</f>
        <v>#N/A</v>
      </c>
      <c r="K512" s="48" t="str">
        <f t="array" ref="K512">XLOOKUP($D512,REGOLITOS!$A:$A,REGOLITOS!K:K)</f>
        <v>#N/A</v>
      </c>
      <c r="L512" s="76"/>
      <c r="M512" s="5" t="s">
        <v>1080</v>
      </c>
      <c r="N512" s="5" t="s">
        <v>1080</v>
      </c>
      <c r="O512" s="5" t="s">
        <v>1080</v>
      </c>
      <c r="P512" s="5" t="s">
        <v>1080</v>
      </c>
      <c r="Q512" s="5" t="s">
        <v>1080</v>
      </c>
      <c r="X512" s="71">
        <f t="shared" si="5"/>
        <v>0</v>
      </c>
      <c r="Y512" s="5" t="b">
        <v>0</v>
      </c>
    </row>
    <row r="513">
      <c r="B513" s="5" t="str">
        <f t="array" ref="B513">XLOOKUP(A513, CURSOS!A:A, CURSOS!B:B)</f>
        <v>#N/A</v>
      </c>
      <c r="C513" s="75" t="str">
        <f t="array" ref="C513">XLOOKUP(A513, CURSOS!A:A, CURSOS!C:C)</f>
        <v>#N/A</v>
      </c>
      <c r="D513" s="70" t="e">
        <v>#N/A</v>
      </c>
      <c r="E513" s="48"/>
      <c r="F513" s="48" t="str">
        <f t="array" ref="F513">XLOOKUP($D513,REGOLITOS!$A:$A,REGOLITOS!F:F)</f>
        <v>#N/A</v>
      </c>
      <c r="G513" s="48" t="str">
        <f t="array" ref="G513">XLOOKUP($D513,REGOLITOS!$A:$A,REGOLITOS!G:G)</f>
        <v>#N/A</v>
      </c>
      <c r="H513" s="48" t="str">
        <f t="array" ref="H513">XLOOKUP($D513,REGOLITOS!$A:$A,REGOLITOS!H:H)</f>
        <v>#N/A</v>
      </c>
      <c r="I513" s="48" t="str">
        <f t="array" ref="I513">XLOOKUP($D513,REGOLITOS!$A:$A,REGOLITOS!I:I)</f>
        <v>#N/A</v>
      </c>
      <c r="J513" s="48" t="str">
        <f t="array" ref="J513">XLOOKUP($D513,REGOLITOS!$A:$A,REGOLITOS!J:J)</f>
        <v>#N/A</v>
      </c>
      <c r="K513" s="48" t="str">
        <f t="array" ref="K513">XLOOKUP($D513,REGOLITOS!$A:$A,REGOLITOS!K:K)</f>
        <v>#N/A</v>
      </c>
      <c r="L513" s="76"/>
      <c r="M513" s="5" t="s">
        <v>1080</v>
      </c>
      <c r="N513" s="5" t="s">
        <v>1080</v>
      </c>
      <c r="O513" s="5" t="s">
        <v>1080</v>
      </c>
      <c r="P513" s="5" t="s">
        <v>1080</v>
      </c>
      <c r="Q513" s="5" t="s">
        <v>1080</v>
      </c>
      <c r="X513" s="71">
        <f t="shared" si="5"/>
        <v>0</v>
      </c>
      <c r="Y513" s="5" t="b">
        <v>0</v>
      </c>
    </row>
    <row r="514">
      <c r="B514" s="5" t="str">
        <f t="array" ref="B514">XLOOKUP(A514, CURSOS!A:A, CURSOS!B:B)</f>
        <v>#N/A</v>
      </c>
      <c r="C514" s="75" t="str">
        <f t="array" ref="C514">XLOOKUP(A514, CURSOS!A:A, CURSOS!C:C)</f>
        <v>#N/A</v>
      </c>
      <c r="D514" s="70" t="e">
        <v>#N/A</v>
      </c>
      <c r="E514" s="48"/>
      <c r="F514" s="48" t="str">
        <f t="array" ref="F514">XLOOKUP($D514,REGOLITOS!$A:$A,REGOLITOS!F:F)</f>
        <v>#N/A</v>
      </c>
      <c r="G514" s="48" t="str">
        <f t="array" ref="G514">XLOOKUP($D514,REGOLITOS!$A:$A,REGOLITOS!G:G)</f>
        <v>#N/A</v>
      </c>
      <c r="H514" s="48" t="str">
        <f t="array" ref="H514">XLOOKUP($D514,REGOLITOS!$A:$A,REGOLITOS!H:H)</f>
        <v>#N/A</v>
      </c>
      <c r="I514" s="48" t="str">
        <f t="array" ref="I514">XLOOKUP($D514,REGOLITOS!$A:$A,REGOLITOS!I:I)</f>
        <v>#N/A</v>
      </c>
      <c r="J514" s="48" t="str">
        <f t="array" ref="J514">XLOOKUP($D514,REGOLITOS!$A:$A,REGOLITOS!J:J)</f>
        <v>#N/A</v>
      </c>
      <c r="K514" s="48" t="str">
        <f t="array" ref="K514">XLOOKUP($D514,REGOLITOS!$A:$A,REGOLITOS!K:K)</f>
        <v>#N/A</v>
      </c>
      <c r="L514" s="76"/>
      <c r="M514" s="5" t="s">
        <v>1080</v>
      </c>
      <c r="N514" s="5" t="s">
        <v>1080</v>
      </c>
      <c r="O514" s="5" t="s">
        <v>1080</v>
      </c>
      <c r="P514" s="5" t="s">
        <v>1080</v>
      </c>
      <c r="Q514" s="5" t="s">
        <v>1080</v>
      </c>
      <c r="X514" s="71">
        <f t="shared" si="5"/>
        <v>0</v>
      </c>
      <c r="Y514" s="5" t="b">
        <v>0</v>
      </c>
    </row>
    <row r="515">
      <c r="B515" s="5" t="str">
        <f t="array" ref="B515">XLOOKUP(A515, CURSOS!A:A, CURSOS!B:B)</f>
        <v>#N/A</v>
      </c>
      <c r="C515" s="75" t="str">
        <f t="array" ref="C515">XLOOKUP(A515, CURSOS!A:A, CURSOS!C:C)</f>
        <v>#N/A</v>
      </c>
      <c r="D515" s="70" t="e">
        <v>#N/A</v>
      </c>
      <c r="E515" s="48"/>
      <c r="F515" s="48" t="str">
        <f t="array" ref="F515">XLOOKUP($D515,REGOLITOS!$A:$A,REGOLITOS!F:F)</f>
        <v>#N/A</v>
      </c>
      <c r="G515" s="48" t="str">
        <f t="array" ref="G515">XLOOKUP($D515,REGOLITOS!$A:$A,REGOLITOS!G:G)</f>
        <v>#N/A</v>
      </c>
      <c r="H515" s="48" t="str">
        <f t="array" ref="H515">XLOOKUP($D515,REGOLITOS!$A:$A,REGOLITOS!H:H)</f>
        <v>#N/A</v>
      </c>
      <c r="I515" s="48" t="str">
        <f t="array" ref="I515">XLOOKUP($D515,REGOLITOS!$A:$A,REGOLITOS!I:I)</f>
        <v>#N/A</v>
      </c>
      <c r="J515" s="48" t="str">
        <f t="array" ref="J515">XLOOKUP($D515,REGOLITOS!$A:$A,REGOLITOS!J:J)</f>
        <v>#N/A</v>
      </c>
      <c r="K515" s="48" t="str">
        <f t="array" ref="K515">XLOOKUP($D515,REGOLITOS!$A:$A,REGOLITOS!K:K)</f>
        <v>#N/A</v>
      </c>
      <c r="L515" s="76"/>
      <c r="M515" s="5" t="s">
        <v>1080</v>
      </c>
      <c r="N515" s="5" t="s">
        <v>1080</v>
      </c>
      <c r="O515" s="5" t="s">
        <v>1080</v>
      </c>
      <c r="P515" s="5" t="s">
        <v>1080</v>
      </c>
      <c r="Q515" s="5" t="s">
        <v>1080</v>
      </c>
      <c r="X515" s="71">
        <f t="shared" si="5"/>
        <v>0</v>
      </c>
      <c r="Y515" s="5" t="b">
        <v>0</v>
      </c>
    </row>
    <row r="516">
      <c r="B516" s="5" t="str">
        <f t="array" ref="B516">XLOOKUP(A516, CURSOS!A:A, CURSOS!B:B)</f>
        <v>#N/A</v>
      </c>
      <c r="C516" s="75" t="str">
        <f t="array" ref="C516">XLOOKUP(A516, CURSOS!A:A, CURSOS!C:C)</f>
        <v>#N/A</v>
      </c>
      <c r="D516" s="70" t="e">
        <v>#N/A</v>
      </c>
      <c r="E516" s="48"/>
      <c r="F516" s="48" t="str">
        <f t="array" ref="F516">XLOOKUP($D516,REGOLITOS!$A:$A,REGOLITOS!F:F)</f>
        <v>#N/A</v>
      </c>
      <c r="G516" s="48" t="str">
        <f t="array" ref="G516">XLOOKUP($D516,REGOLITOS!$A:$A,REGOLITOS!G:G)</f>
        <v>#N/A</v>
      </c>
      <c r="H516" s="48" t="str">
        <f t="array" ref="H516">XLOOKUP($D516,REGOLITOS!$A:$A,REGOLITOS!H:H)</f>
        <v>#N/A</v>
      </c>
      <c r="I516" s="48" t="str">
        <f t="array" ref="I516">XLOOKUP($D516,REGOLITOS!$A:$A,REGOLITOS!I:I)</f>
        <v>#N/A</v>
      </c>
      <c r="J516" s="48" t="str">
        <f t="array" ref="J516">XLOOKUP($D516,REGOLITOS!$A:$A,REGOLITOS!J:J)</f>
        <v>#N/A</v>
      </c>
      <c r="K516" s="48" t="str">
        <f t="array" ref="K516">XLOOKUP($D516,REGOLITOS!$A:$A,REGOLITOS!K:K)</f>
        <v>#N/A</v>
      </c>
      <c r="L516" s="76"/>
      <c r="M516" s="5" t="s">
        <v>1080</v>
      </c>
      <c r="N516" s="5" t="s">
        <v>1080</v>
      </c>
      <c r="O516" s="5" t="s">
        <v>1080</v>
      </c>
      <c r="P516" s="5" t="s">
        <v>1080</v>
      </c>
      <c r="Q516" s="5" t="s">
        <v>1080</v>
      </c>
      <c r="X516" s="71">
        <f t="shared" si="5"/>
        <v>0</v>
      </c>
      <c r="Y516" s="5" t="b">
        <v>0</v>
      </c>
    </row>
    <row r="517">
      <c r="B517" s="5" t="str">
        <f t="array" ref="B517">XLOOKUP(A517, CURSOS!A:A, CURSOS!B:B)</f>
        <v>#N/A</v>
      </c>
      <c r="C517" s="75" t="str">
        <f t="array" ref="C517">XLOOKUP(A517, CURSOS!A:A, CURSOS!C:C)</f>
        <v>#N/A</v>
      </c>
      <c r="D517" s="70" t="e">
        <v>#N/A</v>
      </c>
      <c r="E517" s="48"/>
      <c r="F517" s="48" t="str">
        <f t="array" ref="F517">XLOOKUP($D517,REGOLITOS!$A:$A,REGOLITOS!F:F)</f>
        <v>#N/A</v>
      </c>
      <c r="G517" s="48" t="str">
        <f t="array" ref="G517">XLOOKUP($D517,REGOLITOS!$A:$A,REGOLITOS!G:G)</f>
        <v>#N/A</v>
      </c>
      <c r="H517" s="48" t="str">
        <f t="array" ref="H517">XLOOKUP($D517,REGOLITOS!$A:$A,REGOLITOS!H:H)</f>
        <v>#N/A</v>
      </c>
      <c r="I517" s="48" t="str">
        <f t="array" ref="I517">XLOOKUP($D517,REGOLITOS!$A:$A,REGOLITOS!I:I)</f>
        <v>#N/A</v>
      </c>
      <c r="J517" s="48" t="str">
        <f t="array" ref="J517">XLOOKUP($D517,REGOLITOS!$A:$A,REGOLITOS!J:J)</f>
        <v>#N/A</v>
      </c>
      <c r="K517" s="48" t="str">
        <f t="array" ref="K517">XLOOKUP($D517,REGOLITOS!$A:$A,REGOLITOS!K:K)</f>
        <v>#N/A</v>
      </c>
      <c r="L517" s="76"/>
      <c r="M517" s="5" t="s">
        <v>1080</v>
      </c>
      <c r="N517" s="5" t="s">
        <v>1080</v>
      </c>
      <c r="O517" s="5" t="s">
        <v>1080</v>
      </c>
      <c r="P517" s="5" t="s">
        <v>1080</v>
      </c>
      <c r="Q517" s="5" t="s">
        <v>1080</v>
      </c>
      <c r="X517" s="71">
        <f t="shared" si="5"/>
        <v>0</v>
      </c>
      <c r="Y517" s="5" t="b">
        <v>0</v>
      </c>
    </row>
    <row r="518">
      <c r="B518" s="5" t="str">
        <f t="array" ref="B518">XLOOKUP(A518, CURSOS!A:A, CURSOS!B:B)</f>
        <v>#N/A</v>
      </c>
      <c r="C518" s="75" t="str">
        <f t="array" ref="C518">XLOOKUP(A518, CURSOS!A:A, CURSOS!C:C)</f>
        <v>#N/A</v>
      </c>
      <c r="D518" s="70" t="e">
        <v>#N/A</v>
      </c>
      <c r="E518" s="48"/>
      <c r="F518" s="48" t="str">
        <f t="array" ref="F518">XLOOKUP($D518,REGOLITOS!$A:$A,REGOLITOS!F:F)</f>
        <v>#N/A</v>
      </c>
      <c r="G518" s="48" t="str">
        <f t="array" ref="G518">XLOOKUP($D518,REGOLITOS!$A:$A,REGOLITOS!G:G)</f>
        <v>#N/A</v>
      </c>
      <c r="H518" s="48" t="str">
        <f t="array" ref="H518">XLOOKUP($D518,REGOLITOS!$A:$A,REGOLITOS!H:H)</f>
        <v>#N/A</v>
      </c>
      <c r="I518" s="48" t="str">
        <f t="array" ref="I518">XLOOKUP($D518,REGOLITOS!$A:$A,REGOLITOS!I:I)</f>
        <v>#N/A</v>
      </c>
      <c r="J518" s="48" t="str">
        <f t="array" ref="J518">XLOOKUP($D518,REGOLITOS!$A:$A,REGOLITOS!J:J)</f>
        <v>#N/A</v>
      </c>
      <c r="K518" s="48" t="str">
        <f t="array" ref="K518">XLOOKUP($D518,REGOLITOS!$A:$A,REGOLITOS!K:K)</f>
        <v>#N/A</v>
      </c>
      <c r="L518" s="76"/>
      <c r="M518" s="5" t="s">
        <v>1080</v>
      </c>
      <c r="N518" s="5" t="s">
        <v>1080</v>
      </c>
      <c r="O518" s="5" t="s">
        <v>1080</v>
      </c>
      <c r="P518" s="5" t="s">
        <v>1080</v>
      </c>
      <c r="Q518" s="5" t="s">
        <v>1080</v>
      </c>
      <c r="X518" s="71">
        <f t="shared" si="5"/>
        <v>0</v>
      </c>
      <c r="Y518" s="5" t="b">
        <v>0</v>
      </c>
    </row>
    <row r="519">
      <c r="B519" s="5" t="str">
        <f t="array" ref="B519">XLOOKUP(A519, CURSOS!A:A, CURSOS!B:B)</f>
        <v>#N/A</v>
      </c>
      <c r="C519" s="75" t="str">
        <f t="array" ref="C519">XLOOKUP(A519, CURSOS!A:A, CURSOS!C:C)</f>
        <v>#N/A</v>
      </c>
      <c r="D519" s="70" t="e">
        <v>#N/A</v>
      </c>
      <c r="E519" s="48"/>
      <c r="F519" s="48" t="str">
        <f t="array" ref="F519">XLOOKUP($D519,REGOLITOS!$A:$A,REGOLITOS!F:F)</f>
        <v>#N/A</v>
      </c>
      <c r="G519" s="48" t="str">
        <f t="array" ref="G519">XLOOKUP($D519,REGOLITOS!$A:$A,REGOLITOS!G:G)</f>
        <v>#N/A</v>
      </c>
      <c r="H519" s="48" t="str">
        <f t="array" ref="H519">XLOOKUP($D519,REGOLITOS!$A:$A,REGOLITOS!H:H)</f>
        <v>#N/A</v>
      </c>
      <c r="I519" s="48" t="str">
        <f t="array" ref="I519">XLOOKUP($D519,REGOLITOS!$A:$A,REGOLITOS!I:I)</f>
        <v>#N/A</v>
      </c>
      <c r="J519" s="48" t="str">
        <f t="array" ref="J519">XLOOKUP($D519,REGOLITOS!$A:$A,REGOLITOS!J:J)</f>
        <v>#N/A</v>
      </c>
      <c r="K519" s="48" t="str">
        <f t="array" ref="K519">XLOOKUP($D519,REGOLITOS!$A:$A,REGOLITOS!K:K)</f>
        <v>#N/A</v>
      </c>
      <c r="L519" s="76"/>
      <c r="M519" s="5" t="s">
        <v>1080</v>
      </c>
      <c r="N519" s="5" t="s">
        <v>1080</v>
      </c>
      <c r="O519" s="5" t="s">
        <v>1080</v>
      </c>
      <c r="P519" s="5" t="s">
        <v>1080</v>
      </c>
      <c r="Q519" s="5" t="s">
        <v>1080</v>
      </c>
      <c r="X519" s="71">
        <f t="shared" si="5"/>
        <v>0</v>
      </c>
      <c r="Y519" s="5" t="b">
        <v>0</v>
      </c>
    </row>
    <row r="520">
      <c r="B520" s="5" t="str">
        <f t="array" ref="B520">XLOOKUP(A520, CURSOS!A:A, CURSOS!B:B)</f>
        <v>#N/A</v>
      </c>
      <c r="C520" s="75" t="str">
        <f t="array" ref="C520">XLOOKUP(A520, CURSOS!A:A, CURSOS!C:C)</f>
        <v>#N/A</v>
      </c>
      <c r="D520" s="70" t="e">
        <v>#N/A</v>
      </c>
      <c r="E520" s="48"/>
      <c r="F520" s="48" t="str">
        <f t="array" ref="F520">XLOOKUP($D520,REGOLITOS!$A:$A,REGOLITOS!F:F)</f>
        <v>#N/A</v>
      </c>
      <c r="G520" s="48" t="str">
        <f t="array" ref="G520">XLOOKUP($D520,REGOLITOS!$A:$A,REGOLITOS!G:G)</f>
        <v>#N/A</v>
      </c>
      <c r="H520" s="48" t="str">
        <f t="array" ref="H520">XLOOKUP($D520,REGOLITOS!$A:$A,REGOLITOS!H:H)</f>
        <v>#N/A</v>
      </c>
      <c r="I520" s="48" t="str">
        <f t="array" ref="I520">XLOOKUP($D520,REGOLITOS!$A:$A,REGOLITOS!I:I)</f>
        <v>#N/A</v>
      </c>
      <c r="J520" s="48" t="str">
        <f t="array" ref="J520">XLOOKUP($D520,REGOLITOS!$A:$A,REGOLITOS!J:J)</f>
        <v>#N/A</v>
      </c>
      <c r="K520" s="48" t="str">
        <f t="array" ref="K520">XLOOKUP($D520,REGOLITOS!$A:$A,REGOLITOS!K:K)</f>
        <v>#N/A</v>
      </c>
      <c r="L520" s="76"/>
      <c r="M520" s="5" t="s">
        <v>1080</v>
      </c>
      <c r="N520" s="5" t="s">
        <v>1080</v>
      </c>
      <c r="O520" s="5" t="s">
        <v>1080</v>
      </c>
      <c r="P520" s="5" t="s">
        <v>1080</v>
      </c>
      <c r="Q520" s="5" t="s">
        <v>1080</v>
      </c>
      <c r="X520" s="71">
        <f t="shared" si="5"/>
        <v>0</v>
      </c>
      <c r="Y520" s="5" t="b">
        <v>0</v>
      </c>
    </row>
    <row r="521">
      <c r="B521" s="5" t="str">
        <f t="array" ref="B521">XLOOKUP(A521, CURSOS!A:A, CURSOS!B:B)</f>
        <v>#N/A</v>
      </c>
      <c r="C521" s="75" t="str">
        <f t="array" ref="C521">XLOOKUP(A521, CURSOS!A:A, CURSOS!C:C)</f>
        <v>#N/A</v>
      </c>
      <c r="D521" s="70" t="e">
        <v>#N/A</v>
      </c>
      <c r="E521" s="48"/>
      <c r="F521" s="48" t="str">
        <f t="array" ref="F521">XLOOKUP($D521,REGOLITOS!$A:$A,REGOLITOS!F:F)</f>
        <v>#N/A</v>
      </c>
      <c r="G521" s="48" t="str">
        <f t="array" ref="G521">XLOOKUP($D521,REGOLITOS!$A:$A,REGOLITOS!G:G)</f>
        <v>#N/A</v>
      </c>
      <c r="H521" s="48" t="str">
        <f t="array" ref="H521">XLOOKUP($D521,REGOLITOS!$A:$A,REGOLITOS!H:H)</f>
        <v>#N/A</v>
      </c>
      <c r="I521" s="48" t="str">
        <f t="array" ref="I521">XLOOKUP($D521,REGOLITOS!$A:$A,REGOLITOS!I:I)</f>
        <v>#N/A</v>
      </c>
      <c r="J521" s="48" t="str">
        <f t="array" ref="J521">XLOOKUP($D521,REGOLITOS!$A:$A,REGOLITOS!J:J)</f>
        <v>#N/A</v>
      </c>
      <c r="K521" s="48" t="str">
        <f t="array" ref="K521">XLOOKUP($D521,REGOLITOS!$A:$A,REGOLITOS!K:K)</f>
        <v>#N/A</v>
      </c>
      <c r="L521" s="76"/>
      <c r="M521" s="5" t="s">
        <v>1080</v>
      </c>
      <c r="N521" s="5" t="s">
        <v>1080</v>
      </c>
      <c r="O521" s="5" t="s">
        <v>1080</v>
      </c>
      <c r="P521" s="5" t="s">
        <v>1080</v>
      </c>
      <c r="Q521" s="5" t="s">
        <v>1080</v>
      </c>
      <c r="X521" s="71">
        <f t="shared" si="5"/>
        <v>0</v>
      </c>
      <c r="Y521" s="5" t="b">
        <v>0</v>
      </c>
    </row>
    <row r="522">
      <c r="B522" s="5" t="str">
        <f t="array" ref="B522">XLOOKUP(A522, CURSOS!A:A, CURSOS!B:B)</f>
        <v>#N/A</v>
      </c>
      <c r="C522" s="75" t="str">
        <f t="array" ref="C522">XLOOKUP(A522, CURSOS!A:A, CURSOS!C:C)</f>
        <v>#N/A</v>
      </c>
      <c r="D522" s="70" t="e">
        <v>#N/A</v>
      </c>
      <c r="E522" s="48"/>
      <c r="F522" s="48" t="str">
        <f t="array" ref="F522">XLOOKUP($D522,REGOLITOS!$A:$A,REGOLITOS!F:F)</f>
        <v>#N/A</v>
      </c>
      <c r="G522" s="48" t="str">
        <f t="array" ref="G522">XLOOKUP($D522,REGOLITOS!$A:$A,REGOLITOS!G:G)</f>
        <v>#N/A</v>
      </c>
      <c r="H522" s="48" t="str">
        <f t="array" ref="H522">XLOOKUP($D522,REGOLITOS!$A:$A,REGOLITOS!H:H)</f>
        <v>#N/A</v>
      </c>
      <c r="I522" s="48" t="str">
        <f t="array" ref="I522">XLOOKUP($D522,REGOLITOS!$A:$A,REGOLITOS!I:I)</f>
        <v>#N/A</v>
      </c>
      <c r="J522" s="48" t="str">
        <f t="array" ref="J522">XLOOKUP($D522,REGOLITOS!$A:$A,REGOLITOS!J:J)</f>
        <v>#N/A</v>
      </c>
      <c r="K522" s="48" t="str">
        <f t="array" ref="K522">XLOOKUP($D522,REGOLITOS!$A:$A,REGOLITOS!K:K)</f>
        <v>#N/A</v>
      </c>
      <c r="L522" s="76"/>
      <c r="M522" s="5" t="s">
        <v>1080</v>
      </c>
      <c r="N522" s="5" t="s">
        <v>1080</v>
      </c>
      <c r="O522" s="5" t="s">
        <v>1080</v>
      </c>
      <c r="P522" s="5" t="s">
        <v>1080</v>
      </c>
      <c r="Q522" s="5" t="s">
        <v>1080</v>
      </c>
      <c r="X522" s="71">
        <f t="shared" si="5"/>
        <v>0</v>
      </c>
      <c r="Y522" s="5" t="b">
        <v>0</v>
      </c>
    </row>
    <row r="523">
      <c r="B523" s="5" t="str">
        <f t="array" ref="B523">XLOOKUP(A523, CURSOS!A:A, CURSOS!B:B)</f>
        <v>#N/A</v>
      </c>
      <c r="C523" s="75" t="str">
        <f t="array" ref="C523">XLOOKUP(A523, CURSOS!A:A, CURSOS!C:C)</f>
        <v>#N/A</v>
      </c>
      <c r="D523" s="70" t="e">
        <v>#N/A</v>
      </c>
      <c r="E523" s="48"/>
      <c r="F523" s="48" t="str">
        <f t="array" ref="F523">XLOOKUP($D523,REGOLITOS!$A:$A,REGOLITOS!F:F)</f>
        <v>#N/A</v>
      </c>
      <c r="G523" s="48" t="str">
        <f t="array" ref="G523">XLOOKUP($D523,REGOLITOS!$A:$A,REGOLITOS!G:G)</f>
        <v>#N/A</v>
      </c>
      <c r="H523" s="48" t="str">
        <f t="array" ref="H523">XLOOKUP($D523,REGOLITOS!$A:$A,REGOLITOS!H:H)</f>
        <v>#N/A</v>
      </c>
      <c r="I523" s="48" t="str">
        <f t="array" ref="I523">XLOOKUP($D523,REGOLITOS!$A:$A,REGOLITOS!I:I)</f>
        <v>#N/A</v>
      </c>
      <c r="J523" s="48" t="str">
        <f t="array" ref="J523">XLOOKUP($D523,REGOLITOS!$A:$A,REGOLITOS!J:J)</f>
        <v>#N/A</v>
      </c>
      <c r="K523" s="48" t="str">
        <f t="array" ref="K523">XLOOKUP($D523,REGOLITOS!$A:$A,REGOLITOS!K:K)</f>
        <v>#N/A</v>
      </c>
      <c r="L523" s="76"/>
      <c r="M523" s="5" t="s">
        <v>1080</v>
      </c>
      <c r="N523" s="5" t="s">
        <v>1080</v>
      </c>
      <c r="O523" s="5" t="s">
        <v>1080</v>
      </c>
      <c r="P523" s="5" t="s">
        <v>1080</v>
      </c>
      <c r="Q523" s="5" t="s">
        <v>1080</v>
      </c>
      <c r="X523" s="71">
        <f t="shared" si="5"/>
        <v>0</v>
      </c>
      <c r="Y523" s="5" t="b">
        <v>0</v>
      </c>
    </row>
    <row r="524">
      <c r="B524" s="5" t="str">
        <f t="array" ref="B524">XLOOKUP(A524, CURSOS!A:A, CURSOS!B:B)</f>
        <v>#N/A</v>
      </c>
      <c r="C524" s="75" t="str">
        <f t="array" ref="C524">XLOOKUP(A524, CURSOS!A:A, CURSOS!C:C)</f>
        <v>#N/A</v>
      </c>
      <c r="D524" s="70" t="e">
        <v>#N/A</v>
      </c>
      <c r="E524" s="48"/>
      <c r="F524" s="48" t="str">
        <f t="array" ref="F524">XLOOKUP($D524,REGOLITOS!$A:$A,REGOLITOS!F:F)</f>
        <v>#N/A</v>
      </c>
      <c r="G524" s="48" t="str">
        <f t="array" ref="G524">XLOOKUP($D524,REGOLITOS!$A:$A,REGOLITOS!G:G)</f>
        <v>#N/A</v>
      </c>
      <c r="H524" s="48" t="str">
        <f t="array" ref="H524">XLOOKUP($D524,REGOLITOS!$A:$A,REGOLITOS!H:H)</f>
        <v>#N/A</v>
      </c>
      <c r="I524" s="48" t="str">
        <f t="array" ref="I524">XLOOKUP($D524,REGOLITOS!$A:$A,REGOLITOS!I:I)</f>
        <v>#N/A</v>
      </c>
      <c r="J524" s="48" t="str">
        <f t="array" ref="J524">XLOOKUP($D524,REGOLITOS!$A:$A,REGOLITOS!J:J)</f>
        <v>#N/A</v>
      </c>
      <c r="K524" s="48" t="str">
        <f t="array" ref="K524">XLOOKUP($D524,REGOLITOS!$A:$A,REGOLITOS!K:K)</f>
        <v>#N/A</v>
      </c>
      <c r="L524" s="76"/>
      <c r="M524" s="5" t="s">
        <v>1080</v>
      </c>
      <c r="N524" s="5" t="s">
        <v>1080</v>
      </c>
      <c r="O524" s="5" t="s">
        <v>1080</v>
      </c>
      <c r="P524" s="5" t="s">
        <v>1080</v>
      </c>
      <c r="Q524" s="5" t="s">
        <v>1080</v>
      </c>
      <c r="X524" s="71">
        <f t="shared" si="5"/>
        <v>0</v>
      </c>
      <c r="Y524" s="5" t="b">
        <v>0</v>
      </c>
    </row>
    <row r="525">
      <c r="B525" s="5" t="str">
        <f t="array" ref="B525">XLOOKUP(A525, CURSOS!A:A, CURSOS!B:B)</f>
        <v>#N/A</v>
      </c>
      <c r="C525" s="75" t="str">
        <f t="array" ref="C525">XLOOKUP(A525, CURSOS!A:A, CURSOS!C:C)</f>
        <v>#N/A</v>
      </c>
      <c r="D525" s="70" t="e">
        <v>#N/A</v>
      </c>
      <c r="E525" s="48"/>
      <c r="F525" s="48" t="str">
        <f t="array" ref="F525">XLOOKUP($D525,REGOLITOS!$A:$A,REGOLITOS!F:F)</f>
        <v>#N/A</v>
      </c>
      <c r="G525" s="48" t="str">
        <f t="array" ref="G525">XLOOKUP($D525,REGOLITOS!$A:$A,REGOLITOS!G:G)</f>
        <v>#N/A</v>
      </c>
      <c r="H525" s="48" t="str">
        <f t="array" ref="H525">XLOOKUP($D525,REGOLITOS!$A:$A,REGOLITOS!H:H)</f>
        <v>#N/A</v>
      </c>
      <c r="I525" s="48" t="str">
        <f t="array" ref="I525">XLOOKUP($D525,REGOLITOS!$A:$A,REGOLITOS!I:I)</f>
        <v>#N/A</v>
      </c>
      <c r="J525" s="48" t="str">
        <f t="array" ref="J525">XLOOKUP($D525,REGOLITOS!$A:$A,REGOLITOS!J:J)</f>
        <v>#N/A</v>
      </c>
      <c r="K525" s="48" t="str">
        <f t="array" ref="K525">XLOOKUP($D525,REGOLITOS!$A:$A,REGOLITOS!K:K)</f>
        <v>#N/A</v>
      </c>
      <c r="L525" s="76"/>
      <c r="M525" s="5" t="s">
        <v>1080</v>
      </c>
      <c r="N525" s="5" t="s">
        <v>1080</v>
      </c>
      <c r="O525" s="5" t="s">
        <v>1080</v>
      </c>
      <c r="P525" s="5" t="s">
        <v>1080</v>
      </c>
      <c r="Q525" s="5" t="s">
        <v>1080</v>
      </c>
      <c r="X525" s="71">
        <f t="shared" si="5"/>
        <v>0</v>
      </c>
      <c r="Y525" s="5" t="b">
        <v>0</v>
      </c>
    </row>
    <row r="526">
      <c r="B526" s="5" t="str">
        <f t="array" ref="B526">XLOOKUP(A526, CURSOS!A:A, CURSOS!B:B)</f>
        <v>#N/A</v>
      </c>
      <c r="C526" s="75" t="str">
        <f t="array" ref="C526">XLOOKUP(A526, CURSOS!A:A, CURSOS!C:C)</f>
        <v>#N/A</v>
      </c>
      <c r="D526" s="70" t="e">
        <v>#N/A</v>
      </c>
      <c r="E526" s="48"/>
      <c r="F526" s="48" t="str">
        <f t="array" ref="F526">XLOOKUP($D526,REGOLITOS!$A:$A,REGOLITOS!F:F)</f>
        <v>#N/A</v>
      </c>
      <c r="G526" s="48" t="str">
        <f t="array" ref="G526">XLOOKUP($D526,REGOLITOS!$A:$A,REGOLITOS!G:G)</f>
        <v>#N/A</v>
      </c>
      <c r="H526" s="48" t="str">
        <f t="array" ref="H526">XLOOKUP($D526,REGOLITOS!$A:$A,REGOLITOS!H:H)</f>
        <v>#N/A</v>
      </c>
      <c r="I526" s="48" t="str">
        <f t="array" ref="I526">XLOOKUP($D526,REGOLITOS!$A:$A,REGOLITOS!I:I)</f>
        <v>#N/A</v>
      </c>
      <c r="J526" s="48" t="str">
        <f t="array" ref="J526">XLOOKUP($D526,REGOLITOS!$A:$A,REGOLITOS!J:J)</f>
        <v>#N/A</v>
      </c>
      <c r="K526" s="48" t="str">
        <f t="array" ref="K526">XLOOKUP($D526,REGOLITOS!$A:$A,REGOLITOS!K:K)</f>
        <v>#N/A</v>
      </c>
      <c r="L526" s="76"/>
      <c r="M526" s="5" t="s">
        <v>1080</v>
      </c>
      <c r="N526" s="5" t="s">
        <v>1080</v>
      </c>
      <c r="O526" s="5" t="s">
        <v>1080</v>
      </c>
      <c r="P526" s="5" t="s">
        <v>1080</v>
      </c>
      <c r="Q526" s="5" t="s">
        <v>1080</v>
      </c>
      <c r="X526" s="71">
        <f t="shared" si="5"/>
        <v>0</v>
      </c>
      <c r="Y526" s="5" t="b">
        <v>0</v>
      </c>
    </row>
    <row r="527">
      <c r="B527" s="5" t="str">
        <f t="array" ref="B527">XLOOKUP(A527, CURSOS!A:A, CURSOS!B:B)</f>
        <v>#N/A</v>
      </c>
      <c r="C527" s="75" t="str">
        <f t="array" ref="C527">XLOOKUP(A527, CURSOS!A:A, CURSOS!C:C)</f>
        <v>#N/A</v>
      </c>
      <c r="D527" s="70" t="e">
        <v>#N/A</v>
      </c>
      <c r="E527" s="48"/>
      <c r="F527" s="48" t="str">
        <f t="array" ref="F527">XLOOKUP($D527,REGOLITOS!$A:$A,REGOLITOS!F:F)</f>
        <v>#N/A</v>
      </c>
      <c r="G527" s="48" t="str">
        <f t="array" ref="G527">XLOOKUP($D527,REGOLITOS!$A:$A,REGOLITOS!G:G)</f>
        <v>#N/A</v>
      </c>
      <c r="H527" s="48" t="str">
        <f t="array" ref="H527">XLOOKUP($D527,REGOLITOS!$A:$A,REGOLITOS!H:H)</f>
        <v>#N/A</v>
      </c>
      <c r="I527" s="48" t="str">
        <f t="array" ref="I527">XLOOKUP($D527,REGOLITOS!$A:$A,REGOLITOS!I:I)</f>
        <v>#N/A</v>
      </c>
      <c r="J527" s="48" t="str">
        <f t="array" ref="J527">XLOOKUP($D527,REGOLITOS!$A:$A,REGOLITOS!J:J)</f>
        <v>#N/A</v>
      </c>
      <c r="K527" s="48" t="str">
        <f t="array" ref="K527">XLOOKUP($D527,REGOLITOS!$A:$A,REGOLITOS!K:K)</f>
        <v>#N/A</v>
      </c>
      <c r="L527" s="76"/>
      <c r="M527" s="5" t="s">
        <v>1080</v>
      </c>
      <c r="N527" s="5" t="s">
        <v>1080</v>
      </c>
      <c r="O527" s="5" t="s">
        <v>1080</v>
      </c>
      <c r="P527" s="5" t="s">
        <v>1080</v>
      </c>
      <c r="Q527" s="5" t="s">
        <v>1080</v>
      </c>
      <c r="X527" s="71">
        <f t="shared" si="5"/>
        <v>0</v>
      </c>
      <c r="Y527" s="5" t="b">
        <v>0</v>
      </c>
    </row>
    <row r="528">
      <c r="B528" s="5" t="str">
        <f t="array" ref="B528">XLOOKUP(A528, CURSOS!A:A, CURSOS!B:B)</f>
        <v>#N/A</v>
      </c>
      <c r="C528" s="75" t="str">
        <f t="array" ref="C528">XLOOKUP(A528, CURSOS!A:A, CURSOS!C:C)</f>
        <v>#N/A</v>
      </c>
      <c r="D528" s="70" t="e">
        <v>#N/A</v>
      </c>
      <c r="E528" s="48"/>
      <c r="F528" s="48" t="str">
        <f t="array" ref="F528">XLOOKUP($D528,REGOLITOS!$A:$A,REGOLITOS!F:F)</f>
        <v>#N/A</v>
      </c>
      <c r="G528" s="48" t="str">
        <f t="array" ref="G528">XLOOKUP($D528,REGOLITOS!$A:$A,REGOLITOS!G:G)</f>
        <v>#N/A</v>
      </c>
      <c r="H528" s="48" t="str">
        <f t="array" ref="H528">XLOOKUP($D528,REGOLITOS!$A:$A,REGOLITOS!H:H)</f>
        <v>#N/A</v>
      </c>
      <c r="I528" s="48" t="str">
        <f t="array" ref="I528">XLOOKUP($D528,REGOLITOS!$A:$A,REGOLITOS!I:I)</f>
        <v>#N/A</v>
      </c>
      <c r="J528" s="48" t="str">
        <f t="array" ref="J528">XLOOKUP($D528,REGOLITOS!$A:$A,REGOLITOS!J:J)</f>
        <v>#N/A</v>
      </c>
      <c r="K528" s="48" t="str">
        <f t="array" ref="K528">XLOOKUP($D528,REGOLITOS!$A:$A,REGOLITOS!K:K)</f>
        <v>#N/A</v>
      </c>
      <c r="L528" s="76"/>
      <c r="M528" s="5" t="s">
        <v>1080</v>
      </c>
      <c r="N528" s="5" t="s">
        <v>1080</v>
      </c>
      <c r="O528" s="5" t="s">
        <v>1080</v>
      </c>
      <c r="P528" s="5" t="s">
        <v>1080</v>
      </c>
      <c r="Q528" s="5" t="s">
        <v>1080</v>
      </c>
      <c r="X528" s="71">
        <f t="shared" si="5"/>
        <v>0</v>
      </c>
      <c r="Y528" s="5" t="b">
        <v>0</v>
      </c>
    </row>
    <row r="529">
      <c r="B529" s="5" t="str">
        <f t="array" ref="B529">XLOOKUP(A529, CURSOS!A:A, CURSOS!B:B)</f>
        <v>#N/A</v>
      </c>
      <c r="C529" s="75" t="str">
        <f t="array" ref="C529">XLOOKUP(A529, CURSOS!A:A, CURSOS!C:C)</f>
        <v>#N/A</v>
      </c>
      <c r="D529" s="70" t="e">
        <v>#N/A</v>
      </c>
      <c r="E529" s="48"/>
      <c r="F529" s="48" t="str">
        <f t="array" ref="F529">XLOOKUP($D529,REGOLITOS!$A:$A,REGOLITOS!F:F)</f>
        <v>#N/A</v>
      </c>
      <c r="G529" s="48" t="str">
        <f t="array" ref="G529">XLOOKUP($D529,REGOLITOS!$A:$A,REGOLITOS!G:G)</f>
        <v>#N/A</v>
      </c>
      <c r="H529" s="48" t="str">
        <f t="array" ref="H529">XLOOKUP($D529,REGOLITOS!$A:$A,REGOLITOS!H:H)</f>
        <v>#N/A</v>
      </c>
      <c r="I529" s="48" t="str">
        <f t="array" ref="I529">XLOOKUP($D529,REGOLITOS!$A:$A,REGOLITOS!I:I)</f>
        <v>#N/A</v>
      </c>
      <c r="J529" s="48" t="str">
        <f t="array" ref="J529">XLOOKUP($D529,REGOLITOS!$A:$A,REGOLITOS!J:J)</f>
        <v>#N/A</v>
      </c>
      <c r="K529" s="48" t="str">
        <f t="array" ref="K529">XLOOKUP($D529,REGOLITOS!$A:$A,REGOLITOS!K:K)</f>
        <v>#N/A</v>
      </c>
      <c r="L529" s="76"/>
      <c r="M529" s="5" t="s">
        <v>1080</v>
      </c>
      <c r="N529" s="5" t="s">
        <v>1080</v>
      </c>
      <c r="O529" s="5" t="s">
        <v>1080</v>
      </c>
      <c r="P529" s="5" t="s">
        <v>1080</v>
      </c>
      <c r="Q529" s="5" t="s">
        <v>1080</v>
      </c>
      <c r="X529" s="71">
        <f t="shared" si="5"/>
        <v>0</v>
      </c>
      <c r="Y529" s="5" t="b">
        <v>0</v>
      </c>
    </row>
    <row r="530">
      <c r="B530" s="5" t="str">
        <f t="array" ref="B530">XLOOKUP(A530, CURSOS!A:A, CURSOS!B:B)</f>
        <v>#N/A</v>
      </c>
      <c r="C530" s="75" t="str">
        <f t="array" ref="C530">XLOOKUP(A530, CURSOS!A:A, CURSOS!C:C)</f>
        <v>#N/A</v>
      </c>
      <c r="D530" s="70" t="e">
        <v>#N/A</v>
      </c>
      <c r="E530" s="48"/>
      <c r="F530" s="48" t="str">
        <f t="array" ref="F530">XLOOKUP($D530,REGOLITOS!$A:$A,REGOLITOS!F:F)</f>
        <v>#N/A</v>
      </c>
      <c r="G530" s="48" t="str">
        <f t="array" ref="G530">XLOOKUP($D530,REGOLITOS!$A:$A,REGOLITOS!G:G)</f>
        <v>#N/A</v>
      </c>
      <c r="H530" s="48" t="str">
        <f t="array" ref="H530">XLOOKUP($D530,REGOLITOS!$A:$A,REGOLITOS!H:H)</f>
        <v>#N/A</v>
      </c>
      <c r="I530" s="48" t="str">
        <f t="array" ref="I530">XLOOKUP($D530,REGOLITOS!$A:$A,REGOLITOS!I:I)</f>
        <v>#N/A</v>
      </c>
      <c r="J530" s="48" t="str">
        <f t="array" ref="J530">XLOOKUP($D530,REGOLITOS!$A:$A,REGOLITOS!J:J)</f>
        <v>#N/A</v>
      </c>
      <c r="K530" s="48" t="str">
        <f t="array" ref="K530">XLOOKUP($D530,REGOLITOS!$A:$A,REGOLITOS!K:K)</f>
        <v>#N/A</v>
      </c>
      <c r="L530" s="76"/>
      <c r="M530" s="5" t="s">
        <v>1080</v>
      </c>
      <c r="N530" s="5" t="s">
        <v>1080</v>
      </c>
      <c r="O530" s="5" t="s">
        <v>1080</v>
      </c>
      <c r="P530" s="5" t="s">
        <v>1080</v>
      </c>
      <c r="Q530" s="5" t="s">
        <v>1080</v>
      </c>
      <c r="X530" s="71">
        <f t="shared" si="5"/>
        <v>0</v>
      </c>
      <c r="Y530" s="5" t="b">
        <v>0</v>
      </c>
    </row>
    <row r="531">
      <c r="B531" s="5" t="str">
        <f t="array" ref="B531">XLOOKUP(A531, CURSOS!A:A, CURSOS!B:B)</f>
        <v>#N/A</v>
      </c>
      <c r="C531" s="75" t="str">
        <f t="array" ref="C531">XLOOKUP(A531, CURSOS!A:A, CURSOS!C:C)</f>
        <v>#N/A</v>
      </c>
      <c r="D531" s="70" t="e">
        <v>#N/A</v>
      </c>
      <c r="E531" s="48"/>
      <c r="F531" s="48" t="str">
        <f t="array" ref="F531">XLOOKUP($D531,REGOLITOS!$A:$A,REGOLITOS!F:F)</f>
        <v>#N/A</v>
      </c>
      <c r="G531" s="48" t="str">
        <f t="array" ref="G531">XLOOKUP($D531,REGOLITOS!$A:$A,REGOLITOS!G:G)</f>
        <v>#N/A</v>
      </c>
      <c r="H531" s="48" t="str">
        <f t="array" ref="H531">XLOOKUP($D531,REGOLITOS!$A:$A,REGOLITOS!H:H)</f>
        <v>#N/A</v>
      </c>
      <c r="I531" s="48" t="str">
        <f t="array" ref="I531">XLOOKUP($D531,REGOLITOS!$A:$A,REGOLITOS!I:I)</f>
        <v>#N/A</v>
      </c>
      <c r="J531" s="48" t="str">
        <f t="array" ref="J531">XLOOKUP($D531,REGOLITOS!$A:$A,REGOLITOS!J:J)</f>
        <v>#N/A</v>
      </c>
      <c r="K531" s="48" t="str">
        <f t="array" ref="K531">XLOOKUP($D531,REGOLITOS!$A:$A,REGOLITOS!K:K)</f>
        <v>#N/A</v>
      </c>
      <c r="L531" s="76"/>
      <c r="M531" s="5" t="s">
        <v>1080</v>
      </c>
      <c r="N531" s="5" t="s">
        <v>1080</v>
      </c>
      <c r="O531" s="5" t="s">
        <v>1080</v>
      </c>
      <c r="P531" s="5" t="s">
        <v>1080</v>
      </c>
      <c r="Q531" s="5" t="s">
        <v>1080</v>
      </c>
      <c r="X531" s="71">
        <f t="shared" si="5"/>
        <v>0</v>
      </c>
      <c r="Y531" s="5" t="b">
        <v>0</v>
      </c>
    </row>
    <row r="532">
      <c r="B532" s="5" t="str">
        <f t="array" ref="B532">XLOOKUP(A532, CURSOS!A:A, CURSOS!B:B)</f>
        <v>#N/A</v>
      </c>
      <c r="C532" s="75" t="str">
        <f t="array" ref="C532">XLOOKUP(A532, CURSOS!A:A, CURSOS!C:C)</f>
        <v>#N/A</v>
      </c>
      <c r="D532" s="70" t="e">
        <v>#N/A</v>
      </c>
      <c r="E532" s="48"/>
      <c r="F532" s="48" t="str">
        <f t="array" ref="F532">XLOOKUP($D532,REGOLITOS!$A:$A,REGOLITOS!F:F)</f>
        <v>#N/A</v>
      </c>
      <c r="G532" s="48" t="str">
        <f t="array" ref="G532">XLOOKUP($D532,REGOLITOS!$A:$A,REGOLITOS!G:G)</f>
        <v>#N/A</v>
      </c>
      <c r="H532" s="48" t="str">
        <f t="array" ref="H532">XLOOKUP($D532,REGOLITOS!$A:$A,REGOLITOS!H:H)</f>
        <v>#N/A</v>
      </c>
      <c r="I532" s="48" t="str">
        <f t="array" ref="I532">XLOOKUP($D532,REGOLITOS!$A:$A,REGOLITOS!I:I)</f>
        <v>#N/A</v>
      </c>
      <c r="J532" s="48" t="str">
        <f t="array" ref="J532">XLOOKUP($D532,REGOLITOS!$A:$A,REGOLITOS!J:J)</f>
        <v>#N/A</v>
      </c>
      <c r="K532" s="48" t="str">
        <f t="array" ref="K532">XLOOKUP($D532,REGOLITOS!$A:$A,REGOLITOS!K:K)</f>
        <v>#N/A</v>
      </c>
      <c r="L532" s="76"/>
      <c r="M532" s="5" t="s">
        <v>1080</v>
      </c>
      <c r="N532" s="5" t="s">
        <v>1080</v>
      </c>
      <c r="O532" s="5" t="s">
        <v>1080</v>
      </c>
      <c r="P532" s="5" t="s">
        <v>1080</v>
      </c>
      <c r="Q532" s="5" t="s">
        <v>1080</v>
      </c>
      <c r="X532" s="71">
        <f t="shared" si="5"/>
        <v>0</v>
      </c>
      <c r="Y532" s="5" t="b">
        <v>0</v>
      </c>
    </row>
    <row r="533">
      <c r="B533" s="5" t="str">
        <f t="array" ref="B533">XLOOKUP(A533, CURSOS!A:A, CURSOS!B:B)</f>
        <v>#N/A</v>
      </c>
      <c r="C533" s="75" t="str">
        <f t="array" ref="C533">XLOOKUP(A533, CURSOS!A:A, CURSOS!C:C)</f>
        <v>#N/A</v>
      </c>
      <c r="D533" s="70" t="e">
        <v>#N/A</v>
      </c>
      <c r="E533" s="48"/>
      <c r="F533" s="48" t="str">
        <f t="array" ref="F533">XLOOKUP($D533,REGOLITOS!$A:$A,REGOLITOS!F:F)</f>
        <v>#N/A</v>
      </c>
      <c r="G533" s="48" t="str">
        <f t="array" ref="G533">XLOOKUP($D533,REGOLITOS!$A:$A,REGOLITOS!G:G)</f>
        <v>#N/A</v>
      </c>
      <c r="H533" s="48" t="str">
        <f t="array" ref="H533">XLOOKUP($D533,REGOLITOS!$A:$A,REGOLITOS!H:H)</f>
        <v>#N/A</v>
      </c>
      <c r="I533" s="48" t="str">
        <f t="array" ref="I533">XLOOKUP($D533,REGOLITOS!$A:$A,REGOLITOS!I:I)</f>
        <v>#N/A</v>
      </c>
      <c r="J533" s="48" t="str">
        <f t="array" ref="J533">XLOOKUP($D533,REGOLITOS!$A:$A,REGOLITOS!J:J)</f>
        <v>#N/A</v>
      </c>
      <c r="K533" s="48" t="str">
        <f t="array" ref="K533">XLOOKUP($D533,REGOLITOS!$A:$A,REGOLITOS!K:K)</f>
        <v>#N/A</v>
      </c>
      <c r="L533" s="76"/>
      <c r="M533" s="5" t="s">
        <v>1080</v>
      </c>
      <c r="N533" s="5" t="s">
        <v>1080</v>
      </c>
      <c r="O533" s="5" t="s">
        <v>1080</v>
      </c>
      <c r="P533" s="5" t="s">
        <v>1080</v>
      </c>
      <c r="Q533" s="5" t="s">
        <v>1080</v>
      </c>
      <c r="X533" s="71">
        <f t="shared" si="5"/>
        <v>0</v>
      </c>
      <c r="Y533" s="5" t="b">
        <v>0</v>
      </c>
    </row>
    <row r="534">
      <c r="B534" s="5" t="str">
        <f t="array" ref="B534">XLOOKUP(A534, CURSOS!A:A, CURSOS!B:B)</f>
        <v>#N/A</v>
      </c>
      <c r="C534" s="75" t="str">
        <f t="array" ref="C534">XLOOKUP(A534, CURSOS!A:A, CURSOS!C:C)</f>
        <v>#N/A</v>
      </c>
      <c r="D534" s="70" t="e">
        <v>#N/A</v>
      </c>
      <c r="E534" s="48"/>
      <c r="F534" s="48" t="str">
        <f t="array" ref="F534">XLOOKUP($D534,REGOLITOS!$A:$A,REGOLITOS!F:F)</f>
        <v>#N/A</v>
      </c>
      <c r="G534" s="48" t="str">
        <f t="array" ref="G534">XLOOKUP($D534,REGOLITOS!$A:$A,REGOLITOS!G:G)</f>
        <v>#N/A</v>
      </c>
      <c r="H534" s="48" t="str">
        <f t="array" ref="H534">XLOOKUP($D534,REGOLITOS!$A:$A,REGOLITOS!H:H)</f>
        <v>#N/A</v>
      </c>
      <c r="I534" s="48" t="str">
        <f t="array" ref="I534">XLOOKUP($D534,REGOLITOS!$A:$A,REGOLITOS!I:I)</f>
        <v>#N/A</v>
      </c>
      <c r="J534" s="48" t="str">
        <f t="array" ref="J534">XLOOKUP($D534,REGOLITOS!$A:$A,REGOLITOS!J:J)</f>
        <v>#N/A</v>
      </c>
      <c r="K534" s="48" t="str">
        <f t="array" ref="K534">XLOOKUP($D534,REGOLITOS!$A:$A,REGOLITOS!K:K)</f>
        <v>#N/A</v>
      </c>
      <c r="L534" s="76"/>
      <c r="M534" s="5" t="s">
        <v>1080</v>
      </c>
      <c r="N534" s="5" t="s">
        <v>1080</v>
      </c>
      <c r="O534" s="5" t="s">
        <v>1080</v>
      </c>
      <c r="P534" s="5" t="s">
        <v>1080</v>
      </c>
      <c r="Q534" s="5" t="s">
        <v>1080</v>
      </c>
      <c r="X534" s="71">
        <f t="shared" si="5"/>
        <v>0</v>
      </c>
      <c r="Y534" s="5" t="b">
        <v>0</v>
      </c>
    </row>
    <row r="535">
      <c r="B535" s="5" t="str">
        <f t="array" ref="B535">XLOOKUP(A535, CURSOS!A:A, CURSOS!B:B)</f>
        <v>#N/A</v>
      </c>
      <c r="C535" s="75" t="str">
        <f t="array" ref="C535">XLOOKUP(A535, CURSOS!A:A, CURSOS!C:C)</f>
        <v>#N/A</v>
      </c>
      <c r="D535" s="70" t="e">
        <v>#N/A</v>
      </c>
      <c r="E535" s="48"/>
      <c r="F535" s="48" t="str">
        <f t="array" ref="F535">XLOOKUP($D535,REGOLITOS!$A:$A,REGOLITOS!F:F)</f>
        <v>#N/A</v>
      </c>
      <c r="G535" s="48" t="str">
        <f t="array" ref="G535">XLOOKUP($D535,REGOLITOS!$A:$A,REGOLITOS!G:G)</f>
        <v>#N/A</v>
      </c>
      <c r="H535" s="48" t="str">
        <f t="array" ref="H535">XLOOKUP($D535,REGOLITOS!$A:$A,REGOLITOS!H:H)</f>
        <v>#N/A</v>
      </c>
      <c r="I535" s="48" t="str">
        <f t="array" ref="I535">XLOOKUP($D535,REGOLITOS!$A:$A,REGOLITOS!I:I)</f>
        <v>#N/A</v>
      </c>
      <c r="J535" s="48" t="str">
        <f t="array" ref="J535">XLOOKUP($D535,REGOLITOS!$A:$A,REGOLITOS!J:J)</f>
        <v>#N/A</v>
      </c>
      <c r="K535" s="48" t="str">
        <f t="array" ref="K535">XLOOKUP($D535,REGOLITOS!$A:$A,REGOLITOS!K:K)</f>
        <v>#N/A</v>
      </c>
      <c r="L535" s="76"/>
      <c r="M535" s="5" t="s">
        <v>1080</v>
      </c>
      <c r="N535" s="5" t="s">
        <v>1080</v>
      </c>
      <c r="O535" s="5" t="s">
        <v>1080</v>
      </c>
      <c r="P535" s="5" t="s">
        <v>1080</v>
      </c>
      <c r="Q535" s="5" t="s">
        <v>1080</v>
      </c>
      <c r="X535" s="71">
        <f t="shared" si="5"/>
        <v>0</v>
      </c>
      <c r="Y535" s="5" t="b">
        <v>0</v>
      </c>
    </row>
    <row r="536">
      <c r="B536" s="5" t="str">
        <f t="array" ref="B536">XLOOKUP(A536, CURSOS!A:A, CURSOS!B:B)</f>
        <v>#N/A</v>
      </c>
      <c r="C536" s="75" t="str">
        <f t="array" ref="C536">XLOOKUP(A536, CURSOS!A:A, CURSOS!C:C)</f>
        <v>#N/A</v>
      </c>
      <c r="D536" s="70" t="e">
        <v>#N/A</v>
      </c>
      <c r="E536" s="48"/>
      <c r="F536" s="48" t="str">
        <f t="array" ref="F536">XLOOKUP($D536,REGOLITOS!$A:$A,REGOLITOS!F:F)</f>
        <v>#N/A</v>
      </c>
      <c r="G536" s="48" t="str">
        <f t="array" ref="G536">XLOOKUP($D536,REGOLITOS!$A:$A,REGOLITOS!G:G)</f>
        <v>#N/A</v>
      </c>
      <c r="H536" s="48" t="str">
        <f t="array" ref="H536">XLOOKUP($D536,REGOLITOS!$A:$A,REGOLITOS!H:H)</f>
        <v>#N/A</v>
      </c>
      <c r="I536" s="48" t="str">
        <f t="array" ref="I536">XLOOKUP($D536,REGOLITOS!$A:$A,REGOLITOS!I:I)</f>
        <v>#N/A</v>
      </c>
      <c r="J536" s="48" t="str">
        <f t="array" ref="J536">XLOOKUP($D536,REGOLITOS!$A:$A,REGOLITOS!J:J)</f>
        <v>#N/A</v>
      </c>
      <c r="K536" s="48" t="str">
        <f t="array" ref="K536">XLOOKUP($D536,REGOLITOS!$A:$A,REGOLITOS!K:K)</f>
        <v>#N/A</v>
      </c>
      <c r="L536" s="76"/>
      <c r="M536" s="5" t="s">
        <v>1080</v>
      </c>
      <c r="N536" s="5" t="s">
        <v>1080</v>
      </c>
      <c r="O536" s="5" t="s">
        <v>1080</v>
      </c>
      <c r="P536" s="5" t="s">
        <v>1080</v>
      </c>
      <c r="Q536" s="5" t="s">
        <v>1080</v>
      </c>
      <c r="X536" s="71">
        <f t="shared" si="5"/>
        <v>0</v>
      </c>
      <c r="Y536" s="5" t="b">
        <v>0</v>
      </c>
    </row>
    <row r="537">
      <c r="B537" s="5" t="str">
        <f t="array" ref="B537">XLOOKUP(A537, CURSOS!A:A, CURSOS!B:B)</f>
        <v>#N/A</v>
      </c>
      <c r="C537" s="75" t="str">
        <f t="array" ref="C537">XLOOKUP(A537, CURSOS!A:A, CURSOS!C:C)</f>
        <v>#N/A</v>
      </c>
      <c r="D537" s="70" t="e">
        <v>#N/A</v>
      </c>
      <c r="E537" s="48"/>
      <c r="F537" s="48" t="str">
        <f t="array" ref="F537">XLOOKUP($D537,REGOLITOS!$A:$A,REGOLITOS!F:F)</f>
        <v>#N/A</v>
      </c>
      <c r="G537" s="48" t="str">
        <f t="array" ref="G537">XLOOKUP($D537,REGOLITOS!$A:$A,REGOLITOS!G:G)</f>
        <v>#N/A</v>
      </c>
      <c r="H537" s="48" t="str">
        <f t="array" ref="H537">XLOOKUP($D537,REGOLITOS!$A:$A,REGOLITOS!H:H)</f>
        <v>#N/A</v>
      </c>
      <c r="I537" s="48" t="str">
        <f t="array" ref="I537">XLOOKUP($D537,REGOLITOS!$A:$A,REGOLITOS!I:I)</f>
        <v>#N/A</v>
      </c>
      <c r="J537" s="48" t="str">
        <f t="array" ref="J537">XLOOKUP($D537,REGOLITOS!$A:$A,REGOLITOS!J:J)</f>
        <v>#N/A</v>
      </c>
      <c r="K537" s="48" t="str">
        <f t="array" ref="K537">XLOOKUP($D537,REGOLITOS!$A:$A,REGOLITOS!K:K)</f>
        <v>#N/A</v>
      </c>
      <c r="L537" s="76"/>
      <c r="M537" s="5" t="s">
        <v>1080</v>
      </c>
      <c r="N537" s="5" t="s">
        <v>1080</v>
      </c>
      <c r="O537" s="5" t="s">
        <v>1080</v>
      </c>
      <c r="P537" s="5" t="s">
        <v>1080</v>
      </c>
      <c r="Q537" s="5" t="s">
        <v>1080</v>
      </c>
      <c r="X537" s="71">
        <f t="shared" si="5"/>
        <v>0</v>
      </c>
      <c r="Y537" s="5" t="b">
        <v>0</v>
      </c>
    </row>
    <row r="538">
      <c r="B538" s="5" t="str">
        <f t="array" ref="B538">XLOOKUP(A538, CURSOS!A:A, CURSOS!B:B)</f>
        <v>#N/A</v>
      </c>
      <c r="C538" s="75" t="str">
        <f t="array" ref="C538">XLOOKUP(A538, CURSOS!A:A, CURSOS!C:C)</f>
        <v>#N/A</v>
      </c>
      <c r="D538" s="70" t="e">
        <v>#N/A</v>
      </c>
      <c r="E538" s="48"/>
      <c r="F538" s="48" t="str">
        <f t="array" ref="F538">XLOOKUP($D538,REGOLITOS!$A:$A,REGOLITOS!F:F)</f>
        <v>#N/A</v>
      </c>
      <c r="G538" s="48" t="str">
        <f t="array" ref="G538">XLOOKUP($D538,REGOLITOS!$A:$A,REGOLITOS!G:G)</f>
        <v>#N/A</v>
      </c>
      <c r="H538" s="48" t="str">
        <f t="array" ref="H538">XLOOKUP($D538,REGOLITOS!$A:$A,REGOLITOS!H:H)</f>
        <v>#N/A</v>
      </c>
      <c r="I538" s="48" t="str">
        <f t="array" ref="I538">XLOOKUP($D538,REGOLITOS!$A:$A,REGOLITOS!I:I)</f>
        <v>#N/A</v>
      </c>
      <c r="J538" s="48" t="str">
        <f t="array" ref="J538">XLOOKUP($D538,REGOLITOS!$A:$A,REGOLITOS!J:J)</f>
        <v>#N/A</v>
      </c>
      <c r="K538" s="48" t="str">
        <f t="array" ref="K538">XLOOKUP($D538,REGOLITOS!$A:$A,REGOLITOS!K:K)</f>
        <v>#N/A</v>
      </c>
      <c r="L538" s="76"/>
      <c r="M538" s="5" t="s">
        <v>1080</v>
      </c>
      <c r="N538" s="5" t="s">
        <v>1080</v>
      </c>
      <c r="O538" s="5" t="s">
        <v>1080</v>
      </c>
      <c r="P538" s="5" t="s">
        <v>1080</v>
      </c>
      <c r="Q538" s="5" t="s">
        <v>1080</v>
      </c>
      <c r="X538" s="71">
        <f t="shared" si="5"/>
        <v>0</v>
      </c>
      <c r="Y538" s="5" t="b">
        <v>0</v>
      </c>
    </row>
    <row r="539">
      <c r="B539" s="5" t="str">
        <f t="array" ref="B539">XLOOKUP(A539, CURSOS!A:A, CURSOS!B:B)</f>
        <v>#N/A</v>
      </c>
      <c r="C539" s="75" t="str">
        <f t="array" ref="C539">XLOOKUP(A539, CURSOS!A:A, CURSOS!C:C)</f>
        <v>#N/A</v>
      </c>
      <c r="D539" s="70" t="e">
        <v>#N/A</v>
      </c>
      <c r="E539" s="48"/>
      <c r="F539" s="48" t="str">
        <f t="array" ref="F539">XLOOKUP($D539,REGOLITOS!$A:$A,REGOLITOS!F:F)</f>
        <v>#N/A</v>
      </c>
      <c r="G539" s="48" t="str">
        <f t="array" ref="G539">XLOOKUP($D539,REGOLITOS!$A:$A,REGOLITOS!G:G)</f>
        <v>#N/A</v>
      </c>
      <c r="H539" s="48" t="str">
        <f t="array" ref="H539">XLOOKUP($D539,REGOLITOS!$A:$A,REGOLITOS!H:H)</f>
        <v>#N/A</v>
      </c>
      <c r="I539" s="48" t="str">
        <f t="array" ref="I539">XLOOKUP($D539,REGOLITOS!$A:$A,REGOLITOS!I:I)</f>
        <v>#N/A</v>
      </c>
      <c r="J539" s="48" t="str">
        <f t="array" ref="J539">XLOOKUP($D539,REGOLITOS!$A:$A,REGOLITOS!J:J)</f>
        <v>#N/A</v>
      </c>
      <c r="K539" s="48" t="str">
        <f t="array" ref="K539">XLOOKUP($D539,REGOLITOS!$A:$A,REGOLITOS!K:K)</f>
        <v>#N/A</v>
      </c>
      <c r="L539" s="76"/>
      <c r="M539" s="5" t="s">
        <v>1080</v>
      </c>
      <c r="N539" s="5" t="s">
        <v>1080</v>
      </c>
      <c r="O539" s="5" t="s">
        <v>1080</v>
      </c>
      <c r="P539" s="5" t="s">
        <v>1080</v>
      </c>
      <c r="Q539" s="5" t="s">
        <v>1080</v>
      </c>
      <c r="X539" s="71">
        <f t="shared" si="5"/>
        <v>0</v>
      </c>
      <c r="Y539" s="5" t="b">
        <v>0</v>
      </c>
    </row>
    <row r="540">
      <c r="B540" s="5" t="str">
        <f t="array" ref="B540">XLOOKUP(A540, CURSOS!A:A, CURSOS!B:B)</f>
        <v>#N/A</v>
      </c>
      <c r="C540" s="75" t="str">
        <f t="array" ref="C540">XLOOKUP(A540, CURSOS!A:A, CURSOS!C:C)</f>
        <v>#N/A</v>
      </c>
      <c r="D540" s="70" t="e">
        <v>#N/A</v>
      </c>
      <c r="E540" s="48"/>
      <c r="F540" s="48" t="str">
        <f t="array" ref="F540">XLOOKUP($D540,REGOLITOS!$A:$A,REGOLITOS!F:F)</f>
        <v>#N/A</v>
      </c>
      <c r="G540" s="48" t="str">
        <f t="array" ref="G540">XLOOKUP($D540,REGOLITOS!$A:$A,REGOLITOS!G:G)</f>
        <v>#N/A</v>
      </c>
      <c r="H540" s="48" t="str">
        <f t="array" ref="H540">XLOOKUP($D540,REGOLITOS!$A:$A,REGOLITOS!H:H)</f>
        <v>#N/A</v>
      </c>
      <c r="I540" s="48" t="str">
        <f t="array" ref="I540">XLOOKUP($D540,REGOLITOS!$A:$A,REGOLITOS!I:I)</f>
        <v>#N/A</v>
      </c>
      <c r="J540" s="48" t="str">
        <f t="array" ref="J540">XLOOKUP($D540,REGOLITOS!$A:$A,REGOLITOS!J:J)</f>
        <v>#N/A</v>
      </c>
      <c r="K540" s="48" t="str">
        <f t="array" ref="K540">XLOOKUP($D540,REGOLITOS!$A:$A,REGOLITOS!K:K)</f>
        <v>#N/A</v>
      </c>
      <c r="L540" s="76"/>
      <c r="M540" s="5" t="s">
        <v>1080</v>
      </c>
      <c r="N540" s="5" t="s">
        <v>1080</v>
      </c>
      <c r="O540" s="5" t="s">
        <v>1080</v>
      </c>
      <c r="P540" s="5" t="s">
        <v>1080</v>
      </c>
      <c r="Q540" s="5" t="s">
        <v>1080</v>
      </c>
      <c r="X540" s="71">
        <f t="shared" si="5"/>
        <v>0</v>
      </c>
      <c r="Y540" s="5" t="b">
        <v>0</v>
      </c>
    </row>
    <row r="541">
      <c r="B541" s="5" t="str">
        <f t="array" ref="B541">XLOOKUP(A541, CURSOS!A:A, CURSOS!B:B)</f>
        <v>#N/A</v>
      </c>
      <c r="C541" s="75" t="str">
        <f t="array" ref="C541">XLOOKUP(A541, CURSOS!A:A, CURSOS!C:C)</f>
        <v>#N/A</v>
      </c>
      <c r="D541" s="70" t="e">
        <v>#N/A</v>
      </c>
      <c r="E541" s="48"/>
      <c r="F541" s="48" t="str">
        <f t="array" ref="F541">XLOOKUP($D541,REGOLITOS!$A:$A,REGOLITOS!F:F)</f>
        <v>#N/A</v>
      </c>
      <c r="G541" s="48" t="str">
        <f t="array" ref="G541">XLOOKUP($D541,REGOLITOS!$A:$A,REGOLITOS!G:G)</f>
        <v>#N/A</v>
      </c>
      <c r="H541" s="48" t="str">
        <f t="array" ref="H541">XLOOKUP($D541,REGOLITOS!$A:$A,REGOLITOS!H:H)</f>
        <v>#N/A</v>
      </c>
      <c r="I541" s="48" t="str">
        <f t="array" ref="I541">XLOOKUP($D541,REGOLITOS!$A:$A,REGOLITOS!I:I)</f>
        <v>#N/A</v>
      </c>
      <c r="J541" s="48" t="str">
        <f t="array" ref="J541">XLOOKUP($D541,REGOLITOS!$A:$A,REGOLITOS!J:J)</f>
        <v>#N/A</v>
      </c>
      <c r="K541" s="48" t="str">
        <f t="array" ref="K541">XLOOKUP($D541,REGOLITOS!$A:$A,REGOLITOS!K:K)</f>
        <v>#N/A</v>
      </c>
      <c r="L541" s="76"/>
      <c r="M541" s="5" t="s">
        <v>1080</v>
      </c>
      <c r="N541" s="5" t="s">
        <v>1080</v>
      </c>
      <c r="O541" s="5" t="s">
        <v>1080</v>
      </c>
      <c r="P541" s="5" t="s">
        <v>1080</v>
      </c>
      <c r="Q541" s="5" t="s">
        <v>1080</v>
      </c>
      <c r="X541" s="71">
        <f t="shared" si="5"/>
        <v>0</v>
      </c>
      <c r="Y541" s="5" t="b">
        <v>0</v>
      </c>
    </row>
    <row r="542">
      <c r="B542" s="5" t="str">
        <f t="array" ref="B542">XLOOKUP(A542, CURSOS!A:A, CURSOS!B:B)</f>
        <v>#N/A</v>
      </c>
      <c r="C542" s="75" t="str">
        <f t="array" ref="C542">XLOOKUP(A542, CURSOS!A:A, CURSOS!C:C)</f>
        <v>#N/A</v>
      </c>
      <c r="D542" s="70" t="e">
        <v>#N/A</v>
      </c>
      <c r="E542" s="48"/>
      <c r="F542" s="48" t="str">
        <f t="array" ref="F542">XLOOKUP($D542,REGOLITOS!$A:$A,REGOLITOS!F:F)</f>
        <v>#N/A</v>
      </c>
      <c r="G542" s="48" t="str">
        <f t="array" ref="G542">XLOOKUP($D542,REGOLITOS!$A:$A,REGOLITOS!G:G)</f>
        <v>#N/A</v>
      </c>
      <c r="H542" s="48" t="str">
        <f t="array" ref="H542">XLOOKUP($D542,REGOLITOS!$A:$A,REGOLITOS!H:H)</f>
        <v>#N/A</v>
      </c>
      <c r="I542" s="48" t="str">
        <f t="array" ref="I542">XLOOKUP($D542,REGOLITOS!$A:$A,REGOLITOS!I:I)</f>
        <v>#N/A</v>
      </c>
      <c r="J542" s="48" t="str">
        <f t="array" ref="J542">XLOOKUP($D542,REGOLITOS!$A:$A,REGOLITOS!J:J)</f>
        <v>#N/A</v>
      </c>
      <c r="K542" s="48" t="str">
        <f t="array" ref="K542">XLOOKUP($D542,REGOLITOS!$A:$A,REGOLITOS!K:K)</f>
        <v>#N/A</v>
      </c>
      <c r="L542" s="76"/>
      <c r="M542" s="5" t="s">
        <v>1080</v>
      </c>
      <c r="N542" s="5" t="s">
        <v>1080</v>
      </c>
      <c r="O542" s="5" t="s">
        <v>1080</v>
      </c>
      <c r="P542" s="5" t="s">
        <v>1080</v>
      </c>
      <c r="Q542" s="5" t="s">
        <v>1080</v>
      </c>
      <c r="X542" s="71">
        <f t="shared" si="5"/>
        <v>0</v>
      </c>
      <c r="Y542" s="5" t="b">
        <v>0</v>
      </c>
    </row>
    <row r="543">
      <c r="B543" s="5" t="str">
        <f t="array" ref="B543">XLOOKUP(A543, CURSOS!A:A, CURSOS!B:B)</f>
        <v>#N/A</v>
      </c>
      <c r="C543" s="75" t="str">
        <f t="array" ref="C543">XLOOKUP(A543, CURSOS!A:A, CURSOS!C:C)</f>
        <v>#N/A</v>
      </c>
      <c r="D543" s="70" t="e">
        <v>#N/A</v>
      </c>
      <c r="E543" s="48"/>
      <c r="F543" s="48" t="str">
        <f t="array" ref="F543">XLOOKUP($D543,REGOLITOS!$A:$A,REGOLITOS!F:F)</f>
        <v>#N/A</v>
      </c>
      <c r="G543" s="48" t="str">
        <f t="array" ref="G543">XLOOKUP($D543,REGOLITOS!$A:$A,REGOLITOS!G:G)</f>
        <v>#N/A</v>
      </c>
      <c r="H543" s="48" t="str">
        <f t="array" ref="H543">XLOOKUP($D543,REGOLITOS!$A:$A,REGOLITOS!H:H)</f>
        <v>#N/A</v>
      </c>
      <c r="I543" s="48" t="str">
        <f t="array" ref="I543">XLOOKUP($D543,REGOLITOS!$A:$A,REGOLITOS!I:I)</f>
        <v>#N/A</v>
      </c>
      <c r="J543" s="48" t="str">
        <f t="array" ref="J543">XLOOKUP($D543,REGOLITOS!$A:$A,REGOLITOS!J:J)</f>
        <v>#N/A</v>
      </c>
      <c r="K543" s="48" t="str">
        <f t="array" ref="K543">XLOOKUP($D543,REGOLITOS!$A:$A,REGOLITOS!K:K)</f>
        <v>#N/A</v>
      </c>
      <c r="L543" s="76"/>
      <c r="M543" s="5" t="s">
        <v>1080</v>
      </c>
      <c r="N543" s="5" t="s">
        <v>1080</v>
      </c>
      <c r="O543" s="5" t="s">
        <v>1080</v>
      </c>
      <c r="P543" s="5" t="s">
        <v>1080</v>
      </c>
      <c r="Q543" s="5" t="s">
        <v>1080</v>
      </c>
      <c r="X543" s="71">
        <f t="shared" si="5"/>
        <v>0</v>
      </c>
      <c r="Y543" s="5" t="b">
        <v>0</v>
      </c>
    </row>
    <row r="544">
      <c r="B544" s="5" t="str">
        <f t="array" ref="B544">XLOOKUP(A544, CURSOS!A:A, CURSOS!B:B)</f>
        <v>#N/A</v>
      </c>
      <c r="C544" s="75" t="str">
        <f t="array" ref="C544">XLOOKUP(A544, CURSOS!A:A, CURSOS!C:C)</f>
        <v>#N/A</v>
      </c>
      <c r="D544" s="70" t="e">
        <v>#N/A</v>
      </c>
      <c r="E544" s="48"/>
      <c r="F544" s="48" t="str">
        <f t="array" ref="F544">XLOOKUP($D544,REGOLITOS!$A:$A,REGOLITOS!F:F)</f>
        <v>#N/A</v>
      </c>
      <c r="G544" s="48" t="str">
        <f t="array" ref="G544">XLOOKUP($D544,REGOLITOS!$A:$A,REGOLITOS!G:G)</f>
        <v>#N/A</v>
      </c>
      <c r="H544" s="48" t="str">
        <f t="array" ref="H544">XLOOKUP($D544,REGOLITOS!$A:$A,REGOLITOS!H:H)</f>
        <v>#N/A</v>
      </c>
      <c r="I544" s="48" t="str">
        <f t="array" ref="I544">XLOOKUP($D544,REGOLITOS!$A:$A,REGOLITOS!I:I)</f>
        <v>#N/A</v>
      </c>
      <c r="J544" s="48" t="str">
        <f t="array" ref="J544">XLOOKUP($D544,REGOLITOS!$A:$A,REGOLITOS!J:J)</f>
        <v>#N/A</v>
      </c>
      <c r="K544" s="48" t="str">
        <f t="array" ref="K544">XLOOKUP($D544,REGOLITOS!$A:$A,REGOLITOS!K:K)</f>
        <v>#N/A</v>
      </c>
      <c r="L544" s="76"/>
      <c r="M544" s="5" t="s">
        <v>1080</v>
      </c>
      <c r="N544" s="5" t="s">
        <v>1080</v>
      </c>
      <c r="O544" s="5" t="s">
        <v>1080</v>
      </c>
      <c r="P544" s="5" t="s">
        <v>1080</v>
      </c>
      <c r="Q544" s="5" t="s">
        <v>1080</v>
      </c>
      <c r="X544" s="71">
        <f t="shared" si="5"/>
        <v>0</v>
      </c>
      <c r="Y544" s="5" t="b">
        <v>0</v>
      </c>
    </row>
    <row r="545">
      <c r="B545" s="5" t="str">
        <f t="array" ref="B545">XLOOKUP(A545, CURSOS!A:A, CURSOS!B:B)</f>
        <v>#N/A</v>
      </c>
      <c r="C545" s="75" t="str">
        <f t="array" ref="C545">XLOOKUP(A545, CURSOS!A:A, CURSOS!C:C)</f>
        <v>#N/A</v>
      </c>
      <c r="D545" s="70" t="e">
        <v>#N/A</v>
      </c>
      <c r="E545" s="48"/>
      <c r="F545" s="48" t="str">
        <f t="array" ref="F545">XLOOKUP($D545,REGOLITOS!$A:$A,REGOLITOS!F:F)</f>
        <v>#N/A</v>
      </c>
      <c r="G545" s="48" t="str">
        <f t="array" ref="G545">XLOOKUP($D545,REGOLITOS!$A:$A,REGOLITOS!G:G)</f>
        <v>#N/A</v>
      </c>
      <c r="H545" s="48" t="str">
        <f t="array" ref="H545">XLOOKUP($D545,REGOLITOS!$A:$A,REGOLITOS!H:H)</f>
        <v>#N/A</v>
      </c>
      <c r="I545" s="48" t="str">
        <f t="array" ref="I545">XLOOKUP($D545,REGOLITOS!$A:$A,REGOLITOS!I:I)</f>
        <v>#N/A</v>
      </c>
      <c r="J545" s="48" t="str">
        <f t="array" ref="J545">XLOOKUP($D545,REGOLITOS!$A:$A,REGOLITOS!J:J)</f>
        <v>#N/A</v>
      </c>
      <c r="K545" s="48" t="str">
        <f t="array" ref="K545">XLOOKUP($D545,REGOLITOS!$A:$A,REGOLITOS!K:K)</f>
        <v>#N/A</v>
      </c>
      <c r="L545" s="76"/>
      <c r="M545" s="5" t="s">
        <v>1080</v>
      </c>
      <c r="N545" s="5" t="s">
        <v>1080</v>
      </c>
      <c r="O545" s="5" t="s">
        <v>1080</v>
      </c>
      <c r="P545" s="5" t="s">
        <v>1080</v>
      </c>
      <c r="Q545" s="5" t="s">
        <v>1080</v>
      </c>
      <c r="X545" s="71">
        <f t="shared" si="5"/>
        <v>0</v>
      </c>
      <c r="Y545" s="5" t="b">
        <v>0</v>
      </c>
    </row>
    <row r="546">
      <c r="B546" s="5" t="str">
        <f t="array" ref="B546">XLOOKUP(A546, CURSOS!A:A, CURSOS!B:B)</f>
        <v>#N/A</v>
      </c>
      <c r="C546" s="75" t="str">
        <f t="array" ref="C546">XLOOKUP(A546, CURSOS!A:A, CURSOS!C:C)</f>
        <v>#N/A</v>
      </c>
      <c r="D546" s="70" t="e">
        <v>#N/A</v>
      </c>
      <c r="E546" s="48"/>
      <c r="F546" s="48" t="str">
        <f t="array" ref="F546">XLOOKUP($D546,REGOLITOS!$A:$A,REGOLITOS!F:F)</f>
        <v>#N/A</v>
      </c>
      <c r="G546" s="48" t="str">
        <f t="array" ref="G546">XLOOKUP($D546,REGOLITOS!$A:$A,REGOLITOS!G:G)</f>
        <v>#N/A</v>
      </c>
      <c r="H546" s="48" t="str">
        <f t="array" ref="H546">XLOOKUP($D546,REGOLITOS!$A:$A,REGOLITOS!H:H)</f>
        <v>#N/A</v>
      </c>
      <c r="I546" s="48" t="str">
        <f t="array" ref="I546">XLOOKUP($D546,REGOLITOS!$A:$A,REGOLITOS!I:I)</f>
        <v>#N/A</v>
      </c>
      <c r="J546" s="48" t="str">
        <f t="array" ref="J546">XLOOKUP($D546,REGOLITOS!$A:$A,REGOLITOS!J:J)</f>
        <v>#N/A</v>
      </c>
      <c r="K546" s="48" t="str">
        <f t="array" ref="K546">XLOOKUP($D546,REGOLITOS!$A:$A,REGOLITOS!K:K)</f>
        <v>#N/A</v>
      </c>
      <c r="L546" s="76"/>
      <c r="M546" s="5" t="s">
        <v>1080</v>
      </c>
      <c r="N546" s="5" t="s">
        <v>1080</v>
      </c>
      <c r="O546" s="5" t="s">
        <v>1080</v>
      </c>
      <c r="P546" s="5" t="s">
        <v>1080</v>
      </c>
      <c r="Q546" s="5" t="s">
        <v>1080</v>
      </c>
      <c r="X546" s="71">
        <f t="shared" si="5"/>
        <v>0</v>
      </c>
      <c r="Y546" s="5" t="b">
        <v>0</v>
      </c>
    </row>
    <row r="547">
      <c r="B547" s="5" t="str">
        <f t="array" ref="B547">XLOOKUP(A547, CURSOS!A:A, CURSOS!B:B)</f>
        <v>#N/A</v>
      </c>
      <c r="C547" s="75" t="str">
        <f t="array" ref="C547">XLOOKUP(A547, CURSOS!A:A, CURSOS!C:C)</f>
        <v>#N/A</v>
      </c>
      <c r="D547" s="70" t="e">
        <v>#N/A</v>
      </c>
      <c r="E547" s="48"/>
      <c r="F547" s="48" t="str">
        <f t="array" ref="F547">XLOOKUP($D547,REGOLITOS!$A:$A,REGOLITOS!F:F)</f>
        <v>#N/A</v>
      </c>
      <c r="G547" s="48" t="str">
        <f t="array" ref="G547">XLOOKUP($D547,REGOLITOS!$A:$A,REGOLITOS!G:G)</f>
        <v>#N/A</v>
      </c>
      <c r="H547" s="48" t="str">
        <f t="array" ref="H547">XLOOKUP($D547,REGOLITOS!$A:$A,REGOLITOS!H:H)</f>
        <v>#N/A</v>
      </c>
      <c r="I547" s="48" t="str">
        <f t="array" ref="I547">XLOOKUP($D547,REGOLITOS!$A:$A,REGOLITOS!I:I)</f>
        <v>#N/A</v>
      </c>
      <c r="J547" s="48" t="str">
        <f t="array" ref="J547">XLOOKUP($D547,REGOLITOS!$A:$A,REGOLITOS!J:J)</f>
        <v>#N/A</v>
      </c>
      <c r="K547" s="48" t="str">
        <f t="array" ref="K547">XLOOKUP($D547,REGOLITOS!$A:$A,REGOLITOS!K:K)</f>
        <v>#N/A</v>
      </c>
      <c r="L547" s="76"/>
      <c r="M547" s="5" t="s">
        <v>1080</v>
      </c>
      <c r="N547" s="5" t="s">
        <v>1080</v>
      </c>
      <c r="O547" s="5" t="s">
        <v>1080</v>
      </c>
      <c r="P547" s="5" t="s">
        <v>1080</v>
      </c>
      <c r="Q547" s="5" t="s">
        <v>1080</v>
      </c>
      <c r="X547" s="71">
        <f t="shared" si="5"/>
        <v>0</v>
      </c>
      <c r="Y547" s="5" t="b">
        <v>0</v>
      </c>
    </row>
    <row r="548">
      <c r="B548" s="5" t="str">
        <f t="array" ref="B548">XLOOKUP(A548, CURSOS!A:A, CURSOS!B:B)</f>
        <v>#N/A</v>
      </c>
      <c r="C548" s="75" t="str">
        <f t="array" ref="C548">XLOOKUP(A548, CURSOS!A:A, CURSOS!C:C)</f>
        <v>#N/A</v>
      </c>
      <c r="D548" s="70" t="e">
        <v>#N/A</v>
      </c>
      <c r="E548" s="48"/>
      <c r="F548" s="48" t="str">
        <f t="array" ref="F548">XLOOKUP($D548,REGOLITOS!$A:$A,REGOLITOS!F:F)</f>
        <v>#N/A</v>
      </c>
      <c r="G548" s="48" t="str">
        <f t="array" ref="G548">XLOOKUP($D548,REGOLITOS!$A:$A,REGOLITOS!G:G)</f>
        <v>#N/A</v>
      </c>
      <c r="H548" s="48" t="str">
        <f t="array" ref="H548">XLOOKUP($D548,REGOLITOS!$A:$A,REGOLITOS!H:H)</f>
        <v>#N/A</v>
      </c>
      <c r="I548" s="48" t="str">
        <f t="array" ref="I548">XLOOKUP($D548,REGOLITOS!$A:$A,REGOLITOS!I:I)</f>
        <v>#N/A</v>
      </c>
      <c r="J548" s="48" t="str">
        <f t="array" ref="J548">XLOOKUP($D548,REGOLITOS!$A:$A,REGOLITOS!J:J)</f>
        <v>#N/A</v>
      </c>
      <c r="K548" s="48" t="str">
        <f t="array" ref="K548">XLOOKUP($D548,REGOLITOS!$A:$A,REGOLITOS!K:K)</f>
        <v>#N/A</v>
      </c>
      <c r="L548" s="76"/>
      <c r="M548" s="5" t="s">
        <v>1080</v>
      </c>
      <c r="N548" s="5" t="s">
        <v>1080</v>
      </c>
      <c r="O548" s="5" t="s">
        <v>1080</v>
      </c>
      <c r="P548" s="5" t="s">
        <v>1080</v>
      </c>
      <c r="Q548" s="5" t="s">
        <v>1080</v>
      </c>
      <c r="X548" s="71">
        <f t="shared" si="5"/>
        <v>0</v>
      </c>
      <c r="Y548" s="5" t="b">
        <v>0</v>
      </c>
    </row>
    <row r="549">
      <c r="B549" s="5" t="str">
        <f t="array" ref="B549">XLOOKUP(A549, CURSOS!A:A, CURSOS!B:B)</f>
        <v>#N/A</v>
      </c>
      <c r="C549" s="75" t="str">
        <f t="array" ref="C549">XLOOKUP(A549, CURSOS!A:A, CURSOS!C:C)</f>
        <v>#N/A</v>
      </c>
      <c r="D549" s="70" t="e">
        <v>#N/A</v>
      </c>
      <c r="E549" s="48"/>
      <c r="F549" s="48" t="str">
        <f t="array" ref="F549">XLOOKUP($D549,REGOLITOS!$A:$A,REGOLITOS!F:F)</f>
        <v>#N/A</v>
      </c>
      <c r="G549" s="48" t="str">
        <f t="array" ref="G549">XLOOKUP($D549,REGOLITOS!$A:$A,REGOLITOS!G:G)</f>
        <v>#N/A</v>
      </c>
      <c r="H549" s="48" t="str">
        <f t="array" ref="H549">XLOOKUP($D549,REGOLITOS!$A:$A,REGOLITOS!H:H)</f>
        <v>#N/A</v>
      </c>
      <c r="I549" s="48" t="str">
        <f t="array" ref="I549">XLOOKUP($D549,REGOLITOS!$A:$A,REGOLITOS!I:I)</f>
        <v>#N/A</v>
      </c>
      <c r="J549" s="48" t="str">
        <f t="array" ref="J549">XLOOKUP($D549,REGOLITOS!$A:$A,REGOLITOS!J:J)</f>
        <v>#N/A</v>
      </c>
      <c r="K549" s="48" t="str">
        <f t="array" ref="K549">XLOOKUP($D549,REGOLITOS!$A:$A,REGOLITOS!K:K)</f>
        <v>#N/A</v>
      </c>
      <c r="L549" s="76"/>
      <c r="M549" s="5" t="s">
        <v>1080</v>
      </c>
      <c r="N549" s="5" t="s">
        <v>1080</v>
      </c>
      <c r="O549" s="5" t="s">
        <v>1080</v>
      </c>
      <c r="P549" s="5" t="s">
        <v>1080</v>
      </c>
      <c r="Q549" s="5" t="s">
        <v>1080</v>
      </c>
      <c r="X549" s="71">
        <f t="shared" si="5"/>
        <v>0</v>
      </c>
      <c r="Y549" s="5" t="b">
        <v>0</v>
      </c>
    </row>
    <row r="550">
      <c r="B550" s="5" t="str">
        <f t="array" ref="B550">XLOOKUP(A550, CURSOS!A:A, CURSOS!B:B)</f>
        <v>#N/A</v>
      </c>
      <c r="C550" s="75" t="str">
        <f t="array" ref="C550">XLOOKUP(A550, CURSOS!A:A, CURSOS!C:C)</f>
        <v>#N/A</v>
      </c>
      <c r="D550" s="70" t="e">
        <v>#N/A</v>
      </c>
      <c r="E550" s="48"/>
      <c r="F550" s="48" t="str">
        <f t="array" ref="F550">XLOOKUP($D550,REGOLITOS!$A:$A,REGOLITOS!F:F)</f>
        <v>#N/A</v>
      </c>
      <c r="G550" s="48" t="str">
        <f t="array" ref="G550">XLOOKUP($D550,REGOLITOS!$A:$A,REGOLITOS!G:G)</f>
        <v>#N/A</v>
      </c>
      <c r="H550" s="48" t="str">
        <f t="array" ref="H550">XLOOKUP($D550,REGOLITOS!$A:$A,REGOLITOS!H:H)</f>
        <v>#N/A</v>
      </c>
      <c r="I550" s="48" t="str">
        <f t="array" ref="I550">XLOOKUP($D550,REGOLITOS!$A:$A,REGOLITOS!I:I)</f>
        <v>#N/A</v>
      </c>
      <c r="J550" s="48" t="str">
        <f t="array" ref="J550">XLOOKUP($D550,REGOLITOS!$A:$A,REGOLITOS!J:J)</f>
        <v>#N/A</v>
      </c>
      <c r="K550" s="48" t="str">
        <f t="array" ref="K550">XLOOKUP($D550,REGOLITOS!$A:$A,REGOLITOS!K:K)</f>
        <v>#N/A</v>
      </c>
      <c r="L550" s="76"/>
      <c r="M550" s="5" t="s">
        <v>1080</v>
      </c>
      <c r="N550" s="5" t="s">
        <v>1080</v>
      </c>
      <c r="O550" s="5" t="s">
        <v>1080</v>
      </c>
      <c r="P550" s="5" t="s">
        <v>1080</v>
      </c>
      <c r="Q550" s="5" t="s">
        <v>1080</v>
      </c>
      <c r="X550" s="71">
        <f t="shared" si="5"/>
        <v>0</v>
      </c>
      <c r="Y550" s="5" t="b">
        <v>0</v>
      </c>
    </row>
    <row r="551">
      <c r="B551" s="5" t="str">
        <f t="array" ref="B551">XLOOKUP(A551, CURSOS!A:A, CURSOS!B:B)</f>
        <v>#N/A</v>
      </c>
      <c r="C551" s="75" t="str">
        <f t="array" ref="C551">XLOOKUP(A551, CURSOS!A:A, CURSOS!C:C)</f>
        <v>#N/A</v>
      </c>
      <c r="D551" s="70" t="e">
        <v>#N/A</v>
      </c>
      <c r="E551" s="48"/>
      <c r="F551" s="48" t="str">
        <f t="array" ref="F551">XLOOKUP($D551,REGOLITOS!$A:$A,REGOLITOS!F:F)</f>
        <v>#N/A</v>
      </c>
      <c r="G551" s="48" t="str">
        <f t="array" ref="G551">XLOOKUP($D551,REGOLITOS!$A:$A,REGOLITOS!G:G)</f>
        <v>#N/A</v>
      </c>
      <c r="H551" s="48" t="str">
        <f t="array" ref="H551">XLOOKUP($D551,REGOLITOS!$A:$A,REGOLITOS!H:H)</f>
        <v>#N/A</v>
      </c>
      <c r="I551" s="48" t="str">
        <f t="array" ref="I551">XLOOKUP($D551,REGOLITOS!$A:$A,REGOLITOS!I:I)</f>
        <v>#N/A</v>
      </c>
      <c r="J551" s="48" t="str">
        <f t="array" ref="J551">XLOOKUP($D551,REGOLITOS!$A:$A,REGOLITOS!J:J)</f>
        <v>#N/A</v>
      </c>
      <c r="K551" s="48" t="str">
        <f t="array" ref="K551">XLOOKUP($D551,REGOLITOS!$A:$A,REGOLITOS!K:K)</f>
        <v>#N/A</v>
      </c>
      <c r="L551" s="76"/>
      <c r="M551" s="5" t="s">
        <v>1080</v>
      </c>
      <c r="N551" s="5" t="s">
        <v>1080</v>
      </c>
      <c r="O551" s="5" t="s">
        <v>1080</v>
      </c>
      <c r="P551" s="5" t="s">
        <v>1080</v>
      </c>
      <c r="Q551" s="5" t="s">
        <v>1080</v>
      </c>
      <c r="X551" s="71">
        <f t="shared" si="5"/>
        <v>0</v>
      </c>
      <c r="Y551" s="5" t="b">
        <v>0</v>
      </c>
    </row>
    <row r="552">
      <c r="B552" s="5" t="str">
        <f t="array" ref="B552">XLOOKUP(A552, CURSOS!A:A, CURSOS!B:B)</f>
        <v>#N/A</v>
      </c>
      <c r="C552" s="75" t="str">
        <f t="array" ref="C552">XLOOKUP(A552, CURSOS!A:A, CURSOS!C:C)</f>
        <v>#N/A</v>
      </c>
      <c r="D552" s="70" t="e">
        <v>#N/A</v>
      </c>
      <c r="E552" s="48"/>
      <c r="F552" s="48" t="str">
        <f t="array" ref="F552">XLOOKUP($D552,REGOLITOS!$A:$A,REGOLITOS!F:F)</f>
        <v>#N/A</v>
      </c>
      <c r="G552" s="48" t="str">
        <f t="array" ref="G552">XLOOKUP($D552,REGOLITOS!$A:$A,REGOLITOS!G:G)</f>
        <v>#N/A</v>
      </c>
      <c r="H552" s="48" t="str">
        <f t="array" ref="H552">XLOOKUP($D552,REGOLITOS!$A:$A,REGOLITOS!H:H)</f>
        <v>#N/A</v>
      </c>
      <c r="I552" s="48" t="str">
        <f t="array" ref="I552">XLOOKUP($D552,REGOLITOS!$A:$A,REGOLITOS!I:I)</f>
        <v>#N/A</v>
      </c>
      <c r="J552" s="48" t="str">
        <f t="array" ref="J552">XLOOKUP($D552,REGOLITOS!$A:$A,REGOLITOS!J:J)</f>
        <v>#N/A</v>
      </c>
      <c r="K552" s="48" t="str">
        <f t="array" ref="K552">XLOOKUP($D552,REGOLITOS!$A:$A,REGOLITOS!K:K)</f>
        <v>#N/A</v>
      </c>
      <c r="L552" s="76"/>
      <c r="M552" s="5" t="s">
        <v>1080</v>
      </c>
      <c r="N552" s="5" t="s">
        <v>1080</v>
      </c>
      <c r="O552" s="5" t="s">
        <v>1080</v>
      </c>
      <c r="P552" s="5" t="s">
        <v>1080</v>
      </c>
      <c r="Q552" s="5" t="s">
        <v>1080</v>
      </c>
      <c r="X552" s="71">
        <f t="shared" si="5"/>
        <v>0</v>
      </c>
      <c r="Y552" s="5" t="b">
        <v>0</v>
      </c>
    </row>
    <row r="553">
      <c r="B553" s="5" t="str">
        <f t="array" ref="B553">XLOOKUP(A553, CURSOS!A:A, CURSOS!B:B)</f>
        <v>#N/A</v>
      </c>
      <c r="C553" s="75" t="str">
        <f t="array" ref="C553">XLOOKUP(A553, CURSOS!A:A, CURSOS!C:C)</f>
        <v>#N/A</v>
      </c>
      <c r="D553" s="70" t="e">
        <v>#N/A</v>
      </c>
      <c r="E553" s="48"/>
      <c r="F553" s="48" t="str">
        <f t="array" ref="F553">XLOOKUP($D553,REGOLITOS!$A:$A,REGOLITOS!F:F)</f>
        <v>#N/A</v>
      </c>
      <c r="G553" s="48" t="str">
        <f t="array" ref="G553">XLOOKUP($D553,REGOLITOS!$A:$A,REGOLITOS!G:G)</f>
        <v>#N/A</v>
      </c>
      <c r="H553" s="48" t="str">
        <f t="array" ref="H553">XLOOKUP($D553,REGOLITOS!$A:$A,REGOLITOS!H:H)</f>
        <v>#N/A</v>
      </c>
      <c r="I553" s="48" t="str">
        <f t="array" ref="I553">XLOOKUP($D553,REGOLITOS!$A:$A,REGOLITOS!I:I)</f>
        <v>#N/A</v>
      </c>
      <c r="J553" s="48" t="str">
        <f t="array" ref="J553">XLOOKUP($D553,REGOLITOS!$A:$A,REGOLITOS!J:J)</f>
        <v>#N/A</v>
      </c>
      <c r="K553" s="48" t="str">
        <f t="array" ref="K553">XLOOKUP($D553,REGOLITOS!$A:$A,REGOLITOS!K:K)</f>
        <v>#N/A</v>
      </c>
      <c r="L553" s="76"/>
      <c r="M553" s="5" t="s">
        <v>1080</v>
      </c>
      <c r="N553" s="5" t="s">
        <v>1080</v>
      </c>
      <c r="O553" s="5" t="s">
        <v>1080</v>
      </c>
      <c r="P553" s="5" t="s">
        <v>1080</v>
      </c>
      <c r="Q553" s="5" t="s">
        <v>1080</v>
      </c>
      <c r="X553" s="71">
        <f t="shared" si="5"/>
        <v>0</v>
      </c>
      <c r="Y553" s="5" t="b">
        <v>0</v>
      </c>
    </row>
    <row r="554">
      <c r="B554" s="5" t="str">
        <f t="array" ref="B554">XLOOKUP(A554, CURSOS!A:A, CURSOS!B:B)</f>
        <v>#N/A</v>
      </c>
      <c r="C554" s="75" t="str">
        <f t="array" ref="C554">XLOOKUP(A554, CURSOS!A:A, CURSOS!C:C)</f>
        <v>#N/A</v>
      </c>
      <c r="D554" s="70" t="e">
        <v>#N/A</v>
      </c>
      <c r="E554" s="48"/>
      <c r="F554" s="48" t="str">
        <f t="array" ref="F554">XLOOKUP($D554,REGOLITOS!$A:$A,REGOLITOS!F:F)</f>
        <v>#N/A</v>
      </c>
      <c r="G554" s="48" t="str">
        <f t="array" ref="G554">XLOOKUP($D554,REGOLITOS!$A:$A,REGOLITOS!G:G)</f>
        <v>#N/A</v>
      </c>
      <c r="H554" s="48" t="str">
        <f t="array" ref="H554">XLOOKUP($D554,REGOLITOS!$A:$A,REGOLITOS!H:H)</f>
        <v>#N/A</v>
      </c>
      <c r="I554" s="48" t="str">
        <f t="array" ref="I554">XLOOKUP($D554,REGOLITOS!$A:$A,REGOLITOS!I:I)</f>
        <v>#N/A</v>
      </c>
      <c r="J554" s="48" t="str">
        <f t="array" ref="J554">XLOOKUP($D554,REGOLITOS!$A:$A,REGOLITOS!J:J)</f>
        <v>#N/A</v>
      </c>
      <c r="K554" s="48" t="str">
        <f t="array" ref="K554">XLOOKUP($D554,REGOLITOS!$A:$A,REGOLITOS!K:K)</f>
        <v>#N/A</v>
      </c>
      <c r="L554" s="76"/>
      <c r="M554" s="5" t="s">
        <v>1080</v>
      </c>
      <c r="N554" s="5" t="s">
        <v>1080</v>
      </c>
      <c r="O554" s="5" t="s">
        <v>1080</v>
      </c>
      <c r="P554" s="5" t="s">
        <v>1080</v>
      </c>
      <c r="Q554" s="5" t="s">
        <v>1080</v>
      </c>
      <c r="X554" s="71">
        <f t="shared" si="5"/>
        <v>0</v>
      </c>
      <c r="Y554" s="5" t="b">
        <v>0</v>
      </c>
    </row>
    <row r="555">
      <c r="B555" s="5" t="str">
        <f t="array" ref="B555">XLOOKUP(A555, CURSOS!A:A, CURSOS!B:B)</f>
        <v>#N/A</v>
      </c>
      <c r="C555" s="75" t="str">
        <f t="array" ref="C555">XLOOKUP(A555, CURSOS!A:A, CURSOS!C:C)</f>
        <v>#N/A</v>
      </c>
      <c r="D555" s="70" t="e">
        <v>#N/A</v>
      </c>
      <c r="E555" s="48"/>
      <c r="F555" s="48" t="str">
        <f t="array" ref="F555">XLOOKUP($D555,REGOLITOS!$A:$A,REGOLITOS!F:F)</f>
        <v>#N/A</v>
      </c>
      <c r="G555" s="48" t="str">
        <f t="array" ref="G555">XLOOKUP($D555,REGOLITOS!$A:$A,REGOLITOS!G:G)</f>
        <v>#N/A</v>
      </c>
      <c r="H555" s="48" t="str">
        <f t="array" ref="H555">XLOOKUP($D555,REGOLITOS!$A:$A,REGOLITOS!H:H)</f>
        <v>#N/A</v>
      </c>
      <c r="I555" s="48" t="str">
        <f t="array" ref="I555">XLOOKUP($D555,REGOLITOS!$A:$A,REGOLITOS!I:I)</f>
        <v>#N/A</v>
      </c>
      <c r="J555" s="48" t="str">
        <f t="array" ref="J555">XLOOKUP($D555,REGOLITOS!$A:$A,REGOLITOS!J:J)</f>
        <v>#N/A</v>
      </c>
      <c r="K555" s="48" t="str">
        <f t="array" ref="K555">XLOOKUP($D555,REGOLITOS!$A:$A,REGOLITOS!K:K)</f>
        <v>#N/A</v>
      </c>
      <c r="L555" s="76"/>
      <c r="M555" s="5" t="s">
        <v>1080</v>
      </c>
      <c r="N555" s="5" t="s">
        <v>1080</v>
      </c>
      <c r="O555" s="5" t="s">
        <v>1080</v>
      </c>
      <c r="P555" s="5" t="s">
        <v>1080</v>
      </c>
      <c r="Q555" s="5" t="s">
        <v>1080</v>
      </c>
      <c r="X555" s="71">
        <f t="shared" si="5"/>
        <v>0</v>
      </c>
      <c r="Y555" s="5" t="b">
        <v>0</v>
      </c>
    </row>
    <row r="556">
      <c r="B556" s="5" t="str">
        <f t="array" ref="B556">XLOOKUP(A556, CURSOS!A:A, CURSOS!B:B)</f>
        <v>#N/A</v>
      </c>
      <c r="C556" s="75" t="str">
        <f t="array" ref="C556">XLOOKUP(A556, CURSOS!A:A, CURSOS!C:C)</f>
        <v>#N/A</v>
      </c>
      <c r="D556" s="70" t="e">
        <v>#N/A</v>
      </c>
      <c r="E556" s="48"/>
      <c r="F556" s="48" t="str">
        <f t="array" ref="F556">XLOOKUP($D556,REGOLITOS!$A:$A,REGOLITOS!F:F)</f>
        <v>#N/A</v>
      </c>
      <c r="G556" s="48" t="str">
        <f t="array" ref="G556">XLOOKUP($D556,REGOLITOS!$A:$A,REGOLITOS!G:G)</f>
        <v>#N/A</v>
      </c>
      <c r="H556" s="48" t="str">
        <f t="array" ref="H556">XLOOKUP($D556,REGOLITOS!$A:$A,REGOLITOS!H:H)</f>
        <v>#N/A</v>
      </c>
      <c r="I556" s="48" t="str">
        <f t="array" ref="I556">XLOOKUP($D556,REGOLITOS!$A:$A,REGOLITOS!I:I)</f>
        <v>#N/A</v>
      </c>
      <c r="J556" s="48" t="str">
        <f t="array" ref="J556">XLOOKUP($D556,REGOLITOS!$A:$A,REGOLITOS!J:J)</f>
        <v>#N/A</v>
      </c>
      <c r="K556" s="48" t="str">
        <f t="array" ref="K556">XLOOKUP($D556,REGOLITOS!$A:$A,REGOLITOS!K:K)</f>
        <v>#N/A</v>
      </c>
      <c r="L556" s="76"/>
      <c r="M556" s="5" t="s">
        <v>1080</v>
      </c>
      <c r="N556" s="5" t="s">
        <v>1080</v>
      </c>
      <c r="O556" s="5" t="s">
        <v>1080</v>
      </c>
      <c r="P556" s="5" t="s">
        <v>1080</v>
      </c>
      <c r="Q556" s="5" t="s">
        <v>1080</v>
      </c>
      <c r="X556" s="71">
        <f t="shared" si="5"/>
        <v>0</v>
      </c>
      <c r="Y556" s="5" t="b">
        <v>0</v>
      </c>
    </row>
    <row r="557">
      <c r="B557" s="5" t="str">
        <f t="array" ref="B557">XLOOKUP(A557, CURSOS!A:A, CURSOS!B:B)</f>
        <v>#N/A</v>
      </c>
      <c r="C557" s="75" t="str">
        <f t="array" ref="C557">XLOOKUP(A557, CURSOS!A:A, CURSOS!C:C)</f>
        <v>#N/A</v>
      </c>
      <c r="D557" s="70" t="e">
        <v>#N/A</v>
      </c>
      <c r="E557" s="48"/>
      <c r="F557" s="48" t="str">
        <f t="array" ref="F557">XLOOKUP($D557,REGOLITOS!$A:$A,REGOLITOS!F:F)</f>
        <v>#N/A</v>
      </c>
      <c r="G557" s="48" t="str">
        <f t="array" ref="G557">XLOOKUP($D557,REGOLITOS!$A:$A,REGOLITOS!G:G)</f>
        <v>#N/A</v>
      </c>
      <c r="H557" s="48" t="str">
        <f t="array" ref="H557">XLOOKUP($D557,REGOLITOS!$A:$A,REGOLITOS!H:H)</f>
        <v>#N/A</v>
      </c>
      <c r="I557" s="48" t="str">
        <f t="array" ref="I557">XLOOKUP($D557,REGOLITOS!$A:$A,REGOLITOS!I:I)</f>
        <v>#N/A</v>
      </c>
      <c r="J557" s="48" t="str">
        <f t="array" ref="J557">XLOOKUP($D557,REGOLITOS!$A:$A,REGOLITOS!J:J)</f>
        <v>#N/A</v>
      </c>
      <c r="K557" s="48" t="str">
        <f t="array" ref="K557">XLOOKUP($D557,REGOLITOS!$A:$A,REGOLITOS!K:K)</f>
        <v>#N/A</v>
      </c>
      <c r="L557" s="76"/>
      <c r="M557" s="5" t="s">
        <v>1080</v>
      </c>
      <c r="N557" s="5" t="s">
        <v>1080</v>
      </c>
      <c r="O557" s="5" t="s">
        <v>1080</v>
      </c>
      <c r="P557" s="5" t="s">
        <v>1080</v>
      </c>
      <c r="Q557" s="5" t="s">
        <v>1080</v>
      </c>
      <c r="X557" s="71">
        <f t="shared" si="5"/>
        <v>0</v>
      </c>
      <c r="Y557" s="5" t="b">
        <v>0</v>
      </c>
    </row>
    <row r="558">
      <c r="B558" s="5" t="str">
        <f t="array" ref="B558">XLOOKUP(A558, CURSOS!A:A, CURSOS!B:B)</f>
        <v>#N/A</v>
      </c>
      <c r="C558" s="75" t="str">
        <f t="array" ref="C558">XLOOKUP(A558, CURSOS!A:A, CURSOS!C:C)</f>
        <v>#N/A</v>
      </c>
      <c r="D558" s="70" t="e">
        <v>#N/A</v>
      </c>
      <c r="E558" s="48"/>
      <c r="F558" s="48" t="str">
        <f t="array" ref="F558">XLOOKUP($D558,REGOLITOS!$A:$A,REGOLITOS!F:F)</f>
        <v>#N/A</v>
      </c>
      <c r="G558" s="48" t="str">
        <f t="array" ref="G558">XLOOKUP($D558,REGOLITOS!$A:$A,REGOLITOS!G:G)</f>
        <v>#N/A</v>
      </c>
      <c r="H558" s="48" t="str">
        <f t="array" ref="H558">XLOOKUP($D558,REGOLITOS!$A:$A,REGOLITOS!H:H)</f>
        <v>#N/A</v>
      </c>
      <c r="I558" s="48" t="str">
        <f t="array" ref="I558">XLOOKUP($D558,REGOLITOS!$A:$A,REGOLITOS!I:I)</f>
        <v>#N/A</v>
      </c>
      <c r="J558" s="48" t="str">
        <f t="array" ref="J558">XLOOKUP($D558,REGOLITOS!$A:$A,REGOLITOS!J:J)</f>
        <v>#N/A</v>
      </c>
      <c r="K558" s="48" t="str">
        <f t="array" ref="K558">XLOOKUP($D558,REGOLITOS!$A:$A,REGOLITOS!K:K)</f>
        <v>#N/A</v>
      </c>
      <c r="L558" s="76"/>
      <c r="M558" s="5" t="s">
        <v>1080</v>
      </c>
      <c r="N558" s="5" t="s">
        <v>1080</v>
      </c>
      <c r="O558" s="5" t="s">
        <v>1080</v>
      </c>
      <c r="P558" s="5" t="s">
        <v>1080</v>
      </c>
      <c r="Q558" s="5" t="s">
        <v>1080</v>
      </c>
      <c r="X558" s="71">
        <f t="shared" si="5"/>
        <v>0</v>
      </c>
      <c r="Y558" s="5" t="b">
        <v>0</v>
      </c>
    </row>
    <row r="559">
      <c r="B559" s="5" t="str">
        <f t="array" ref="B559">XLOOKUP(A559, CURSOS!A:A, CURSOS!B:B)</f>
        <v>#N/A</v>
      </c>
      <c r="C559" s="75" t="str">
        <f t="array" ref="C559">XLOOKUP(A559, CURSOS!A:A, CURSOS!C:C)</f>
        <v>#N/A</v>
      </c>
      <c r="D559" s="70" t="e">
        <v>#N/A</v>
      </c>
      <c r="E559" s="48"/>
      <c r="F559" s="48" t="str">
        <f t="array" ref="F559">XLOOKUP($D559,REGOLITOS!$A:$A,REGOLITOS!F:F)</f>
        <v>#N/A</v>
      </c>
      <c r="G559" s="48" t="str">
        <f t="array" ref="G559">XLOOKUP($D559,REGOLITOS!$A:$A,REGOLITOS!G:G)</f>
        <v>#N/A</v>
      </c>
      <c r="H559" s="48" t="str">
        <f t="array" ref="H559">XLOOKUP($D559,REGOLITOS!$A:$A,REGOLITOS!H:H)</f>
        <v>#N/A</v>
      </c>
      <c r="I559" s="48" t="str">
        <f t="array" ref="I559">XLOOKUP($D559,REGOLITOS!$A:$A,REGOLITOS!I:I)</f>
        <v>#N/A</v>
      </c>
      <c r="J559" s="48" t="str">
        <f t="array" ref="J559">XLOOKUP($D559,REGOLITOS!$A:$A,REGOLITOS!J:J)</f>
        <v>#N/A</v>
      </c>
      <c r="K559" s="48" t="str">
        <f t="array" ref="K559">XLOOKUP($D559,REGOLITOS!$A:$A,REGOLITOS!K:K)</f>
        <v>#N/A</v>
      </c>
      <c r="L559" s="76"/>
      <c r="M559" s="5" t="s">
        <v>1080</v>
      </c>
      <c r="N559" s="5" t="s">
        <v>1080</v>
      </c>
      <c r="O559" s="5" t="s">
        <v>1080</v>
      </c>
      <c r="P559" s="5" t="s">
        <v>1080</v>
      </c>
      <c r="Q559" s="5" t="s">
        <v>1080</v>
      </c>
      <c r="X559" s="71">
        <f t="shared" si="5"/>
        <v>0</v>
      </c>
      <c r="Y559" s="5" t="b">
        <v>0</v>
      </c>
    </row>
    <row r="560">
      <c r="B560" s="5" t="str">
        <f t="array" ref="B560">XLOOKUP(A560, CURSOS!A:A, CURSOS!B:B)</f>
        <v>#N/A</v>
      </c>
      <c r="C560" s="75" t="str">
        <f t="array" ref="C560">XLOOKUP(A560, CURSOS!A:A, CURSOS!C:C)</f>
        <v>#N/A</v>
      </c>
      <c r="D560" s="70" t="e">
        <v>#N/A</v>
      </c>
      <c r="E560" s="48"/>
      <c r="F560" s="48" t="str">
        <f t="array" ref="F560">XLOOKUP($D560,REGOLITOS!$A:$A,REGOLITOS!F:F)</f>
        <v>#N/A</v>
      </c>
      <c r="G560" s="48" t="str">
        <f t="array" ref="G560">XLOOKUP($D560,REGOLITOS!$A:$A,REGOLITOS!G:G)</f>
        <v>#N/A</v>
      </c>
      <c r="H560" s="48" t="str">
        <f t="array" ref="H560">XLOOKUP($D560,REGOLITOS!$A:$A,REGOLITOS!H:H)</f>
        <v>#N/A</v>
      </c>
      <c r="I560" s="48" t="str">
        <f t="array" ref="I560">XLOOKUP($D560,REGOLITOS!$A:$A,REGOLITOS!I:I)</f>
        <v>#N/A</v>
      </c>
      <c r="J560" s="48" t="str">
        <f t="array" ref="J560">XLOOKUP($D560,REGOLITOS!$A:$A,REGOLITOS!J:J)</f>
        <v>#N/A</v>
      </c>
      <c r="K560" s="48" t="str">
        <f t="array" ref="K560">XLOOKUP($D560,REGOLITOS!$A:$A,REGOLITOS!K:K)</f>
        <v>#N/A</v>
      </c>
      <c r="L560" s="76"/>
      <c r="M560" s="5" t="s">
        <v>1080</v>
      </c>
      <c r="N560" s="5" t="s">
        <v>1080</v>
      </c>
      <c r="O560" s="5" t="s">
        <v>1080</v>
      </c>
      <c r="P560" s="5" t="s">
        <v>1080</v>
      </c>
      <c r="Q560" s="5" t="s">
        <v>1080</v>
      </c>
      <c r="X560" s="71">
        <f t="shared" si="5"/>
        <v>0</v>
      </c>
      <c r="Y560" s="5" t="b">
        <v>0</v>
      </c>
    </row>
    <row r="561">
      <c r="B561" s="5" t="str">
        <f t="array" ref="B561">XLOOKUP(A561, CURSOS!A:A, CURSOS!B:B)</f>
        <v>#N/A</v>
      </c>
      <c r="C561" s="75" t="str">
        <f t="array" ref="C561">XLOOKUP(A561, CURSOS!A:A, CURSOS!C:C)</f>
        <v>#N/A</v>
      </c>
      <c r="D561" s="70" t="e">
        <v>#N/A</v>
      </c>
      <c r="E561" s="48"/>
      <c r="F561" s="48" t="str">
        <f t="array" ref="F561">XLOOKUP($D561,REGOLITOS!$A:$A,REGOLITOS!F:F)</f>
        <v>#N/A</v>
      </c>
      <c r="G561" s="48" t="str">
        <f t="array" ref="G561">XLOOKUP($D561,REGOLITOS!$A:$A,REGOLITOS!G:G)</f>
        <v>#N/A</v>
      </c>
      <c r="H561" s="48" t="str">
        <f t="array" ref="H561">XLOOKUP($D561,REGOLITOS!$A:$A,REGOLITOS!H:H)</f>
        <v>#N/A</v>
      </c>
      <c r="I561" s="48" t="str">
        <f t="array" ref="I561">XLOOKUP($D561,REGOLITOS!$A:$A,REGOLITOS!I:I)</f>
        <v>#N/A</v>
      </c>
      <c r="J561" s="48" t="str">
        <f t="array" ref="J561">XLOOKUP($D561,REGOLITOS!$A:$A,REGOLITOS!J:J)</f>
        <v>#N/A</v>
      </c>
      <c r="K561" s="48" t="str">
        <f t="array" ref="K561">XLOOKUP($D561,REGOLITOS!$A:$A,REGOLITOS!K:K)</f>
        <v>#N/A</v>
      </c>
      <c r="L561" s="76"/>
      <c r="M561" s="5" t="s">
        <v>1080</v>
      </c>
      <c r="N561" s="5" t="s">
        <v>1080</v>
      </c>
      <c r="O561" s="5" t="s">
        <v>1080</v>
      </c>
      <c r="P561" s="5" t="s">
        <v>1080</v>
      </c>
      <c r="Q561" s="5" t="s">
        <v>1080</v>
      </c>
      <c r="X561" s="71">
        <f t="shared" si="5"/>
        <v>0</v>
      </c>
      <c r="Y561" s="5" t="b">
        <v>0</v>
      </c>
    </row>
    <row r="562">
      <c r="B562" s="5" t="str">
        <f t="array" ref="B562">XLOOKUP(A562, CURSOS!A:A, CURSOS!B:B)</f>
        <v>#N/A</v>
      </c>
      <c r="C562" s="75" t="str">
        <f t="array" ref="C562">XLOOKUP(A562, CURSOS!A:A, CURSOS!C:C)</f>
        <v>#N/A</v>
      </c>
      <c r="D562" s="70" t="e">
        <v>#N/A</v>
      </c>
      <c r="E562" s="48"/>
      <c r="F562" s="48" t="str">
        <f t="array" ref="F562">XLOOKUP($D562,REGOLITOS!$A:$A,REGOLITOS!F:F)</f>
        <v>#N/A</v>
      </c>
      <c r="G562" s="48" t="str">
        <f t="array" ref="G562">XLOOKUP($D562,REGOLITOS!$A:$A,REGOLITOS!G:G)</f>
        <v>#N/A</v>
      </c>
      <c r="H562" s="48" t="str">
        <f t="array" ref="H562">XLOOKUP($D562,REGOLITOS!$A:$A,REGOLITOS!H:H)</f>
        <v>#N/A</v>
      </c>
      <c r="I562" s="48" t="str">
        <f t="array" ref="I562">XLOOKUP($D562,REGOLITOS!$A:$A,REGOLITOS!I:I)</f>
        <v>#N/A</v>
      </c>
      <c r="J562" s="48" t="str">
        <f t="array" ref="J562">XLOOKUP($D562,REGOLITOS!$A:$A,REGOLITOS!J:J)</f>
        <v>#N/A</v>
      </c>
      <c r="K562" s="48" t="str">
        <f t="array" ref="K562">XLOOKUP($D562,REGOLITOS!$A:$A,REGOLITOS!K:K)</f>
        <v>#N/A</v>
      </c>
      <c r="L562" s="76"/>
      <c r="M562" s="5" t="s">
        <v>1080</v>
      </c>
      <c r="N562" s="5" t="s">
        <v>1080</v>
      </c>
      <c r="O562" s="5" t="s">
        <v>1080</v>
      </c>
      <c r="P562" s="5" t="s">
        <v>1080</v>
      </c>
      <c r="Q562" s="5" t="s">
        <v>1080</v>
      </c>
      <c r="X562" s="71">
        <f t="shared" si="5"/>
        <v>0</v>
      </c>
      <c r="Y562" s="5" t="b">
        <v>0</v>
      </c>
    </row>
    <row r="563">
      <c r="B563" s="5" t="str">
        <f t="array" ref="B563">XLOOKUP(A563, CURSOS!A:A, CURSOS!B:B)</f>
        <v>#N/A</v>
      </c>
      <c r="C563" s="75" t="str">
        <f t="array" ref="C563">XLOOKUP(A563, CURSOS!A:A, CURSOS!C:C)</f>
        <v>#N/A</v>
      </c>
      <c r="D563" s="70" t="e">
        <v>#N/A</v>
      </c>
      <c r="E563" s="48"/>
      <c r="F563" s="48" t="str">
        <f t="array" ref="F563">XLOOKUP($D563,REGOLITOS!$A:$A,REGOLITOS!F:F)</f>
        <v>#N/A</v>
      </c>
      <c r="G563" s="48" t="str">
        <f t="array" ref="G563">XLOOKUP($D563,REGOLITOS!$A:$A,REGOLITOS!G:G)</f>
        <v>#N/A</v>
      </c>
      <c r="H563" s="48" t="str">
        <f t="array" ref="H563">XLOOKUP($D563,REGOLITOS!$A:$A,REGOLITOS!H:H)</f>
        <v>#N/A</v>
      </c>
      <c r="I563" s="48" t="str">
        <f t="array" ref="I563">XLOOKUP($D563,REGOLITOS!$A:$A,REGOLITOS!I:I)</f>
        <v>#N/A</v>
      </c>
      <c r="J563" s="48" t="str">
        <f t="array" ref="J563">XLOOKUP($D563,REGOLITOS!$A:$A,REGOLITOS!J:J)</f>
        <v>#N/A</v>
      </c>
      <c r="K563" s="48" t="str">
        <f t="array" ref="K563">XLOOKUP($D563,REGOLITOS!$A:$A,REGOLITOS!K:K)</f>
        <v>#N/A</v>
      </c>
      <c r="L563" s="76"/>
      <c r="M563" s="5" t="s">
        <v>1080</v>
      </c>
      <c r="N563" s="5" t="s">
        <v>1080</v>
      </c>
      <c r="O563" s="5" t="s">
        <v>1080</v>
      </c>
      <c r="P563" s="5" t="s">
        <v>1080</v>
      </c>
      <c r="Q563" s="5" t="s">
        <v>1080</v>
      </c>
      <c r="X563" s="71">
        <f t="shared" si="5"/>
        <v>0</v>
      </c>
      <c r="Y563" s="5" t="b">
        <v>0</v>
      </c>
    </row>
    <row r="564">
      <c r="B564" s="5" t="str">
        <f t="array" ref="B564">XLOOKUP(A564, CURSOS!A:A, CURSOS!B:B)</f>
        <v>#N/A</v>
      </c>
      <c r="C564" s="75" t="str">
        <f t="array" ref="C564">XLOOKUP(A564, CURSOS!A:A, CURSOS!C:C)</f>
        <v>#N/A</v>
      </c>
      <c r="D564" s="70" t="e">
        <v>#N/A</v>
      </c>
      <c r="E564" s="48"/>
      <c r="F564" s="48" t="str">
        <f t="array" ref="F564">XLOOKUP($D564,REGOLITOS!$A:$A,REGOLITOS!F:F)</f>
        <v>#N/A</v>
      </c>
      <c r="G564" s="48" t="str">
        <f t="array" ref="G564">XLOOKUP($D564,REGOLITOS!$A:$A,REGOLITOS!G:G)</f>
        <v>#N/A</v>
      </c>
      <c r="H564" s="48" t="str">
        <f t="array" ref="H564">XLOOKUP($D564,REGOLITOS!$A:$A,REGOLITOS!H:H)</f>
        <v>#N/A</v>
      </c>
      <c r="I564" s="48" t="str">
        <f t="array" ref="I564">XLOOKUP($D564,REGOLITOS!$A:$A,REGOLITOS!I:I)</f>
        <v>#N/A</v>
      </c>
      <c r="J564" s="48" t="str">
        <f t="array" ref="J564">XLOOKUP($D564,REGOLITOS!$A:$A,REGOLITOS!J:J)</f>
        <v>#N/A</v>
      </c>
      <c r="K564" s="48" t="str">
        <f t="array" ref="K564">XLOOKUP($D564,REGOLITOS!$A:$A,REGOLITOS!K:K)</f>
        <v>#N/A</v>
      </c>
      <c r="L564" s="76"/>
      <c r="M564" s="5" t="s">
        <v>1080</v>
      </c>
      <c r="N564" s="5" t="s">
        <v>1080</v>
      </c>
      <c r="O564" s="5" t="s">
        <v>1080</v>
      </c>
      <c r="P564" s="5" t="s">
        <v>1080</v>
      </c>
      <c r="Q564" s="5" t="s">
        <v>1080</v>
      </c>
      <c r="X564" s="71">
        <f t="shared" si="5"/>
        <v>0</v>
      </c>
      <c r="Y564" s="5" t="b">
        <v>0</v>
      </c>
    </row>
    <row r="565">
      <c r="B565" s="5" t="str">
        <f t="array" ref="B565">XLOOKUP(A565, CURSOS!A:A, CURSOS!B:B)</f>
        <v>#N/A</v>
      </c>
      <c r="C565" s="75" t="str">
        <f t="array" ref="C565">XLOOKUP(A565, CURSOS!A:A, CURSOS!C:C)</f>
        <v>#N/A</v>
      </c>
      <c r="D565" s="70" t="e">
        <v>#N/A</v>
      </c>
      <c r="E565" s="48"/>
      <c r="F565" s="48" t="str">
        <f t="array" ref="F565">XLOOKUP($D565,REGOLITOS!$A:$A,REGOLITOS!F:F)</f>
        <v>#N/A</v>
      </c>
      <c r="G565" s="48" t="str">
        <f t="array" ref="G565">XLOOKUP($D565,REGOLITOS!$A:$A,REGOLITOS!G:G)</f>
        <v>#N/A</v>
      </c>
      <c r="H565" s="48" t="str">
        <f t="array" ref="H565">XLOOKUP($D565,REGOLITOS!$A:$A,REGOLITOS!H:H)</f>
        <v>#N/A</v>
      </c>
      <c r="I565" s="48" t="str">
        <f t="array" ref="I565">XLOOKUP($D565,REGOLITOS!$A:$A,REGOLITOS!I:I)</f>
        <v>#N/A</v>
      </c>
      <c r="J565" s="48" t="str">
        <f t="array" ref="J565">XLOOKUP($D565,REGOLITOS!$A:$A,REGOLITOS!J:J)</f>
        <v>#N/A</v>
      </c>
      <c r="K565" s="48" t="str">
        <f t="array" ref="K565">XLOOKUP($D565,REGOLITOS!$A:$A,REGOLITOS!K:K)</f>
        <v>#N/A</v>
      </c>
      <c r="L565" s="76"/>
      <c r="M565" s="5" t="s">
        <v>1080</v>
      </c>
      <c r="N565" s="5" t="s">
        <v>1080</v>
      </c>
      <c r="O565" s="5" t="s">
        <v>1080</v>
      </c>
      <c r="P565" s="5" t="s">
        <v>1080</v>
      </c>
      <c r="Q565" s="5" t="s">
        <v>1080</v>
      </c>
      <c r="X565" s="71">
        <f t="shared" si="5"/>
        <v>0</v>
      </c>
      <c r="Y565" s="5" t="b">
        <v>0</v>
      </c>
    </row>
    <row r="566">
      <c r="B566" s="5" t="str">
        <f t="array" ref="B566">XLOOKUP(A566, CURSOS!A:A, CURSOS!B:B)</f>
        <v>#N/A</v>
      </c>
      <c r="C566" s="75" t="str">
        <f t="array" ref="C566">XLOOKUP(A566, CURSOS!A:A, CURSOS!C:C)</f>
        <v>#N/A</v>
      </c>
      <c r="D566" s="70" t="e">
        <v>#N/A</v>
      </c>
      <c r="E566" s="48"/>
      <c r="F566" s="48" t="str">
        <f t="array" ref="F566">XLOOKUP($D566,REGOLITOS!$A:$A,REGOLITOS!F:F)</f>
        <v>#N/A</v>
      </c>
      <c r="G566" s="48" t="str">
        <f t="array" ref="G566">XLOOKUP($D566,REGOLITOS!$A:$A,REGOLITOS!G:G)</f>
        <v>#N/A</v>
      </c>
      <c r="H566" s="48" t="str">
        <f t="array" ref="H566">XLOOKUP($D566,REGOLITOS!$A:$A,REGOLITOS!H:H)</f>
        <v>#N/A</v>
      </c>
      <c r="I566" s="48" t="str">
        <f t="array" ref="I566">XLOOKUP($D566,REGOLITOS!$A:$A,REGOLITOS!I:I)</f>
        <v>#N/A</v>
      </c>
      <c r="J566" s="48" t="str">
        <f t="array" ref="J566">XLOOKUP($D566,REGOLITOS!$A:$A,REGOLITOS!J:J)</f>
        <v>#N/A</v>
      </c>
      <c r="K566" s="48" t="str">
        <f t="array" ref="K566">XLOOKUP($D566,REGOLITOS!$A:$A,REGOLITOS!K:K)</f>
        <v>#N/A</v>
      </c>
      <c r="L566" s="76"/>
      <c r="M566" s="5" t="s">
        <v>1080</v>
      </c>
      <c r="N566" s="5" t="s">
        <v>1080</v>
      </c>
      <c r="O566" s="5" t="s">
        <v>1080</v>
      </c>
      <c r="P566" s="5" t="s">
        <v>1080</v>
      </c>
      <c r="Q566" s="5" t="s">
        <v>1080</v>
      </c>
      <c r="X566" s="71">
        <f t="shared" si="5"/>
        <v>0</v>
      </c>
      <c r="Y566" s="5" t="b">
        <v>0</v>
      </c>
    </row>
    <row r="567">
      <c r="B567" s="5" t="str">
        <f t="array" ref="B567">XLOOKUP(A567, CURSOS!A:A, CURSOS!B:B)</f>
        <v>#N/A</v>
      </c>
      <c r="C567" s="75" t="str">
        <f t="array" ref="C567">XLOOKUP(A567, CURSOS!A:A, CURSOS!C:C)</f>
        <v>#N/A</v>
      </c>
      <c r="D567" s="70" t="e">
        <v>#N/A</v>
      </c>
      <c r="E567" s="48"/>
      <c r="F567" s="48" t="str">
        <f t="array" ref="F567">XLOOKUP($D567,REGOLITOS!$A:$A,REGOLITOS!F:F)</f>
        <v>#N/A</v>
      </c>
      <c r="G567" s="48" t="str">
        <f t="array" ref="G567">XLOOKUP($D567,REGOLITOS!$A:$A,REGOLITOS!G:G)</f>
        <v>#N/A</v>
      </c>
      <c r="H567" s="48" t="str">
        <f t="array" ref="H567">XLOOKUP($D567,REGOLITOS!$A:$A,REGOLITOS!H:H)</f>
        <v>#N/A</v>
      </c>
      <c r="I567" s="48" t="str">
        <f t="array" ref="I567">XLOOKUP($D567,REGOLITOS!$A:$A,REGOLITOS!I:I)</f>
        <v>#N/A</v>
      </c>
      <c r="J567" s="48" t="str">
        <f t="array" ref="J567">XLOOKUP($D567,REGOLITOS!$A:$A,REGOLITOS!J:J)</f>
        <v>#N/A</v>
      </c>
      <c r="K567" s="48" t="str">
        <f t="array" ref="K567">XLOOKUP($D567,REGOLITOS!$A:$A,REGOLITOS!K:K)</f>
        <v>#N/A</v>
      </c>
      <c r="L567" s="76"/>
      <c r="M567" s="5" t="s">
        <v>1080</v>
      </c>
      <c r="N567" s="5" t="s">
        <v>1080</v>
      </c>
      <c r="O567" s="5" t="s">
        <v>1080</v>
      </c>
      <c r="P567" s="5" t="s">
        <v>1080</v>
      </c>
      <c r="Q567" s="5" t="s">
        <v>1080</v>
      </c>
      <c r="X567" s="71">
        <f t="shared" si="5"/>
        <v>0</v>
      </c>
      <c r="Y567" s="5" t="b">
        <v>0</v>
      </c>
    </row>
    <row r="568">
      <c r="B568" s="5" t="str">
        <f t="array" ref="B568">XLOOKUP(A568, CURSOS!A:A, CURSOS!B:B)</f>
        <v>#N/A</v>
      </c>
      <c r="C568" s="75" t="str">
        <f t="array" ref="C568">XLOOKUP(A568, CURSOS!A:A, CURSOS!C:C)</f>
        <v>#N/A</v>
      </c>
      <c r="D568" s="70" t="e">
        <v>#N/A</v>
      </c>
      <c r="E568" s="48"/>
      <c r="F568" s="48" t="str">
        <f t="array" ref="F568">XLOOKUP($D568,REGOLITOS!$A:$A,REGOLITOS!F:F)</f>
        <v>#N/A</v>
      </c>
      <c r="G568" s="48" t="str">
        <f t="array" ref="G568">XLOOKUP($D568,REGOLITOS!$A:$A,REGOLITOS!G:G)</f>
        <v>#N/A</v>
      </c>
      <c r="H568" s="48" t="str">
        <f t="array" ref="H568">XLOOKUP($D568,REGOLITOS!$A:$A,REGOLITOS!H:H)</f>
        <v>#N/A</v>
      </c>
      <c r="I568" s="48" t="str">
        <f t="array" ref="I568">XLOOKUP($D568,REGOLITOS!$A:$A,REGOLITOS!I:I)</f>
        <v>#N/A</v>
      </c>
      <c r="J568" s="48" t="str">
        <f t="array" ref="J568">XLOOKUP($D568,REGOLITOS!$A:$A,REGOLITOS!J:J)</f>
        <v>#N/A</v>
      </c>
      <c r="K568" s="48" t="str">
        <f t="array" ref="K568">XLOOKUP($D568,REGOLITOS!$A:$A,REGOLITOS!K:K)</f>
        <v>#N/A</v>
      </c>
      <c r="L568" s="76"/>
      <c r="M568" s="5" t="s">
        <v>1080</v>
      </c>
      <c r="N568" s="5" t="s">
        <v>1080</v>
      </c>
      <c r="O568" s="5" t="s">
        <v>1080</v>
      </c>
      <c r="P568" s="5" t="s">
        <v>1080</v>
      </c>
      <c r="Q568" s="5" t="s">
        <v>1080</v>
      </c>
      <c r="X568" s="71">
        <f t="shared" si="5"/>
        <v>0</v>
      </c>
      <c r="Y568" s="5" t="b">
        <v>0</v>
      </c>
    </row>
    <row r="569">
      <c r="B569" s="5" t="str">
        <f t="array" ref="B569">XLOOKUP(A569, CURSOS!A:A, CURSOS!B:B)</f>
        <v>#N/A</v>
      </c>
      <c r="C569" s="75" t="str">
        <f t="array" ref="C569">XLOOKUP(A569, CURSOS!A:A, CURSOS!C:C)</f>
        <v>#N/A</v>
      </c>
      <c r="D569" s="70" t="e">
        <v>#N/A</v>
      </c>
      <c r="E569" s="48"/>
      <c r="F569" s="48" t="str">
        <f t="array" ref="F569">XLOOKUP($D569,REGOLITOS!$A:$A,REGOLITOS!F:F)</f>
        <v>#N/A</v>
      </c>
      <c r="G569" s="48" t="str">
        <f t="array" ref="G569">XLOOKUP($D569,REGOLITOS!$A:$A,REGOLITOS!G:G)</f>
        <v>#N/A</v>
      </c>
      <c r="H569" s="48" t="str">
        <f t="array" ref="H569">XLOOKUP($D569,REGOLITOS!$A:$A,REGOLITOS!H:H)</f>
        <v>#N/A</v>
      </c>
      <c r="I569" s="48" t="str">
        <f t="array" ref="I569">XLOOKUP($D569,REGOLITOS!$A:$A,REGOLITOS!I:I)</f>
        <v>#N/A</v>
      </c>
      <c r="J569" s="48" t="str">
        <f t="array" ref="J569">XLOOKUP($D569,REGOLITOS!$A:$A,REGOLITOS!J:J)</f>
        <v>#N/A</v>
      </c>
      <c r="K569" s="48" t="str">
        <f t="array" ref="K569">XLOOKUP($D569,REGOLITOS!$A:$A,REGOLITOS!K:K)</f>
        <v>#N/A</v>
      </c>
      <c r="L569" s="76"/>
      <c r="M569" s="5" t="s">
        <v>1080</v>
      </c>
      <c r="N569" s="5" t="s">
        <v>1080</v>
      </c>
      <c r="O569" s="5" t="s">
        <v>1080</v>
      </c>
      <c r="P569" s="5" t="s">
        <v>1080</v>
      </c>
      <c r="Q569" s="5" t="s">
        <v>1080</v>
      </c>
      <c r="X569" s="71">
        <f t="shared" si="5"/>
        <v>0</v>
      </c>
      <c r="Y569" s="5" t="b">
        <v>0</v>
      </c>
    </row>
    <row r="570">
      <c r="B570" s="5" t="str">
        <f t="array" ref="B570">XLOOKUP(A570, CURSOS!A:A, CURSOS!B:B)</f>
        <v>#N/A</v>
      </c>
      <c r="C570" s="75" t="str">
        <f t="array" ref="C570">XLOOKUP(A570, CURSOS!A:A, CURSOS!C:C)</f>
        <v>#N/A</v>
      </c>
      <c r="D570" s="70" t="e">
        <v>#N/A</v>
      </c>
      <c r="E570" s="48"/>
      <c r="F570" s="48" t="str">
        <f t="array" ref="F570">XLOOKUP($D570,REGOLITOS!$A:$A,REGOLITOS!F:F)</f>
        <v>#N/A</v>
      </c>
      <c r="G570" s="48" t="str">
        <f t="array" ref="G570">XLOOKUP($D570,REGOLITOS!$A:$A,REGOLITOS!G:G)</f>
        <v>#N/A</v>
      </c>
      <c r="H570" s="48" t="str">
        <f t="array" ref="H570">XLOOKUP($D570,REGOLITOS!$A:$A,REGOLITOS!H:H)</f>
        <v>#N/A</v>
      </c>
      <c r="I570" s="48" t="str">
        <f t="array" ref="I570">XLOOKUP($D570,REGOLITOS!$A:$A,REGOLITOS!I:I)</f>
        <v>#N/A</v>
      </c>
      <c r="J570" s="48" t="str">
        <f t="array" ref="J570">XLOOKUP($D570,REGOLITOS!$A:$A,REGOLITOS!J:J)</f>
        <v>#N/A</v>
      </c>
      <c r="K570" s="48" t="str">
        <f t="array" ref="K570">XLOOKUP($D570,REGOLITOS!$A:$A,REGOLITOS!K:K)</f>
        <v>#N/A</v>
      </c>
      <c r="L570" s="76"/>
      <c r="M570" s="5" t="s">
        <v>1080</v>
      </c>
      <c r="N570" s="5" t="s">
        <v>1080</v>
      </c>
      <c r="O570" s="5" t="s">
        <v>1080</v>
      </c>
      <c r="P570" s="5" t="s">
        <v>1080</v>
      </c>
      <c r="Q570" s="5" t="s">
        <v>1080</v>
      </c>
      <c r="X570" s="71">
        <f t="shared" si="5"/>
        <v>0</v>
      </c>
      <c r="Y570" s="5" t="b">
        <v>0</v>
      </c>
    </row>
    <row r="571">
      <c r="B571" s="5" t="str">
        <f t="array" ref="B571">XLOOKUP(A571, CURSOS!A:A, CURSOS!B:B)</f>
        <v>#N/A</v>
      </c>
      <c r="C571" s="75" t="str">
        <f t="array" ref="C571">XLOOKUP(A571, CURSOS!A:A, CURSOS!C:C)</f>
        <v>#N/A</v>
      </c>
      <c r="D571" s="70" t="e">
        <v>#N/A</v>
      </c>
      <c r="E571" s="48"/>
      <c r="F571" s="48" t="str">
        <f t="array" ref="F571">XLOOKUP($D571,REGOLITOS!$A:$A,REGOLITOS!F:F)</f>
        <v>#N/A</v>
      </c>
      <c r="G571" s="48" t="str">
        <f t="array" ref="G571">XLOOKUP($D571,REGOLITOS!$A:$A,REGOLITOS!G:G)</f>
        <v>#N/A</v>
      </c>
      <c r="H571" s="48" t="str">
        <f t="array" ref="H571">XLOOKUP($D571,REGOLITOS!$A:$A,REGOLITOS!H:H)</f>
        <v>#N/A</v>
      </c>
      <c r="I571" s="48" t="str">
        <f t="array" ref="I571">XLOOKUP($D571,REGOLITOS!$A:$A,REGOLITOS!I:I)</f>
        <v>#N/A</v>
      </c>
      <c r="J571" s="48" t="str">
        <f t="array" ref="J571">XLOOKUP($D571,REGOLITOS!$A:$A,REGOLITOS!J:J)</f>
        <v>#N/A</v>
      </c>
      <c r="K571" s="48" t="str">
        <f t="array" ref="K571">XLOOKUP($D571,REGOLITOS!$A:$A,REGOLITOS!K:K)</f>
        <v>#N/A</v>
      </c>
      <c r="L571" s="76"/>
      <c r="M571" s="5" t="s">
        <v>1080</v>
      </c>
      <c r="N571" s="5" t="s">
        <v>1080</v>
      </c>
      <c r="O571" s="5" t="s">
        <v>1080</v>
      </c>
      <c r="P571" s="5" t="s">
        <v>1080</v>
      </c>
      <c r="Q571" s="5" t="s">
        <v>1080</v>
      </c>
      <c r="X571" s="71">
        <f t="shared" si="5"/>
        <v>0</v>
      </c>
      <c r="Y571" s="5" t="b">
        <v>0</v>
      </c>
    </row>
    <row r="572">
      <c r="B572" s="5" t="str">
        <f t="array" ref="B572">XLOOKUP(A572, CURSOS!A:A, CURSOS!B:B)</f>
        <v>#N/A</v>
      </c>
      <c r="C572" s="75" t="str">
        <f t="array" ref="C572">XLOOKUP(A572, CURSOS!A:A, CURSOS!C:C)</f>
        <v>#N/A</v>
      </c>
      <c r="D572" s="70" t="e">
        <v>#N/A</v>
      </c>
      <c r="E572" s="48"/>
      <c r="F572" s="48" t="str">
        <f t="array" ref="F572">XLOOKUP($D572,REGOLITOS!$A:$A,REGOLITOS!F:F)</f>
        <v>#N/A</v>
      </c>
      <c r="G572" s="48" t="str">
        <f t="array" ref="G572">XLOOKUP($D572,REGOLITOS!$A:$A,REGOLITOS!G:G)</f>
        <v>#N/A</v>
      </c>
      <c r="H572" s="48" t="str">
        <f t="array" ref="H572">XLOOKUP($D572,REGOLITOS!$A:$A,REGOLITOS!H:H)</f>
        <v>#N/A</v>
      </c>
      <c r="I572" s="48" t="str">
        <f t="array" ref="I572">XLOOKUP($D572,REGOLITOS!$A:$A,REGOLITOS!I:I)</f>
        <v>#N/A</v>
      </c>
      <c r="J572" s="48" t="str">
        <f t="array" ref="J572">XLOOKUP($D572,REGOLITOS!$A:$A,REGOLITOS!J:J)</f>
        <v>#N/A</v>
      </c>
      <c r="K572" s="48" t="str">
        <f t="array" ref="K572">XLOOKUP($D572,REGOLITOS!$A:$A,REGOLITOS!K:K)</f>
        <v>#N/A</v>
      </c>
      <c r="L572" s="76"/>
      <c r="M572" s="5" t="s">
        <v>1080</v>
      </c>
      <c r="N572" s="5" t="s">
        <v>1080</v>
      </c>
      <c r="O572" s="5" t="s">
        <v>1080</v>
      </c>
      <c r="P572" s="5" t="s">
        <v>1080</v>
      </c>
      <c r="Q572" s="5" t="s">
        <v>1080</v>
      </c>
      <c r="X572" s="71">
        <f t="shared" si="5"/>
        <v>0</v>
      </c>
      <c r="Y572" s="5" t="b">
        <v>0</v>
      </c>
    </row>
    <row r="573">
      <c r="B573" s="5" t="str">
        <f t="array" ref="B573">XLOOKUP(A573, CURSOS!A:A, CURSOS!B:B)</f>
        <v>#N/A</v>
      </c>
      <c r="C573" s="75" t="str">
        <f t="array" ref="C573">XLOOKUP(A573, CURSOS!A:A, CURSOS!C:C)</f>
        <v>#N/A</v>
      </c>
      <c r="D573" s="70" t="e">
        <v>#N/A</v>
      </c>
      <c r="E573" s="48"/>
      <c r="F573" s="48" t="str">
        <f t="array" ref="F573">XLOOKUP($D573,REGOLITOS!$A:$A,REGOLITOS!F:F)</f>
        <v>#N/A</v>
      </c>
      <c r="G573" s="48" t="str">
        <f t="array" ref="G573">XLOOKUP($D573,REGOLITOS!$A:$A,REGOLITOS!G:G)</f>
        <v>#N/A</v>
      </c>
      <c r="H573" s="48" t="str">
        <f t="array" ref="H573">XLOOKUP($D573,REGOLITOS!$A:$A,REGOLITOS!H:H)</f>
        <v>#N/A</v>
      </c>
      <c r="I573" s="48" t="str">
        <f t="array" ref="I573">XLOOKUP($D573,REGOLITOS!$A:$A,REGOLITOS!I:I)</f>
        <v>#N/A</v>
      </c>
      <c r="J573" s="48" t="str">
        <f t="array" ref="J573">XLOOKUP($D573,REGOLITOS!$A:$A,REGOLITOS!J:J)</f>
        <v>#N/A</v>
      </c>
      <c r="K573" s="48" t="str">
        <f t="array" ref="K573">XLOOKUP($D573,REGOLITOS!$A:$A,REGOLITOS!K:K)</f>
        <v>#N/A</v>
      </c>
      <c r="L573" s="76"/>
      <c r="M573" s="5" t="s">
        <v>1080</v>
      </c>
      <c r="N573" s="5" t="s">
        <v>1080</v>
      </c>
      <c r="O573" s="5" t="s">
        <v>1080</v>
      </c>
      <c r="P573" s="5" t="s">
        <v>1080</v>
      </c>
      <c r="Q573" s="5" t="s">
        <v>1080</v>
      </c>
      <c r="X573" s="71">
        <f t="shared" si="5"/>
        <v>0</v>
      </c>
      <c r="Y573" s="5" t="b">
        <v>0</v>
      </c>
    </row>
    <row r="574">
      <c r="B574" s="5" t="str">
        <f t="array" ref="B574">XLOOKUP(A574, CURSOS!A:A, CURSOS!B:B)</f>
        <v>#N/A</v>
      </c>
      <c r="C574" s="75" t="str">
        <f t="array" ref="C574">XLOOKUP(A574, CURSOS!A:A, CURSOS!C:C)</f>
        <v>#N/A</v>
      </c>
      <c r="D574" s="70" t="e">
        <v>#N/A</v>
      </c>
      <c r="E574" s="48"/>
      <c r="F574" s="48" t="str">
        <f t="array" ref="F574">XLOOKUP($D574,REGOLITOS!$A:$A,REGOLITOS!F:F)</f>
        <v>#N/A</v>
      </c>
      <c r="G574" s="48" t="str">
        <f t="array" ref="G574">XLOOKUP($D574,REGOLITOS!$A:$A,REGOLITOS!G:G)</f>
        <v>#N/A</v>
      </c>
      <c r="H574" s="48" t="str">
        <f t="array" ref="H574">XLOOKUP($D574,REGOLITOS!$A:$A,REGOLITOS!H:H)</f>
        <v>#N/A</v>
      </c>
      <c r="I574" s="48" t="str">
        <f t="array" ref="I574">XLOOKUP($D574,REGOLITOS!$A:$A,REGOLITOS!I:I)</f>
        <v>#N/A</v>
      </c>
      <c r="J574" s="48" t="str">
        <f t="array" ref="J574">XLOOKUP($D574,REGOLITOS!$A:$A,REGOLITOS!J:J)</f>
        <v>#N/A</v>
      </c>
      <c r="K574" s="48" t="str">
        <f t="array" ref="K574">XLOOKUP($D574,REGOLITOS!$A:$A,REGOLITOS!K:K)</f>
        <v>#N/A</v>
      </c>
      <c r="L574" s="76"/>
      <c r="M574" s="5" t="s">
        <v>1080</v>
      </c>
      <c r="N574" s="5" t="s">
        <v>1080</v>
      </c>
      <c r="O574" s="5" t="s">
        <v>1080</v>
      </c>
      <c r="P574" s="5" t="s">
        <v>1080</v>
      </c>
      <c r="Q574" s="5" t="s">
        <v>1080</v>
      </c>
      <c r="X574" s="71">
        <f t="shared" si="5"/>
        <v>0</v>
      </c>
      <c r="Y574" s="5" t="b">
        <v>0</v>
      </c>
    </row>
    <row r="575">
      <c r="B575" s="5" t="str">
        <f t="array" ref="B575">XLOOKUP(A575, CURSOS!A:A, CURSOS!B:B)</f>
        <v>#N/A</v>
      </c>
      <c r="C575" s="75" t="str">
        <f t="array" ref="C575">XLOOKUP(A575, CURSOS!A:A, CURSOS!C:C)</f>
        <v>#N/A</v>
      </c>
      <c r="D575" s="70" t="e">
        <v>#N/A</v>
      </c>
      <c r="E575" s="48"/>
      <c r="F575" s="48" t="str">
        <f t="array" ref="F575">XLOOKUP($D575,REGOLITOS!$A:$A,REGOLITOS!F:F)</f>
        <v>#N/A</v>
      </c>
      <c r="G575" s="48" t="str">
        <f t="array" ref="G575">XLOOKUP($D575,REGOLITOS!$A:$A,REGOLITOS!G:G)</f>
        <v>#N/A</v>
      </c>
      <c r="H575" s="48" t="str">
        <f t="array" ref="H575">XLOOKUP($D575,REGOLITOS!$A:$A,REGOLITOS!H:H)</f>
        <v>#N/A</v>
      </c>
      <c r="I575" s="48" t="str">
        <f t="array" ref="I575">XLOOKUP($D575,REGOLITOS!$A:$A,REGOLITOS!I:I)</f>
        <v>#N/A</v>
      </c>
      <c r="J575" s="48" t="str">
        <f t="array" ref="J575">XLOOKUP($D575,REGOLITOS!$A:$A,REGOLITOS!J:J)</f>
        <v>#N/A</v>
      </c>
      <c r="K575" s="48" t="str">
        <f t="array" ref="K575">XLOOKUP($D575,REGOLITOS!$A:$A,REGOLITOS!K:K)</f>
        <v>#N/A</v>
      </c>
      <c r="L575" s="76"/>
      <c r="M575" s="5" t="s">
        <v>1080</v>
      </c>
      <c r="N575" s="5" t="s">
        <v>1080</v>
      </c>
      <c r="O575" s="5" t="s">
        <v>1080</v>
      </c>
      <c r="P575" s="5" t="s">
        <v>1080</v>
      </c>
      <c r="Q575" s="5" t="s">
        <v>1080</v>
      </c>
      <c r="X575" s="71">
        <f t="shared" si="5"/>
        <v>0</v>
      </c>
      <c r="Y575" s="5" t="b">
        <v>0</v>
      </c>
    </row>
    <row r="576">
      <c r="B576" s="5" t="str">
        <f t="array" ref="B576">XLOOKUP(A576, CURSOS!A:A, CURSOS!B:B)</f>
        <v>#N/A</v>
      </c>
      <c r="C576" s="75" t="str">
        <f t="array" ref="C576">XLOOKUP(A576, CURSOS!A:A, CURSOS!C:C)</f>
        <v>#N/A</v>
      </c>
      <c r="D576" s="70" t="e">
        <v>#N/A</v>
      </c>
      <c r="E576" s="48"/>
      <c r="F576" s="48" t="str">
        <f t="array" ref="F576">XLOOKUP($D576,REGOLITOS!$A:$A,REGOLITOS!F:F)</f>
        <v>#N/A</v>
      </c>
      <c r="G576" s="48" t="str">
        <f t="array" ref="G576">XLOOKUP($D576,REGOLITOS!$A:$A,REGOLITOS!G:G)</f>
        <v>#N/A</v>
      </c>
      <c r="H576" s="48" t="str">
        <f t="array" ref="H576">XLOOKUP($D576,REGOLITOS!$A:$A,REGOLITOS!H:H)</f>
        <v>#N/A</v>
      </c>
      <c r="I576" s="48" t="str">
        <f t="array" ref="I576">XLOOKUP($D576,REGOLITOS!$A:$A,REGOLITOS!I:I)</f>
        <v>#N/A</v>
      </c>
      <c r="J576" s="48" t="str">
        <f t="array" ref="J576">XLOOKUP($D576,REGOLITOS!$A:$A,REGOLITOS!J:J)</f>
        <v>#N/A</v>
      </c>
      <c r="K576" s="48" t="str">
        <f t="array" ref="K576">XLOOKUP($D576,REGOLITOS!$A:$A,REGOLITOS!K:K)</f>
        <v>#N/A</v>
      </c>
      <c r="L576" s="76"/>
      <c r="M576" s="5" t="s">
        <v>1080</v>
      </c>
      <c r="N576" s="5" t="s">
        <v>1080</v>
      </c>
      <c r="O576" s="5" t="s">
        <v>1080</v>
      </c>
      <c r="P576" s="5" t="s">
        <v>1080</v>
      </c>
      <c r="Q576" s="5" t="s">
        <v>1080</v>
      </c>
      <c r="X576" s="71">
        <f t="shared" si="5"/>
        <v>0</v>
      </c>
      <c r="Y576" s="5" t="b">
        <v>0</v>
      </c>
    </row>
    <row r="577">
      <c r="B577" s="5" t="str">
        <f t="array" ref="B577">XLOOKUP(A577, CURSOS!A:A, CURSOS!B:B)</f>
        <v>#N/A</v>
      </c>
      <c r="C577" s="75" t="str">
        <f t="array" ref="C577">XLOOKUP(A577, CURSOS!A:A, CURSOS!C:C)</f>
        <v>#N/A</v>
      </c>
      <c r="D577" s="70" t="e">
        <v>#N/A</v>
      </c>
      <c r="E577" s="48"/>
      <c r="F577" s="48" t="str">
        <f t="array" ref="F577">XLOOKUP($D577,REGOLITOS!$A:$A,REGOLITOS!F:F)</f>
        <v>#N/A</v>
      </c>
      <c r="G577" s="48" t="str">
        <f t="array" ref="G577">XLOOKUP($D577,REGOLITOS!$A:$A,REGOLITOS!G:G)</f>
        <v>#N/A</v>
      </c>
      <c r="H577" s="48" t="str">
        <f t="array" ref="H577">XLOOKUP($D577,REGOLITOS!$A:$A,REGOLITOS!H:H)</f>
        <v>#N/A</v>
      </c>
      <c r="I577" s="48" t="str">
        <f t="array" ref="I577">XLOOKUP($D577,REGOLITOS!$A:$A,REGOLITOS!I:I)</f>
        <v>#N/A</v>
      </c>
      <c r="J577" s="48" t="str">
        <f t="array" ref="J577">XLOOKUP($D577,REGOLITOS!$A:$A,REGOLITOS!J:J)</f>
        <v>#N/A</v>
      </c>
      <c r="K577" s="48" t="str">
        <f t="array" ref="K577">XLOOKUP($D577,REGOLITOS!$A:$A,REGOLITOS!K:K)</f>
        <v>#N/A</v>
      </c>
      <c r="L577" s="76"/>
      <c r="M577" s="5" t="s">
        <v>1080</v>
      </c>
      <c r="N577" s="5" t="s">
        <v>1080</v>
      </c>
      <c r="O577" s="5" t="s">
        <v>1080</v>
      </c>
      <c r="P577" s="5" t="s">
        <v>1080</v>
      </c>
      <c r="Q577" s="5" t="s">
        <v>1080</v>
      </c>
      <c r="X577" s="71">
        <f t="shared" si="5"/>
        <v>0</v>
      </c>
      <c r="Y577" s="5" t="b">
        <v>0</v>
      </c>
    </row>
    <row r="578">
      <c r="B578" s="5" t="str">
        <f t="array" ref="B578">XLOOKUP(A578, CURSOS!A:A, CURSOS!B:B)</f>
        <v>#N/A</v>
      </c>
      <c r="C578" s="75" t="str">
        <f t="array" ref="C578">XLOOKUP(A578, CURSOS!A:A, CURSOS!C:C)</f>
        <v>#N/A</v>
      </c>
      <c r="D578" s="70" t="e">
        <v>#N/A</v>
      </c>
      <c r="E578" s="48"/>
      <c r="F578" s="48" t="str">
        <f t="array" ref="F578">XLOOKUP($D578,REGOLITOS!$A:$A,REGOLITOS!F:F)</f>
        <v>#N/A</v>
      </c>
      <c r="G578" s="48" t="str">
        <f t="array" ref="G578">XLOOKUP($D578,REGOLITOS!$A:$A,REGOLITOS!G:G)</f>
        <v>#N/A</v>
      </c>
      <c r="H578" s="48" t="str">
        <f t="array" ref="H578">XLOOKUP($D578,REGOLITOS!$A:$A,REGOLITOS!H:H)</f>
        <v>#N/A</v>
      </c>
      <c r="I578" s="48" t="str">
        <f t="array" ref="I578">XLOOKUP($D578,REGOLITOS!$A:$A,REGOLITOS!I:I)</f>
        <v>#N/A</v>
      </c>
      <c r="J578" s="48" t="str">
        <f t="array" ref="J578">XLOOKUP($D578,REGOLITOS!$A:$A,REGOLITOS!J:J)</f>
        <v>#N/A</v>
      </c>
      <c r="K578" s="48" t="str">
        <f t="array" ref="K578">XLOOKUP($D578,REGOLITOS!$A:$A,REGOLITOS!K:K)</f>
        <v>#N/A</v>
      </c>
      <c r="L578" s="76"/>
      <c r="M578" s="5" t="s">
        <v>1080</v>
      </c>
      <c r="N578" s="5" t="s">
        <v>1080</v>
      </c>
      <c r="O578" s="5" t="s">
        <v>1080</v>
      </c>
      <c r="P578" s="5" t="s">
        <v>1080</v>
      </c>
      <c r="Q578" s="5" t="s">
        <v>1080</v>
      </c>
      <c r="X578" s="71">
        <f t="shared" si="5"/>
        <v>0</v>
      </c>
      <c r="Y578" s="5" t="b">
        <v>0</v>
      </c>
    </row>
    <row r="579">
      <c r="B579" s="5" t="str">
        <f t="array" ref="B579">XLOOKUP(A579, CURSOS!A:A, CURSOS!B:B)</f>
        <v>#N/A</v>
      </c>
      <c r="C579" s="75" t="str">
        <f t="array" ref="C579">XLOOKUP(A579, CURSOS!A:A, CURSOS!C:C)</f>
        <v>#N/A</v>
      </c>
      <c r="D579" s="70" t="e">
        <v>#N/A</v>
      </c>
      <c r="E579" s="48"/>
      <c r="F579" s="48" t="str">
        <f t="array" ref="F579">XLOOKUP($D579,REGOLITOS!$A:$A,REGOLITOS!F:F)</f>
        <v>#N/A</v>
      </c>
      <c r="G579" s="48" t="str">
        <f t="array" ref="G579">XLOOKUP($D579,REGOLITOS!$A:$A,REGOLITOS!G:G)</f>
        <v>#N/A</v>
      </c>
      <c r="H579" s="48" t="str">
        <f t="array" ref="H579">XLOOKUP($D579,REGOLITOS!$A:$A,REGOLITOS!H:H)</f>
        <v>#N/A</v>
      </c>
      <c r="I579" s="48" t="str">
        <f t="array" ref="I579">XLOOKUP($D579,REGOLITOS!$A:$A,REGOLITOS!I:I)</f>
        <v>#N/A</v>
      </c>
      <c r="J579" s="48" t="str">
        <f t="array" ref="J579">XLOOKUP($D579,REGOLITOS!$A:$A,REGOLITOS!J:J)</f>
        <v>#N/A</v>
      </c>
      <c r="K579" s="48" t="str">
        <f t="array" ref="K579">XLOOKUP($D579,REGOLITOS!$A:$A,REGOLITOS!K:K)</f>
        <v>#N/A</v>
      </c>
      <c r="L579" s="76"/>
      <c r="M579" s="5" t="s">
        <v>1080</v>
      </c>
      <c r="N579" s="5" t="s">
        <v>1080</v>
      </c>
      <c r="O579" s="5" t="s">
        <v>1080</v>
      </c>
      <c r="P579" s="5" t="s">
        <v>1080</v>
      </c>
      <c r="Q579" s="5" t="s">
        <v>1080</v>
      </c>
      <c r="X579" s="71">
        <f t="shared" si="5"/>
        <v>0</v>
      </c>
      <c r="Y579" s="5" t="b">
        <v>0</v>
      </c>
    </row>
    <row r="580">
      <c r="B580" s="5" t="str">
        <f t="array" ref="B580">XLOOKUP(A580, CURSOS!A:A, CURSOS!B:B)</f>
        <v>#N/A</v>
      </c>
      <c r="C580" s="75" t="str">
        <f t="array" ref="C580">XLOOKUP(A580, CURSOS!A:A, CURSOS!C:C)</f>
        <v>#N/A</v>
      </c>
      <c r="D580" s="70" t="e">
        <v>#N/A</v>
      </c>
      <c r="E580" s="48"/>
      <c r="F580" s="48" t="str">
        <f t="array" ref="F580">XLOOKUP($D580,REGOLITOS!$A:$A,REGOLITOS!F:F)</f>
        <v>#N/A</v>
      </c>
      <c r="G580" s="48" t="str">
        <f t="array" ref="G580">XLOOKUP($D580,REGOLITOS!$A:$A,REGOLITOS!G:G)</f>
        <v>#N/A</v>
      </c>
      <c r="H580" s="48" t="str">
        <f t="array" ref="H580">XLOOKUP($D580,REGOLITOS!$A:$A,REGOLITOS!H:H)</f>
        <v>#N/A</v>
      </c>
      <c r="I580" s="48" t="str">
        <f t="array" ref="I580">XLOOKUP($D580,REGOLITOS!$A:$A,REGOLITOS!I:I)</f>
        <v>#N/A</v>
      </c>
      <c r="J580" s="48" t="str">
        <f t="array" ref="J580">XLOOKUP($D580,REGOLITOS!$A:$A,REGOLITOS!J:J)</f>
        <v>#N/A</v>
      </c>
      <c r="K580" s="48" t="str">
        <f t="array" ref="K580">XLOOKUP($D580,REGOLITOS!$A:$A,REGOLITOS!K:K)</f>
        <v>#N/A</v>
      </c>
      <c r="L580" s="76"/>
      <c r="M580" s="5" t="s">
        <v>1080</v>
      </c>
      <c r="N580" s="5" t="s">
        <v>1080</v>
      </c>
      <c r="O580" s="5" t="s">
        <v>1080</v>
      </c>
      <c r="P580" s="5" t="s">
        <v>1080</v>
      </c>
      <c r="Q580" s="5" t="s">
        <v>1080</v>
      </c>
      <c r="X580" s="71">
        <f t="shared" si="5"/>
        <v>0</v>
      </c>
      <c r="Y580" s="5" t="b">
        <v>0</v>
      </c>
    </row>
    <row r="581">
      <c r="B581" s="5" t="str">
        <f t="array" ref="B581">XLOOKUP(A581, CURSOS!A:A, CURSOS!B:B)</f>
        <v>#N/A</v>
      </c>
      <c r="C581" s="75" t="str">
        <f t="array" ref="C581">XLOOKUP(A581, CURSOS!A:A, CURSOS!C:C)</f>
        <v>#N/A</v>
      </c>
      <c r="D581" s="70" t="e">
        <v>#N/A</v>
      </c>
      <c r="E581" s="48"/>
      <c r="F581" s="48" t="str">
        <f t="array" ref="F581">XLOOKUP($D581,REGOLITOS!$A:$A,REGOLITOS!F:F)</f>
        <v>#N/A</v>
      </c>
      <c r="G581" s="48" t="str">
        <f t="array" ref="G581">XLOOKUP($D581,REGOLITOS!$A:$A,REGOLITOS!G:G)</f>
        <v>#N/A</v>
      </c>
      <c r="H581" s="48" t="str">
        <f t="array" ref="H581">XLOOKUP($D581,REGOLITOS!$A:$A,REGOLITOS!H:H)</f>
        <v>#N/A</v>
      </c>
      <c r="I581" s="48" t="str">
        <f t="array" ref="I581">XLOOKUP($D581,REGOLITOS!$A:$A,REGOLITOS!I:I)</f>
        <v>#N/A</v>
      </c>
      <c r="J581" s="48" t="str">
        <f t="array" ref="J581">XLOOKUP($D581,REGOLITOS!$A:$A,REGOLITOS!J:J)</f>
        <v>#N/A</v>
      </c>
      <c r="K581" s="48" t="str">
        <f t="array" ref="K581">XLOOKUP($D581,REGOLITOS!$A:$A,REGOLITOS!K:K)</f>
        <v>#N/A</v>
      </c>
      <c r="L581" s="76"/>
      <c r="M581" s="5" t="s">
        <v>1080</v>
      </c>
      <c r="N581" s="5" t="s">
        <v>1080</v>
      </c>
      <c r="O581" s="5" t="s">
        <v>1080</v>
      </c>
      <c r="P581" s="5" t="s">
        <v>1080</v>
      </c>
      <c r="Q581" s="5" t="s">
        <v>1080</v>
      </c>
      <c r="X581" s="71">
        <f t="shared" si="5"/>
        <v>0</v>
      </c>
      <c r="Y581" s="5" t="b">
        <v>0</v>
      </c>
    </row>
    <row r="582">
      <c r="B582" s="5" t="str">
        <f t="array" ref="B582">XLOOKUP(A582, CURSOS!A:A, CURSOS!B:B)</f>
        <v>#N/A</v>
      </c>
      <c r="C582" s="75" t="str">
        <f t="array" ref="C582">XLOOKUP(A582, CURSOS!A:A, CURSOS!C:C)</f>
        <v>#N/A</v>
      </c>
      <c r="D582" s="70" t="e">
        <v>#N/A</v>
      </c>
      <c r="E582" s="48"/>
      <c r="F582" s="48" t="str">
        <f t="array" ref="F582">XLOOKUP($D582,REGOLITOS!$A:$A,REGOLITOS!F:F)</f>
        <v>#N/A</v>
      </c>
      <c r="G582" s="48" t="str">
        <f t="array" ref="G582">XLOOKUP($D582,REGOLITOS!$A:$A,REGOLITOS!G:G)</f>
        <v>#N/A</v>
      </c>
      <c r="H582" s="48" t="str">
        <f t="array" ref="H582">XLOOKUP($D582,REGOLITOS!$A:$A,REGOLITOS!H:H)</f>
        <v>#N/A</v>
      </c>
      <c r="I582" s="48" t="str">
        <f t="array" ref="I582">XLOOKUP($D582,REGOLITOS!$A:$A,REGOLITOS!I:I)</f>
        <v>#N/A</v>
      </c>
      <c r="J582" s="48" t="str">
        <f t="array" ref="J582">XLOOKUP($D582,REGOLITOS!$A:$A,REGOLITOS!J:J)</f>
        <v>#N/A</v>
      </c>
      <c r="K582" s="48" t="str">
        <f t="array" ref="K582">XLOOKUP($D582,REGOLITOS!$A:$A,REGOLITOS!K:K)</f>
        <v>#N/A</v>
      </c>
      <c r="L582" s="76"/>
      <c r="M582" s="5" t="s">
        <v>1080</v>
      </c>
      <c r="N582" s="5" t="s">
        <v>1080</v>
      </c>
      <c r="O582" s="5" t="s">
        <v>1080</v>
      </c>
      <c r="P582" s="5" t="s">
        <v>1080</v>
      </c>
      <c r="Q582" s="5" t="s">
        <v>1080</v>
      </c>
      <c r="X582" s="71">
        <f t="shared" si="5"/>
        <v>0</v>
      </c>
      <c r="Y582" s="5" t="b">
        <v>0</v>
      </c>
    </row>
    <row r="583">
      <c r="B583" s="5" t="str">
        <f t="array" ref="B583">XLOOKUP(A583, CURSOS!A:A, CURSOS!B:B)</f>
        <v>#N/A</v>
      </c>
      <c r="C583" s="75" t="str">
        <f t="array" ref="C583">XLOOKUP(A583, CURSOS!A:A, CURSOS!C:C)</f>
        <v>#N/A</v>
      </c>
      <c r="D583" s="70" t="e">
        <v>#N/A</v>
      </c>
      <c r="E583" s="48"/>
      <c r="F583" s="48" t="str">
        <f t="array" ref="F583">XLOOKUP($D583,REGOLITOS!$A:$A,REGOLITOS!F:F)</f>
        <v>#N/A</v>
      </c>
      <c r="G583" s="48" t="str">
        <f t="array" ref="G583">XLOOKUP($D583,REGOLITOS!$A:$A,REGOLITOS!G:G)</f>
        <v>#N/A</v>
      </c>
      <c r="H583" s="48" t="str">
        <f t="array" ref="H583">XLOOKUP($D583,REGOLITOS!$A:$A,REGOLITOS!H:H)</f>
        <v>#N/A</v>
      </c>
      <c r="I583" s="48" t="str">
        <f t="array" ref="I583">XLOOKUP($D583,REGOLITOS!$A:$A,REGOLITOS!I:I)</f>
        <v>#N/A</v>
      </c>
      <c r="J583" s="48" t="str">
        <f t="array" ref="J583">XLOOKUP($D583,REGOLITOS!$A:$A,REGOLITOS!J:J)</f>
        <v>#N/A</v>
      </c>
      <c r="K583" s="48" t="str">
        <f t="array" ref="K583">XLOOKUP($D583,REGOLITOS!$A:$A,REGOLITOS!K:K)</f>
        <v>#N/A</v>
      </c>
      <c r="L583" s="76"/>
      <c r="M583" s="5" t="s">
        <v>1080</v>
      </c>
      <c r="N583" s="5" t="s">
        <v>1080</v>
      </c>
      <c r="O583" s="5" t="s">
        <v>1080</v>
      </c>
      <c r="P583" s="5" t="s">
        <v>1080</v>
      </c>
      <c r="Q583" s="5" t="s">
        <v>1080</v>
      </c>
      <c r="X583" s="71">
        <f t="shared" si="5"/>
        <v>0</v>
      </c>
      <c r="Y583" s="5" t="b">
        <v>0</v>
      </c>
    </row>
    <row r="584">
      <c r="B584" s="5" t="str">
        <f t="array" ref="B584">XLOOKUP(A584, CURSOS!A:A, CURSOS!B:B)</f>
        <v>#N/A</v>
      </c>
      <c r="C584" s="75" t="str">
        <f t="array" ref="C584">XLOOKUP(A584, CURSOS!A:A, CURSOS!C:C)</f>
        <v>#N/A</v>
      </c>
      <c r="D584" s="70" t="e">
        <v>#N/A</v>
      </c>
      <c r="E584" s="48"/>
      <c r="F584" s="48" t="str">
        <f t="array" ref="F584">XLOOKUP($D584,REGOLITOS!$A:$A,REGOLITOS!F:F)</f>
        <v>#N/A</v>
      </c>
      <c r="G584" s="48" t="str">
        <f t="array" ref="G584">XLOOKUP($D584,REGOLITOS!$A:$A,REGOLITOS!G:G)</f>
        <v>#N/A</v>
      </c>
      <c r="H584" s="48" t="str">
        <f t="array" ref="H584">XLOOKUP($D584,REGOLITOS!$A:$A,REGOLITOS!H:H)</f>
        <v>#N/A</v>
      </c>
      <c r="I584" s="48" t="str">
        <f t="array" ref="I584">XLOOKUP($D584,REGOLITOS!$A:$A,REGOLITOS!I:I)</f>
        <v>#N/A</v>
      </c>
      <c r="J584" s="48" t="str">
        <f t="array" ref="J584">XLOOKUP($D584,REGOLITOS!$A:$A,REGOLITOS!J:J)</f>
        <v>#N/A</v>
      </c>
      <c r="K584" s="48" t="str">
        <f t="array" ref="K584">XLOOKUP($D584,REGOLITOS!$A:$A,REGOLITOS!K:K)</f>
        <v>#N/A</v>
      </c>
      <c r="L584" s="76"/>
      <c r="M584" s="5" t="s">
        <v>1080</v>
      </c>
      <c r="N584" s="5" t="s">
        <v>1080</v>
      </c>
      <c r="O584" s="5" t="s">
        <v>1080</v>
      </c>
      <c r="P584" s="5" t="s">
        <v>1080</v>
      </c>
      <c r="Q584" s="5" t="s">
        <v>1080</v>
      </c>
      <c r="X584" s="71">
        <f t="shared" si="5"/>
        <v>0</v>
      </c>
      <c r="Y584" s="5" t="b">
        <v>0</v>
      </c>
    </row>
    <row r="585">
      <c r="B585" s="5" t="str">
        <f t="array" ref="B585">XLOOKUP(A585, CURSOS!A:A, CURSOS!B:B)</f>
        <v>#N/A</v>
      </c>
      <c r="C585" s="75" t="str">
        <f t="array" ref="C585">XLOOKUP(A585, CURSOS!A:A, CURSOS!C:C)</f>
        <v>#N/A</v>
      </c>
      <c r="D585" s="70" t="e">
        <v>#N/A</v>
      </c>
      <c r="E585" s="48"/>
      <c r="F585" s="48" t="str">
        <f t="array" ref="F585">XLOOKUP($D585,REGOLITOS!$A:$A,REGOLITOS!F:F)</f>
        <v>#N/A</v>
      </c>
      <c r="G585" s="48" t="str">
        <f t="array" ref="G585">XLOOKUP($D585,REGOLITOS!$A:$A,REGOLITOS!G:G)</f>
        <v>#N/A</v>
      </c>
      <c r="H585" s="48" t="str">
        <f t="array" ref="H585">XLOOKUP($D585,REGOLITOS!$A:$A,REGOLITOS!H:H)</f>
        <v>#N/A</v>
      </c>
      <c r="I585" s="48" t="str">
        <f t="array" ref="I585">XLOOKUP($D585,REGOLITOS!$A:$A,REGOLITOS!I:I)</f>
        <v>#N/A</v>
      </c>
      <c r="J585" s="48" t="str">
        <f t="array" ref="J585">XLOOKUP($D585,REGOLITOS!$A:$A,REGOLITOS!J:J)</f>
        <v>#N/A</v>
      </c>
      <c r="K585" s="48" t="str">
        <f t="array" ref="K585">XLOOKUP($D585,REGOLITOS!$A:$A,REGOLITOS!K:K)</f>
        <v>#N/A</v>
      </c>
      <c r="L585" s="76"/>
      <c r="M585" s="5" t="s">
        <v>1080</v>
      </c>
      <c r="N585" s="5" t="s">
        <v>1080</v>
      </c>
      <c r="O585" s="5" t="s">
        <v>1080</v>
      </c>
      <c r="P585" s="5" t="s">
        <v>1080</v>
      </c>
      <c r="Q585" s="5" t="s">
        <v>1080</v>
      </c>
      <c r="X585" s="71">
        <f t="shared" si="5"/>
        <v>0</v>
      </c>
      <c r="Y585" s="5" t="b">
        <v>0</v>
      </c>
    </row>
    <row r="586">
      <c r="B586" s="5" t="str">
        <f t="array" ref="B586">XLOOKUP(A586, CURSOS!A:A, CURSOS!B:B)</f>
        <v>#N/A</v>
      </c>
      <c r="C586" s="75" t="str">
        <f t="array" ref="C586">XLOOKUP(A586, CURSOS!A:A, CURSOS!C:C)</f>
        <v>#N/A</v>
      </c>
      <c r="D586" s="70" t="e">
        <v>#N/A</v>
      </c>
      <c r="E586" s="48"/>
      <c r="F586" s="48" t="str">
        <f t="array" ref="F586">XLOOKUP($D586,REGOLITOS!$A:$A,REGOLITOS!F:F)</f>
        <v>#N/A</v>
      </c>
      <c r="G586" s="48" t="str">
        <f t="array" ref="G586">XLOOKUP($D586,REGOLITOS!$A:$A,REGOLITOS!G:G)</f>
        <v>#N/A</v>
      </c>
      <c r="H586" s="48" t="str">
        <f t="array" ref="H586">XLOOKUP($D586,REGOLITOS!$A:$A,REGOLITOS!H:H)</f>
        <v>#N/A</v>
      </c>
      <c r="I586" s="48" t="str">
        <f t="array" ref="I586">XLOOKUP($D586,REGOLITOS!$A:$A,REGOLITOS!I:I)</f>
        <v>#N/A</v>
      </c>
      <c r="J586" s="48" t="str">
        <f t="array" ref="J586">XLOOKUP($D586,REGOLITOS!$A:$A,REGOLITOS!J:J)</f>
        <v>#N/A</v>
      </c>
      <c r="K586" s="48" t="str">
        <f t="array" ref="K586">XLOOKUP($D586,REGOLITOS!$A:$A,REGOLITOS!K:K)</f>
        <v>#N/A</v>
      </c>
      <c r="L586" s="76"/>
      <c r="M586" s="5" t="s">
        <v>1080</v>
      </c>
      <c r="N586" s="5" t="s">
        <v>1080</v>
      </c>
      <c r="O586" s="5" t="s">
        <v>1080</v>
      </c>
      <c r="P586" s="5" t="s">
        <v>1080</v>
      </c>
      <c r="Q586" s="5" t="s">
        <v>1080</v>
      </c>
      <c r="X586" s="71">
        <f t="shared" si="5"/>
        <v>0</v>
      </c>
      <c r="Y586" s="5" t="b">
        <v>0</v>
      </c>
    </row>
    <row r="587">
      <c r="B587" s="5" t="str">
        <f t="array" ref="B587">XLOOKUP(A587, CURSOS!A:A, CURSOS!B:B)</f>
        <v>#N/A</v>
      </c>
      <c r="C587" s="75" t="str">
        <f t="array" ref="C587">XLOOKUP(A587, CURSOS!A:A, CURSOS!C:C)</f>
        <v>#N/A</v>
      </c>
      <c r="D587" s="70" t="e">
        <v>#N/A</v>
      </c>
      <c r="E587" s="48"/>
      <c r="F587" s="48" t="str">
        <f t="array" ref="F587">XLOOKUP($D587,REGOLITOS!$A:$A,REGOLITOS!F:F)</f>
        <v>#N/A</v>
      </c>
      <c r="G587" s="48" t="str">
        <f t="array" ref="G587">XLOOKUP($D587,REGOLITOS!$A:$A,REGOLITOS!G:G)</f>
        <v>#N/A</v>
      </c>
      <c r="H587" s="48" t="str">
        <f t="array" ref="H587">XLOOKUP($D587,REGOLITOS!$A:$A,REGOLITOS!H:H)</f>
        <v>#N/A</v>
      </c>
      <c r="I587" s="48" t="str">
        <f t="array" ref="I587">XLOOKUP($D587,REGOLITOS!$A:$A,REGOLITOS!I:I)</f>
        <v>#N/A</v>
      </c>
      <c r="J587" s="48" t="str">
        <f t="array" ref="J587">XLOOKUP($D587,REGOLITOS!$A:$A,REGOLITOS!J:J)</f>
        <v>#N/A</v>
      </c>
      <c r="K587" s="48" t="str">
        <f t="array" ref="K587">XLOOKUP($D587,REGOLITOS!$A:$A,REGOLITOS!K:K)</f>
        <v>#N/A</v>
      </c>
      <c r="L587" s="76"/>
      <c r="M587" s="5" t="s">
        <v>1080</v>
      </c>
      <c r="N587" s="5" t="s">
        <v>1080</v>
      </c>
      <c r="O587" s="5" t="s">
        <v>1080</v>
      </c>
      <c r="P587" s="5" t="s">
        <v>1080</v>
      </c>
      <c r="Q587" s="5" t="s">
        <v>1080</v>
      </c>
      <c r="X587" s="71">
        <f t="shared" si="5"/>
        <v>0</v>
      </c>
      <c r="Y587" s="5" t="b">
        <v>0</v>
      </c>
    </row>
    <row r="588">
      <c r="B588" s="5" t="str">
        <f t="array" ref="B588">XLOOKUP(A588, CURSOS!A:A, CURSOS!B:B)</f>
        <v>#N/A</v>
      </c>
      <c r="C588" s="75" t="str">
        <f t="array" ref="C588">XLOOKUP(A588, CURSOS!A:A, CURSOS!C:C)</f>
        <v>#N/A</v>
      </c>
      <c r="D588" s="70" t="e">
        <v>#N/A</v>
      </c>
      <c r="E588" s="48"/>
      <c r="F588" s="48" t="str">
        <f t="array" ref="F588">XLOOKUP($D588,REGOLITOS!$A:$A,REGOLITOS!F:F)</f>
        <v>#N/A</v>
      </c>
      <c r="G588" s="48" t="str">
        <f t="array" ref="G588">XLOOKUP($D588,REGOLITOS!$A:$A,REGOLITOS!G:G)</f>
        <v>#N/A</v>
      </c>
      <c r="H588" s="48" t="str">
        <f t="array" ref="H588">XLOOKUP($D588,REGOLITOS!$A:$A,REGOLITOS!H:H)</f>
        <v>#N/A</v>
      </c>
      <c r="I588" s="48" t="str">
        <f t="array" ref="I588">XLOOKUP($D588,REGOLITOS!$A:$A,REGOLITOS!I:I)</f>
        <v>#N/A</v>
      </c>
      <c r="J588" s="48" t="str">
        <f t="array" ref="J588">XLOOKUP($D588,REGOLITOS!$A:$A,REGOLITOS!J:J)</f>
        <v>#N/A</v>
      </c>
      <c r="K588" s="48" t="str">
        <f t="array" ref="K588">XLOOKUP($D588,REGOLITOS!$A:$A,REGOLITOS!K:K)</f>
        <v>#N/A</v>
      </c>
      <c r="L588" s="76"/>
      <c r="M588" s="5" t="s">
        <v>1080</v>
      </c>
      <c r="N588" s="5" t="s">
        <v>1080</v>
      </c>
      <c r="O588" s="5" t="s">
        <v>1080</v>
      </c>
      <c r="P588" s="5" t="s">
        <v>1080</v>
      </c>
      <c r="Q588" s="5" t="s">
        <v>1080</v>
      </c>
      <c r="X588" s="71">
        <f t="shared" si="5"/>
        <v>0</v>
      </c>
      <c r="Y588" s="5" t="b">
        <v>0</v>
      </c>
    </row>
    <row r="589">
      <c r="B589" s="5" t="str">
        <f t="array" ref="B589">XLOOKUP(A589, CURSOS!A:A, CURSOS!B:B)</f>
        <v>#N/A</v>
      </c>
      <c r="C589" s="75" t="str">
        <f t="array" ref="C589">XLOOKUP(A589, CURSOS!A:A, CURSOS!C:C)</f>
        <v>#N/A</v>
      </c>
      <c r="D589" s="70" t="e">
        <v>#N/A</v>
      </c>
      <c r="E589" s="48"/>
      <c r="F589" s="48" t="str">
        <f t="array" ref="F589">XLOOKUP($D589,REGOLITOS!$A:$A,REGOLITOS!F:F)</f>
        <v>#N/A</v>
      </c>
      <c r="G589" s="48" t="str">
        <f t="array" ref="G589">XLOOKUP($D589,REGOLITOS!$A:$A,REGOLITOS!G:G)</f>
        <v>#N/A</v>
      </c>
      <c r="H589" s="48" t="str">
        <f t="array" ref="H589">XLOOKUP($D589,REGOLITOS!$A:$A,REGOLITOS!H:H)</f>
        <v>#N/A</v>
      </c>
      <c r="I589" s="48" t="str">
        <f t="array" ref="I589">XLOOKUP($D589,REGOLITOS!$A:$A,REGOLITOS!I:I)</f>
        <v>#N/A</v>
      </c>
      <c r="J589" s="48" t="str">
        <f t="array" ref="J589">XLOOKUP($D589,REGOLITOS!$A:$A,REGOLITOS!J:J)</f>
        <v>#N/A</v>
      </c>
      <c r="K589" s="48" t="str">
        <f t="array" ref="K589">XLOOKUP($D589,REGOLITOS!$A:$A,REGOLITOS!K:K)</f>
        <v>#N/A</v>
      </c>
      <c r="L589" s="76"/>
      <c r="M589" s="5" t="s">
        <v>1080</v>
      </c>
      <c r="N589" s="5" t="s">
        <v>1080</v>
      </c>
      <c r="O589" s="5" t="s">
        <v>1080</v>
      </c>
      <c r="P589" s="5" t="s">
        <v>1080</v>
      </c>
      <c r="Q589" s="5" t="s">
        <v>1080</v>
      </c>
      <c r="X589" s="71">
        <f t="shared" si="5"/>
        <v>0</v>
      </c>
      <c r="Y589" s="5" t="b">
        <v>0</v>
      </c>
    </row>
    <row r="590">
      <c r="B590" s="5" t="str">
        <f t="array" ref="B590">XLOOKUP(A590, CURSOS!A:A, CURSOS!B:B)</f>
        <v>#N/A</v>
      </c>
      <c r="C590" s="75" t="str">
        <f t="array" ref="C590">XLOOKUP(A590, CURSOS!A:A, CURSOS!C:C)</f>
        <v>#N/A</v>
      </c>
      <c r="D590" s="70" t="e">
        <v>#N/A</v>
      </c>
      <c r="E590" s="48"/>
      <c r="F590" s="48" t="str">
        <f t="array" ref="F590">XLOOKUP($D590,REGOLITOS!$A:$A,REGOLITOS!F:F)</f>
        <v>#N/A</v>
      </c>
      <c r="G590" s="48" t="str">
        <f t="array" ref="G590">XLOOKUP($D590,REGOLITOS!$A:$A,REGOLITOS!G:G)</f>
        <v>#N/A</v>
      </c>
      <c r="H590" s="48" t="str">
        <f t="array" ref="H590">XLOOKUP($D590,REGOLITOS!$A:$A,REGOLITOS!H:H)</f>
        <v>#N/A</v>
      </c>
      <c r="I590" s="48" t="str">
        <f t="array" ref="I590">XLOOKUP($D590,REGOLITOS!$A:$A,REGOLITOS!I:I)</f>
        <v>#N/A</v>
      </c>
      <c r="J590" s="48" t="str">
        <f t="array" ref="J590">XLOOKUP($D590,REGOLITOS!$A:$A,REGOLITOS!J:J)</f>
        <v>#N/A</v>
      </c>
      <c r="K590" s="48" t="str">
        <f t="array" ref="K590">XLOOKUP($D590,REGOLITOS!$A:$A,REGOLITOS!K:K)</f>
        <v>#N/A</v>
      </c>
      <c r="L590" s="76"/>
      <c r="M590" s="5" t="s">
        <v>1080</v>
      </c>
      <c r="N590" s="5" t="s">
        <v>1080</v>
      </c>
      <c r="O590" s="5" t="s">
        <v>1080</v>
      </c>
      <c r="P590" s="5" t="s">
        <v>1080</v>
      </c>
      <c r="Q590" s="5" t="s">
        <v>1080</v>
      </c>
      <c r="X590" s="71">
        <f t="shared" si="5"/>
        <v>0</v>
      </c>
      <c r="Y590" s="5" t="b">
        <v>0</v>
      </c>
    </row>
    <row r="591">
      <c r="B591" s="5" t="str">
        <f t="array" ref="B591">XLOOKUP(A591, CURSOS!A:A, CURSOS!B:B)</f>
        <v>#N/A</v>
      </c>
      <c r="C591" s="75" t="str">
        <f t="array" ref="C591">XLOOKUP(A591, CURSOS!A:A, CURSOS!C:C)</f>
        <v>#N/A</v>
      </c>
      <c r="D591" s="70" t="e">
        <v>#N/A</v>
      </c>
      <c r="E591" s="48"/>
      <c r="F591" s="48" t="str">
        <f t="array" ref="F591">XLOOKUP($D591,REGOLITOS!$A:$A,REGOLITOS!F:F)</f>
        <v>#N/A</v>
      </c>
      <c r="G591" s="48" t="str">
        <f t="array" ref="G591">XLOOKUP($D591,REGOLITOS!$A:$A,REGOLITOS!G:G)</f>
        <v>#N/A</v>
      </c>
      <c r="H591" s="48" t="str">
        <f t="array" ref="H591">XLOOKUP($D591,REGOLITOS!$A:$A,REGOLITOS!H:H)</f>
        <v>#N/A</v>
      </c>
      <c r="I591" s="48" t="str">
        <f t="array" ref="I591">XLOOKUP($D591,REGOLITOS!$A:$A,REGOLITOS!I:I)</f>
        <v>#N/A</v>
      </c>
      <c r="J591" s="48" t="str">
        <f t="array" ref="J591">XLOOKUP($D591,REGOLITOS!$A:$A,REGOLITOS!J:J)</f>
        <v>#N/A</v>
      </c>
      <c r="K591" s="48" t="str">
        <f t="array" ref="K591">XLOOKUP($D591,REGOLITOS!$A:$A,REGOLITOS!K:K)</f>
        <v>#N/A</v>
      </c>
      <c r="L591" s="76"/>
      <c r="M591" s="5" t="s">
        <v>1080</v>
      </c>
      <c r="N591" s="5" t="s">
        <v>1080</v>
      </c>
      <c r="O591" s="5" t="s">
        <v>1080</v>
      </c>
      <c r="P591" s="5" t="s">
        <v>1080</v>
      </c>
      <c r="Q591" s="5" t="s">
        <v>1080</v>
      </c>
      <c r="X591" s="71">
        <f t="shared" si="5"/>
        <v>0</v>
      </c>
      <c r="Y591" s="5" t="b">
        <v>0</v>
      </c>
    </row>
    <row r="592">
      <c r="B592" s="5" t="str">
        <f t="array" ref="B592">XLOOKUP(A592, CURSOS!A:A, CURSOS!B:B)</f>
        <v>#N/A</v>
      </c>
      <c r="C592" s="75" t="str">
        <f t="array" ref="C592">XLOOKUP(A592, CURSOS!A:A, CURSOS!C:C)</f>
        <v>#N/A</v>
      </c>
      <c r="D592" s="70" t="e">
        <v>#N/A</v>
      </c>
      <c r="E592" s="48"/>
      <c r="F592" s="48" t="str">
        <f t="array" ref="F592">XLOOKUP($D592,REGOLITOS!$A:$A,REGOLITOS!F:F)</f>
        <v>#N/A</v>
      </c>
      <c r="G592" s="48" t="str">
        <f t="array" ref="G592">XLOOKUP($D592,REGOLITOS!$A:$A,REGOLITOS!G:G)</f>
        <v>#N/A</v>
      </c>
      <c r="H592" s="48" t="str">
        <f t="array" ref="H592">XLOOKUP($D592,REGOLITOS!$A:$A,REGOLITOS!H:H)</f>
        <v>#N/A</v>
      </c>
      <c r="I592" s="48" t="str">
        <f t="array" ref="I592">XLOOKUP($D592,REGOLITOS!$A:$A,REGOLITOS!I:I)</f>
        <v>#N/A</v>
      </c>
      <c r="J592" s="48" t="str">
        <f t="array" ref="J592">XLOOKUP($D592,REGOLITOS!$A:$A,REGOLITOS!J:J)</f>
        <v>#N/A</v>
      </c>
      <c r="K592" s="48" t="str">
        <f t="array" ref="K592">XLOOKUP($D592,REGOLITOS!$A:$A,REGOLITOS!K:K)</f>
        <v>#N/A</v>
      </c>
      <c r="L592" s="76"/>
      <c r="M592" s="5" t="s">
        <v>1080</v>
      </c>
      <c r="N592" s="5" t="s">
        <v>1080</v>
      </c>
      <c r="O592" s="5" t="s">
        <v>1080</v>
      </c>
      <c r="P592" s="5" t="s">
        <v>1080</v>
      </c>
      <c r="Q592" s="5" t="s">
        <v>1080</v>
      </c>
      <c r="X592" s="71">
        <f t="shared" si="5"/>
        <v>0</v>
      </c>
      <c r="Y592" s="5" t="b">
        <v>0</v>
      </c>
    </row>
    <row r="593">
      <c r="B593" s="5" t="str">
        <f t="array" ref="B593">XLOOKUP(A593, CURSOS!A:A, CURSOS!B:B)</f>
        <v>#N/A</v>
      </c>
      <c r="C593" s="75" t="str">
        <f t="array" ref="C593">XLOOKUP(A593, CURSOS!A:A, CURSOS!C:C)</f>
        <v>#N/A</v>
      </c>
      <c r="D593" s="70" t="e">
        <v>#N/A</v>
      </c>
      <c r="E593" s="48"/>
      <c r="F593" s="48" t="str">
        <f t="array" ref="F593">XLOOKUP($D593,REGOLITOS!$A:$A,REGOLITOS!F:F)</f>
        <v>#N/A</v>
      </c>
      <c r="G593" s="48" t="str">
        <f t="array" ref="G593">XLOOKUP($D593,REGOLITOS!$A:$A,REGOLITOS!G:G)</f>
        <v>#N/A</v>
      </c>
      <c r="H593" s="48" t="str">
        <f t="array" ref="H593">XLOOKUP($D593,REGOLITOS!$A:$A,REGOLITOS!H:H)</f>
        <v>#N/A</v>
      </c>
      <c r="I593" s="48" t="str">
        <f t="array" ref="I593">XLOOKUP($D593,REGOLITOS!$A:$A,REGOLITOS!I:I)</f>
        <v>#N/A</v>
      </c>
      <c r="J593" s="48" t="str">
        <f t="array" ref="J593">XLOOKUP($D593,REGOLITOS!$A:$A,REGOLITOS!J:J)</f>
        <v>#N/A</v>
      </c>
      <c r="K593" s="48" t="str">
        <f t="array" ref="K593">XLOOKUP($D593,REGOLITOS!$A:$A,REGOLITOS!K:K)</f>
        <v>#N/A</v>
      </c>
      <c r="L593" s="76"/>
      <c r="M593" s="5" t="s">
        <v>1080</v>
      </c>
      <c r="N593" s="5" t="s">
        <v>1080</v>
      </c>
      <c r="O593" s="5" t="s">
        <v>1080</v>
      </c>
      <c r="P593" s="5" t="s">
        <v>1080</v>
      </c>
      <c r="Q593" s="5" t="s">
        <v>1080</v>
      </c>
      <c r="X593" s="71">
        <f t="shared" si="5"/>
        <v>0</v>
      </c>
      <c r="Y593" s="5" t="b">
        <v>0</v>
      </c>
    </row>
    <row r="594">
      <c r="B594" s="5" t="str">
        <f t="array" ref="B594">XLOOKUP(A594, CURSOS!A:A, CURSOS!B:B)</f>
        <v>#N/A</v>
      </c>
      <c r="C594" s="75" t="str">
        <f t="array" ref="C594">XLOOKUP(A594, CURSOS!A:A, CURSOS!C:C)</f>
        <v>#N/A</v>
      </c>
      <c r="D594" s="70" t="e">
        <v>#N/A</v>
      </c>
      <c r="E594" s="48"/>
      <c r="F594" s="48" t="str">
        <f t="array" ref="F594">XLOOKUP($D594,REGOLITOS!$A:$A,REGOLITOS!F:F)</f>
        <v>#N/A</v>
      </c>
      <c r="G594" s="48" t="str">
        <f t="array" ref="G594">XLOOKUP($D594,REGOLITOS!$A:$A,REGOLITOS!G:G)</f>
        <v>#N/A</v>
      </c>
      <c r="H594" s="48" t="str">
        <f t="array" ref="H594">XLOOKUP($D594,REGOLITOS!$A:$A,REGOLITOS!H:H)</f>
        <v>#N/A</v>
      </c>
      <c r="I594" s="48" t="str">
        <f t="array" ref="I594">XLOOKUP($D594,REGOLITOS!$A:$A,REGOLITOS!I:I)</f>
        <v>#N/A</v>
      </c>
      <c r="J594" s="48" t="str">
        <f t="array" ref="J594">XLOOKUP($D594,REGOLITOS!$A:$A,REGOLITOS!J:J)</f>
        <v>#N/A</v>
      </c>
      <c r="K594" s="48" t="str">
        <f t="array" ref="K594">XLOOKUP($D594,REGOLITOS!$A:$A,REGOLITOS!K:K)</f>
        <v>#N/A</v>
      </c>
      <c r="L594" s="76"/>
      <c r="M594" s="5" t="s">
        <v>1080</v>
      </c>
      <c r="N594" s="5" t="s">
        <v>1080</v>
      </c>
      <c r="O594" s="5" t="s">
        <v>1080</v>
      </c>
      <c r="P594" s="5" t="s">
        <v>1080</v>
      </c>
      <c r="Q594" s="5" t="s">
        <v>1080</v>
      </c>
      <c r="X594" s="71">
        <f t="shared" si="5"/>
        <v>0</v>
      </c>
      <c r="Y594" s="5" t="b">
        <v>0</v>
      </c>
    </row>
    <row r="595">
      <c r="B595" s="5" t="str">
        <f t="array" ref="B595">XLOOKUP(A595, CURSOS!A:A, CURSOS!B:B)</f>
        <v>#N/A</v>
      </c>
      <c r="C595" s="75" t="str">
        <f t="array" ref="C595">XLOOKUP(A595, CURSOS!A:A, CURSOS!C:C)</f>
        <v>#N/A</v>
      </c>
      <c r="D595" s="70" t="e">
        <v>#N/A</v>
      </c>
      <c r="E595" s="48"/>
      <c r="F595" s="48" t="str">
        <f t="array" ref="F595">XLOOKUP($D595,REGOLITOS!$A:$A,REGOLITOS!F:F)</f>
        <v>#N/A</v>
      </c>
      <c r="G595" s="48" t="str">
        <f t="array" ref="G595">XLOOKUP($D595,REGOLITOS!$A:$A,REGOLITOS!G:G)</f>
        <v>#N/A</v>
      </c>
      <c r="H595" s="48" t="str">
        <f t="array" ref="H595">XLOOKUP($D595,REGOLITOS!$A:$A,REGOLITOS!H:H)</f>
        <v>#N/A</v>
      </c>
      <c r="I595" s="48" t="str">
        <f t="array" ref="I595">XLOOKUP($D595,REGOLITOS!$A:$A,REGOLITOS!I:I)</f>
        <v>#N/A</v>
      </c>
      <c r="J595" s="48" t="str">
        <f t="array" ref="J595">XLOOKUP($D595,REGOLITOS!$A:$A,REGOLITOS!J:J)</f>
        <v>#N/A</v>
      </c>
      <c r="K595" s="48" t="str">
        <f t="array" ref="K595">XLOOKUP($D595,REGOLITOS!$A:$A,REGOLITOS!K:K)</f>
        <v>#N/A</v>
      </c>
      <c r="L595" s="76"/>
      <c r="M595" s="5" t="s">
        <v>1080</v>
      </c>
      <c r="N595" s="5" t="s">
        <v>1080</v>
      </c>
      <c r="O595" s="5" t="s">
        <v>1080</v>
      </c>
      <c r="P595" s="5" t="s">
        <v>1080</v>
      </c>
      <c r="Q595" s="5" t="s">
        <v>1080</v>
      </c>
      <c r="X595" s="71">
        <f t="shared" si="5"/>
        <v>0</v>
      </c>
      <c r="Y595" s="5" t="b">
        <v>0</v>
      </c>
    </row>
    <row r="596">
      <c r="B596" s="5" t="str">
        <f t="array" ref="B596">XLOOKUP(A596, CURSOS!A:A, CURSOS!B:B)</f>
        <v>#N/A</v>
      </c>
      <c r="C596" s="75" t="str">
        <f t="array" ref="C596">XLOOKUP(A596, CURSOS!A:A, CURSOS!C:C)</f>
        <v>#N/A</v>
      </c>
      <c r="D596" s="70" t="e">
        <v>#N/A</v>
      </c>
      <c r="E596" s="48"/>
      <c r="F596" s="48" t="str">
        <f t="array" ref="F596">XLOOKUP($D596,REGOLITOS!$A:$A,REGOLITOS!F:F)</f>
        <v>#N/A</v>
      </c>
      <c r="G596" s="48" t="str">
        <f t="array" ref="G596">XLOOKUP($D596,REGOLITOS!$A:$A,REGOLITOS!G:G)</f>
        <v>#N/A</v>
      </c>
      <c r="H596" s="48" t="str">
        <f t="array" ref="H596">XLOOKUP($D596,REGOLITOS!$A:$A,REGOLITOS!H:H)</f>
        <v>#N/A</v>
      </c>
      <c r="I596" s="48" t="str">
        <f t="array" ref="I596">XLOOKUP($D596,REGOLITOS!$A:$A,REGOLITOS!I:I)</f>
        <v>#N/A</v>
      </c>
      <c r="J596" s="48" t="str">
        <f t="array" ref="J596">XLOOKUP($D596,REGOLITOS!$A:$A,REGOLITOS!J:J)</f>
        <v>#N/A</v>
      </c>
      <c r="K596" s="48" t="str">
        <f t="array" ref="K596">XLOOKUP($D596,REGOLITOS!$A:$A,REGOLITOS!K:K)</f>
        <v>#N/A</v>
      </c>
      <c r="L596" s="76"/>
      <c r="M596" s="5" t="s">
        <v>1080</v>
      </c>
      <c r="N596" s="5" t="s">
        <v>1080</v>
      </c>
      <c r="O596" s="5" t="s">
        <v>1080</v>
      </c>
      <c r="P596" s="5" t="s">
        <v>1080</v>
      </c>
      <c r="Q596" s="5" t="s">
        <v>1080</v>
      </c>
      <c r="X596" s="71">
        <f t="shared" si="5"/>
        <v>0</v>
      </c>
      <c r="Y596" s="5" t="b">
        <v>0</v>
      </c>
    </row>
    <row r="597">
      <c r="B597" s="5" t="str">
        <f t="array" ref="B597">XLOOKUP(A597, CURSOS!A:A, CURSOS!B:B)</f>
        <v>#N/A</v>
      </c>
      <c r="C597" s="75" t="str">
        <f t="array" ref="C597">XLOOKUP(A597, CURSOS!A:A, CURSOS!C:C)</f>
        <v>#N/A</v>
      </c>
      <c r="D597" s="70" t="e">
        <v>#N/A</v>
      </c>
      <c r="E597" s="48"/>
      <c r="F597" s="48" t="str">
        <f t="array" ref="F597">XLOOKUP($D597,REGOLITOS!$A:$A,REGOLITOS!F:F)</f>
        <v>#N/A</v>
      </c>
      <c r="G597" s="48" t="str">
        <f t="array" ref="G597">XLOOKUP($D597,REGOLITOS!$A:$A,REGOLITOS!G:G)</f>
        <v>#N/A</v>
      </c>
      <c r="H597" s="48" t="str">
        <f t="array" ref="H597">XLOOKUP($D597,REGOLITOS!$A:$A,REGOLITOS!H:H)</f>
        <v>#N/A</v>
      </c>
      <c r="I597" s="48" t="str">
        <f t="array" ref="I597">XLOOKUP($D597,REGOLITOS!$A:$A,REGOLITOS!I:I)</f>
        <v>#N/A</v>
      </c>
      <c r="J597" s="48" t="str">
        <f t="array" ref="J597">XLOOKUP($D597,REGOLITOS!$A:$A,REGOLITOS!J:J)</f>
        <v>#N/A</v>
      </c>
      <c r="K597" s="48" t="str">
        <f t="array" ref="K597">XLOOKUP($D597,REGOLITOS!$A:$A,REGOLITOS!K:K)</f>
        <v>#N/A</v>
      </c>
      <c r="L597" s="76"/>
      <c r="M597" s="5" t="s">
        <v>1080</v>
      </c>
      <c r="N597" s="5" t="s">
        <v>1080</v>
      </c>
      <c r="O597" s="5" t="s">
        <v>1080</v>
      </c>
      <c r="P597" s="5" t="s">
        <v>1080</v>
      </c>
      <c r="Q597" s="5" t="s">
        <v>1080</v>
      </c>
      <c r="X597" s="71">
        <f t="shared" si="5"/>
        <v>0</v>
      </c>
      <c r="Y597" s="5" t="b">
        <v>0</v>
      </c>
    </row>
    <row r="598">
      <c r="B598" s="5" t="str">
        <f t="array" ref="B598">XLOOKUP(A598, CURSOS!A:A, CURSOS!B:B)</f>
        <v>#N/A</v>
      </c>
      <c r="C598" s="75" t="str">
        <f t="array" ref="C598">XLOOKUP(A598, CURSOS!A:A, CURSOS!C:C)</f>
        <v>#N/A</v>
      </c>
      <c r="D598" s="70" t="e">
        <v>#N/A</v>
      </c>
      <c r="E598" s="48"/>
      <c r="F598" s="48" t="str">
        <f t="array" ref="F598">XLOOKUP($D598,REGOLITOS!$A:$A,REGOLITOS!F:F)</f>
        <v>#N/A</v>
      </c>
      <c r="G598" s="48" t="str">
        <f t="array" ref="G598">XLOOKUP($D598,REGOLITOS!$A:$A,REGOLITOS!G:G)</f>
        <v>#N/A</v>
      </c>
      <c r="H598" s="48" t="str">
        <f t="array" ref="H598">XLOOKUP($D598,REGOLITOS!$A:$A,REGOLITOS!H:H)</f>
        <v>#N/A</v>
      </c>
      <c r="I598" s="48" t="str">
        <f t="array" ref="I598">XLOOKUP($D598,REGOLITOS!$A:$A,REGOLITOS!I:I)</f>
        <v>#N/A</v>
      </c>
      <c r="J598" s="48" t="str">
        <f t="array" ref="J598">XLOOKUP($D598,REGOLITOS!$A:$A,REGOLITOS!J:J)</f>
        <v>#N/A</v>
      </c>
      <c r="K598" s="48" t="str">
        <f t="array" ref="K598">XLOOKUP($D598,REGOLITOS!$A:$A,REGOLITOS!K:K)</f>
        <v>#N/A</v>
      </c>
      <c r="L598" s="76"/>
      <c r="M598" s="5" t="s">
        <v>1080</v>
      </c>
      <c r="N598" s="5" t="s">
        <v>1080</v>
      </c>
      <c r="O598" s="5" t="s">
        <v>1080</v>
      </c>
      <c r="P598" s="5" t="s">
        <v>1080</v>
      </c>
      <c r="Q598" s="5" t="s">
        <v>1080</v>
      </c>
      <c r="X598" s="71">
        <f t="shared" si="5"/>
        <v>0</v>
      </c>
      <c r="Y598" s="5" t="b">
        <v>0</v>
      </c>
    </row>
    <row r="599">
      <c r="B599" s="5" t="str">
        <f t="array" ref="B599">XLOOKUP(A599, CURSOS!A:A, CURSOS!B:B)</f>
        <v>#N/A</v>
      </c>
      <c r="C599" s="75" t="str">
        <f t="array" ref="C599">XLOOKUP(A599, CURSOS!A:A, CURSOS!C:C)</f>
        <v>#N/A</v>
      </c>
      <c r="D599" s="70" t="e">
        <v>#N/A</v>
      </c>
      <c r="E599" s="48"/>
      <c r="F599" s="48" t="str">
        <f t="array" ref="F599">XLOOKUP($D599,REGOLITOS!$A:$A,REGOLITOS!F:F)</f>
        <v>#N/A</v>
      </c>
      <c r="G599" s="48" t="str">
        <f t="array" ref="G599">XLOOKUP($D599,REGOLITOS!$A:$A,REGOLITOS!G:G)</f>
        <v>#N/A</v>
      </c>
      <c r="H599" s="48" t="str">
        <f t="array" ref="H599">XLOOKUP($D599,REGOLITOS!$A:$A,REGOLITOS!H:H)</f>
        <v>#N/A</v>
      </c>
      <c r="I599" s="48" t="str">
        <f t="array" ref="I599">XLOOKUP($D599,REGOLITOS!$A:$A,REGOLITOS!I:I)</f>
        <v>#N/A</v>
      </c>
      <c r="J599" s="48" t="str">
        <f t="array" ref="J599">XLOOKUP($D599,REGOLITOS!$A:$A,REGOLITOS!J:J)</f>
        <v>#N/A</v>
      </c>
      <c r="K599" s="48" t="str">
        <f t="array" ref="K599">XLOOKUP($D599,REGOLITOS!$A:$A,REGOLITOS!K:K)</f>
        <v>#N/A</v>
      </c>
      <c r="L599" s="76"/>
      <c r="M599" s="5" t="s">
        <v>1080</v>
      </c>
      <c r="N599" s="5" t="s">
        <v>1080</v>
      </c>
      <c r="O599" s="5" t="s">
        <v>1080</v>
      </c>
      <c r="P599" s="5" t="s">
        <v>1080</v>
      </c>
      <c r="Q599" s="5" t="s">
        <v>1080</v>
      </c>
      <c r="X599" s="71">
        <f t="shared" si="5"/>
        <v>0</v>
      </c>
      <c r="Y599" s="5" t="b">
        <v>0</v>
      </c>
    </row>
    <row r="600">
      <c r="B600" s="5" t="str">
        <f t="array" ref="B600">XLOOKUP(A600, CURSOS!A:A, CURSOS!B:B)</f>
        <v>#N/A</v>
      </c>
      <c r="C600" s="75" t="str">
        <f t="array" ref="C600">XLOOKUP(A600, CURSOS!A:A, CURSOS!C:C)</f>
        <v>#N/A</v>
      </c>
      <c r="D600" s="70" t="e">
        <v>#N/A</v>
      </c>
      <c r="E600" s="48"/>
      <c r="F600" s="48" t="str">
        <f t="array" ref="F600">XLOOKUP($D600,REGOLITOS!$A:$A,REGOLITOS!F:F)</f>
        <v>#N/A</v>
      </c>
      <c r="G600" s="48" t="str">
        <f t="array" ref="G600">XLOOKUP($D600,REGOLITOS!$A:$A,REGOLITOS!G:G)</f>
        <v>#N/A</v>
      </c>
      <c r="H600" s="48" t="str">
        <f t="array" ref="H600">XLOOKUP($D600,REGOLITOS!$A:$A,REGOLITOS!H:H)</f>
        <v>#N/A</v>
      </c>
      <c r="I600" s="48" t="str">
        <f t="array" ref="I600">XLOOKUP($D600,REGOLITOS!$A:$A,REGOLITOS!I:I)</f>
        <v>#N/A</v>
      </c>
      <c r="J600" s="48" t="str">
        <f t="array" ref="J600">XLOOKUP($D600,REGOLITOS!$A:$A,REGOLITOS!J:J)</f>
        <v>#N/A</v>
      </c>
      <c r="K600" s="48" t="str">
        <f t="array" ref="K600">XLOOKUP($D600,REGOLITOS!$A:$A,REGOLITOS!K:K)</f>
        <v>#N/A</v>
      </c>
      <c r="L600" s="76"/>
      <c r="M600" s="5" t="s">
        <v>1080</v>
      </c>
      <c r="N600" s="5" t="s">
        <v>1080</v>
      </c>
      <c r="O600" s="5" t="s">
        <v>1080</v>
      </c>
      <c r="P600" s="5" t="s">
        <v>1080</v>
      </c>
      <c r="Q600" s="5" t="s">
        <v>1080</v>
      </c>
      <c r="X600" s="71">
        <f t="shared" si="5"/>
        <v>0</v>
      </c>
      <c r="Y600" s="5" t="b">
        <v>0</v>
      </c>
    </row>
    <row r="601">
      <c r="B601" s="5" t="str">
        <f t="array" ref="B601">XLOOKUP(A601, CURSOS!A:A, CURSOS!B:B)</f>
        <v>#N/A</v>
      </c>
      <c r="C601" s="75" t="str">
        <f t="array" ref="C601">XLOOKUP(A601, CURSOS!A:A, CURSOS!C:C)</f>
        <v>#N/A</v>
      </c>
      <c r="D601" s="70" t="e">
        <v>#N/A</v>
      </c>
      <c r="E601" s="48"/>
      <c r="F601" s="48" t="str">
        <f t="array" ref="F601">XLOOKUP($D601,REGOLITOS!$A:$A,REGOLITOS!F:F)</f>
        <v>#N/A</v>
      </c>
      <c r="G601" s="48" t="str">
        <f t="array" ref="G601">XLOOKUP($D601,REGOLITOS!$A:$A,REGOLITOS!G:G)</f>
        <v>#N/A</v>
      </c>
      <c r="H601" s="48" t="str">
        <f t="array" ref="H601">XLOOKUP($D601,REGOLITOS!$A:$A,REGOLITOS!H:H)</f>
        <v>#N/A</v>
      </c>
      <c r="I601" s="48" t="str">
        <f t="array" ref="I601">XLOOKUP($D601,REGOLITOS!$A:$A,REGOLITOS!I:I)</f>
        <v>#N/A</v>
      </c>
      <c r="J601" s="48" t="str">
        <f t="array" ref="J601">XLOOKUP($D601,REGOLITOS!$A:$A,REGOLITOS!J:J)</f>
        <v>#N/A</v>
      </c>
      <c r="K601" s="48" t="str">
        <f t="array" ref="K601">XLOOKUP($D601,REGOLITOS!$A:$A,REGOLITOS!K:K)</f>
        <v>#N/A</v>
      </c>
      <c r="L601" s="76"/>
      <c r="M601" s="5" t="s">
        <v>1080</v>
      </c>
      <c r="N601" s="5" t="s">
        <v>1080</v>
      </c>
      <c r="O601" s="5" t="s">
        <v>1080</v>
      </c>
      <c r="P601" s="5" t="s">
        <v>1080</v>
      </c>
      <c r="Q601" s="5" t="s">
        <v>1080</v>
      </c>
      <c r="X601" s="71">
        <f t="shared" si="5"/>
        <v>0</v>
      </c>
      <c r="Y601" s="5" t="b">
        <v>0</v>
      </c>
    </row>
    <row r="602">
      <c r="B602" s="5" t="str">
        <f t="array" ref="B602">XLOOKUP(A602, CURSOS!A:A, CURSOS!B:B)</f>
        <v>#N/A</v>
      </c>
      <c r="C602" s="75" t="str">
        <f t="array" ref="C602">XLOOKUP(A602, CURSOS!A:A, CURSOS!C:C)</f>
        <v>#N/A</v>
      </c>
      <c r="D602" s="70" t="e">
        <v>#N/A</v>
      </c>
      <c r="E602" s="48"/>
      <c r="F602" s="48" t="str">
        <f t="array" ref="F602">XLOOKUP($D602,REGOLITOS!$A:$A,REGOLITOS!F:F)</f>
        <v>#N/A</v>
      </c>
      <c r="G602" s="48" t="str">
        <f t="array" ref="G602">XLOOKUP($D602,REGOLITOS!$A:$A,REGOLITOS!G:G)</f>
        <v>#N/A</v>
      </c>
      <c r="H602" s="48" t="str">
        <f t="array" ref="H602">XLOOKUP($D602,REGOLITOS!$A:$A,REGOLITOS!H:H)</f>
        <v>#N/A</v>
      </c>
      <c r="I602" s="48" t="str">
        <f t="array" ref="I602">XLOOKUP($D602,REGOLITOS!$A:$A,REGOLITOS!I:I)</f>
        <v>#N/A</v>
      </c>
      <c r="J602" s="48" t="str">
        <f t="array" ref="J602">XLOOKUP($D602,REGOLITOS!$A:$A,REGOLITOS!J:J)</f>
        <v>#N/A</v>
      </c>
      <c r="K602" s="48" t="str">
        <f t="array" ref="K602">XLOOKUP($D602,REGOLITOS!$A:$A,REGOLITOS!K:K)</f>
        <v>#N/A</v>
      </c>
      <c r="L602" s="76"/>
      <c r="M602" s="5" t="s">
        <v>1080</v>
      </c>
      <c r="N602" s="5" t="s">
        <v>1080</v>
      </c>
      <c r="O602" s="5" t="s">
        <v>1080</v>
      </c>
      <c r="P602" s="5" t="s">
        <v>1080</v>
      </c>
      <c r="Q602" s="5" t="s">
        <v>1080</v>
      </c>
      <c r="X602" s="71">
        <f t="shared" si="5"/>
        <v>0</v>
      </c>
      <c r="Y602" s="5" t="b">
        <v>0</v>
      </c>
    </row>
    <row r="603">
      <c r="B603" s="5" t="str">
        <f t="array" ref="B603">XLOOKUP(A603, CURSOS!A:A, CURSOS!B:B)</f>
        <v>#N/A</v>
      </c>
      <c r="C603" s="75" t="str">
        <f t="array" ref="C603">XLOOKUP(A603, CURSOS!A:A, CURSOS!C:C)</f>
        <v>#N/A</v>
      </c>
      <c r="D603" s="70" t="e">
        <v>#N/A</v>
      </c>
      <c r="E603" s="48"/>
      <c r="F603" s="48" t="str">
        <f t="array" ref="F603">XLOOKUP($D603,REGOLITOS!$A:$A,REGOLITOS!F:F)</f>
        <v>#N/A</v>
      </c>
      <c r="G603" s="48" t="str">
        <f t="array" ref="G603">XLOOKUP($D603,REGOLITOS!$A:$A,REGOLITOS!G:G)</f>
        <v>#N/A</v>
      </c>
      <c r="H603" s="48" t="str">
        <f t="array" ref="H603">XLOOKUP($D603,REGOLITOS!$A:$A,REGOLITOS!H:H)</f>
        <v>#N/A</v>
      </c>
      <c r="I603" s="48" t="str">
        <f t="array" ref="I603">XLOOKUP($D603,REGOLITOS!$A:$A,REGOLITOS!I:I)</f>
        <v>#N/A</v>
      </c>
      <c r="J603" s="48" t="str">
        <f t="array" ref="J603">XLOOKUP($D603,REGOLITOS!$A:$A,REGOLITOS!J:J)</f>
        <v>#N/A</v>
      </c>
      <c r="K603" s="48" t="str">
        <f t="array" ref="K603">XLOOKUP($D603,REGOLITOS!$A:$A,REGOLITOS!K:K)</f>
        <v>#N/A</v>
      </c>
      <c r="L603" s="76"/>
      <c r="M603" s="5" t="s">
        <v>1080</v>
      </c>
      <c r="N603" s="5" t="s">
        <v>1080</v>
      </c>
      <c r="O603" s="5" t="s">
        <v>1080</v>
      </c>
      <c r="P603" s="5" t="s">
        <v>1080</v>
      </c>
      <c r="Q603" s="5" t="s">
        <v>1080</v>
      </c>
      <c r="X603" s="71">
        <f t="shared" si="5"/>
        <v>0</v>
      </c>
      <c r="Y603" s="5" t="b">
        <v>0</v>
      </c>
    </row>
    <row r="604">
      <c r="B604" s="5" t="str">
        <f t="array" ref="B604">XLOOKUP(A604, CURSOS!A:A, CURSOS!B:B)</f>
        <v>#N/A</v>
      </c>
      <c r="C604" s="75" t="str">
        <f t="array" ref="C604">XLOOKUP(A604, CURSOS!A:A, CURSOS!C:C)</f>
        <v>#N/A</v>
      </c>
      <c r="D604" s="70" t="e">
        <v>#N/A</v>
      </c>
      <c r="E604" s="48"/>
      <c r="F604" s="48" t="str">
        <f t="array" ref="F604">XLOOKUP($D604,REGOLITOS!$A:$A,REGOLITOS!F:F)</f>
        <v>#N/A</v>
      </c>
      <c r="G604" s="48" t="str">
        <f t="array" ref="G604">XLOOKUP($D604,REGOLITOS!$A:$A,REGOLITOS!G:G)</f>
        <v>#N/A</v>
      </c>
      <c r="H604" s="48" t="str">
        <f t="array" ref="H604">XLOOKUP($D604,REGOLITOS!$A:$A,REGOLITOS!H:H)</f>
        <v>#N/A</v>
      </c>
      <c r="I604" s="48" t="str">
        <f t="array" ref="I604">XLOOKUP($D604,REGOLITOS!$A:$A,REGOLITOS!I:I)</f>
        <v>#N/A</v>
      </c>
      <c r="J604" s="48" t="str">
        <f t="array" ref="J604">XLOOKUP($D604,REGOLITOS!$A:$A,REGOLITOS!J:J)</f>
        <v>#N/A</v>
      </c>
      <c r="K604" s="48" t="str">
        <f t="array" ref="K604">XLOOKUP($D604,REGOLITOS!$A:$A,REGOLITOS!K:K)</f>
        <v>#N/A</v>
      </c>
      <c r="L604" s="76"/>
      <c r="M604" s="5" t="s">
        <v>1080</v>
      </c>
      <c r="N604" s="5" t="s">
        <v>1080</v>
      </c>
      <c r="O604" s="5" t="s">
        <v>1080</v>
      </c>
      <c r="P604" s="5" t="s">
        <v>1080</v>
      </c>
      <c r="Q604" s="5" t="s">
        <v>1080</v>
      </c>
      <c r="X604" s="71">
        <f t="shared" si="5"/>
        <v>0</v>
      </c>
      <c r="Y604" s="5" t="b">
        <v>0</v>
      </c>
    </row>
    <row r="605">
      <c r="B605" s="5" t="str">
        <f t="array" ref="B605">XLOOKUP(A605, CURSOS!A:A, CURSOS!B:B)</f>
        <v>#N/A</v>
      </c>
      <c r="C605" s="75" t="str">
        <f t="array" ref="C605">XLOOKUP(A605, CURSOS!A:A, CURSOS!C:C)</f>
        <v>#N/A</v>
      </c>
      <c r="D605" s="70" t="e">
        <v>#N/A</v>
      </c>
      <c r="E605" s="48"/>
      <c r="F605" s="48" t="str">
        <f t="array" ref="F605">XLOOKUP($D605,REGOLITOS!$A:$A,REGOLITOS!F:F)</f>
        <v>#N/A</v>
      </c>
      <c r="G605" s="48" t="str">
        <f t="array" ref="G605">XLOOKUP($D605,REGOLITOS!$A:$A,REGOLITOS!G:G)</f>
        <v>#N/A</v>
      </c>
      <c r="H605" s="48" t="str">
        <f t="array" ref="H605">XLOOKUP($D605,REGOLITOS!$A:$A,REGOLITOS!H:H)</f>
        <v>#N/A</v>
      </c>
      <c r="I605" s="48" t="str">
        <f t="array" ref="I605">XLOOKUP($D605,REGOLITOS!$A:$A,REGOLITOS!I:I)</f>
        <v>#N/A</v>
      </c>
      <c r="J605" s="48" t="str">
        <f t="array" ref="J605">XLOOKUP($D605,REGOLITOS!$A:$A,REGOLITOS!J:J)</f>
        <v>#N/A</v>
      </c>
      <c r="K605" s="48" t="str">
        <f t="array" ref="K605">XLOOKUP($D605,REGOLITOS!$A:$A,REGOLITOS!K:K)</f>
        <v>#N/A</v>
      </c>
      <c r="L605" s="76"/>
      <c r="M605" s="5" t="s">
        <v>1080</v>
      </c>
      <c r="N605" s="5" t="s">
        <v>1080</v>
      </c>
      <c r="O605" s="5" t="s">
        <v>1080</v>
      </c>
      <c r="P605" s="5" t="s">
        <v>1080</v>
      </c>
      <c r="Q605" s="5" t="s">
        <v>1080</v>
      </c>
      <c r="X605" s="71">
        <f t="shared" si="5"/>
        <v>0</v>
      </c>
      <c r="Y605" s="5" t="b">
        <v>0</v>
      </c>
    </row>
    <row r="606">
      <c r="B606" s="5" t="str">
        <f t="array" ref="B606">XLOOKUP(A606, CURSOS!A:A, CURSOS!B:B)</f>
        <v>#N/A</v>
      </c>
      <c r="C606" s="75" t="str">
        <f t="array" ref="C606">XLOOKUP(A606, CURSOS!A:A, CURSOS!C:C)</f>
        <v>#N/A</v>
      </c>
      <c r="D606" s="70" t="e">
        <v>#N/A</v>
      </c>
      <c r="E606" s="48"/>
      <c r="F606" s="48" t="str">
        <f t="array" ref="F606">XLOOKUP($D606,REGOLITOS!$A:$A,REGOLITOS!F:F)</f>
        <v>#N/A</v>
      </c>
      <c r="G606" s="48" t="str">
        <f t="array" ref="G606">XLOOKUP($D606,REGOLITOS!$A:$A,REGOLITOS!G:G)</f>
        <v>#N/A</v>
      </c>
      <c r="H606" s="48" t="str">
        <f t="array" ref="H606">XLOOKUP($D606,REGOLITOS!$A:$A,REGOLITOS!H:H)</f>
        <v>#N/A</v>
      </c>
      <c r="I606" s="48" t="str">
        <f t="array" ref="I606">XLOOKUP($D606,REGOLITOS!$A:$A,REGOLITOS!I:I)</f>
        <v>#N/A</v>
      </c>
      <c r="J606" s="48" t="str">
        <f t="array" ref="J606">XLOOKUP($D606,REGOLITOS!$A:$A,REGOLITOS!J:J)</f>
        <v>#N/A</v>
      </c>
      <c r="K606" s="48" t="str">
        <f t="array" ref="K606">XLOOKUP($D606,REGOLITOS!$A:$A,REGOLITOS!K:K)</f>
        <v>#N/A</v>
      </c>
      <c r="L606" s="76"/>
      <c r="M606" s="5" t="s">
        <v>1080</v>
      </c>
      <c r="N606" s="5" t="s">
        <v>1080</v>
      </c>
      <c r="O606" s="5" t="s">
        <v>1080</v>
      </c>
      <c r="P606" s="5" t="s">
        <v>1080</v>
      </c>
      <c r="Q606" s="5" t="s">
        <v>1080</v>
      </c>
      <c r="X606" s="71">
        <f t="shared" si="5"/>
        <v>0</v>
      </c>
      <c r="Y606" s="5" t="b">
        <v>0</v>
      </c>
    </row>
    <row r="607">
      <c r="B607" s="5" t="str">
        <f t="array" ref="B607">XLOOKUP(A607, CURSOS!A:A, CURSOS!B:B)</f>
        <v>#N/A</v>
      </c>
      <c r="C607" s="75" t="str">
        <f t="array" ref="C607">XLOOKUP(A607, CURSOS!A:A, CURSOS!C:C)</f>
        <v>#N/A</v>
      </c>
      <c r="D607" s="70" t="e">
        <v>#N/A</v>
      </c>
      <c r="E607" s="48"/>
      <c r="F607" s="48" t="str">
        <f t="array" ref="F607">XLOOKUP($D607,REGOLITOS!$A:$A,REGOLITOS!F:F)</f>
        <v>#N/A</v>
      </c>
      <c r="G607" s="48" t="str">
        <f t="array" ref="G607">XLOOKUP($D607,REGOLITOS!$A:$A,REGOLITOS!G:G)</f>
        <v>#N/A</v>
      </c>
      <c r="H607" s="48" t="str">
        <f t="array" ref="H607">XLOOKUP($D607,REGOLITOS!$A:$A,REGOLITOS!H:H)</f>
        <v>#N/A</v>
      </c>
      <c r="I607" s="48" t="str">
        <f t="array" ref="I607">XLOOKUP($D607,REGOLITOS!$A:$A,REGOLITOS!I:I)</f>
        <v>#N/A</v>
      </c>
      <c r="J607" s="48" t="str">
        <f t="array" ref="J607">XLOOKUP($D607,REGOLITOS!$A:$A,REGOLITOS!J:J)</f>
        <v>#N/A</v>
      </c>
      <c r="K607" s="48" t="str">
        <f t="array" ref="K607">XLOOKUP($D607,REGOLITOS!$A:$A,REGOLITOS!K:K)</f>
        <v>#N/A</v>
      </c>
      <c r="L607" s="76"/>
      <c r="M607" s="5" t="s">
        <v>1080</v>
      </c>
      <c r="N607" s="5" t="s">
        <v>1080</v>
      </c>
      <c r="O607" s="5" t="s">
        <v>1080</v>
      </c>
      <c r="P607" s="5" t="s">
        <v>1080</v>
      </c>
      <c r="Q607" s="5" t="s">
        <v>1080</v>
      </c>
      <c r="X607" s="71">
        <f t="shared" si="5"/>
        <v>0</v>
      </c>
      <c r="Y607" s="5" t="b">
        <v>0</v>
      </c>
    </row>
    <row r="608">
      <c r="B608" s="5" t="str">
        <f t="array" ref="B608">XLOOKUP(A608, CURSOS!A:A, CURSOS!B:B)</f>
        <v>#N/A</v>
      </c>
      <c r="C608" s="75" t="str">
        <f t="array" ref="C608">XLOOKUP(A608, CURSOS!A:A, CURSOS!C:C)</f>
        <v>#N/A</v>
      </c>
      <c r="D608" s="70" t="e">
        <v>#N/A</v>
      </c>
      <c r="E608" s="48"/>
      <c r="F608" s="48" t="str">
        <f t="array" ref="F608">XLOOKUP($D608,REGOLITOS!$A:$A,REGOLITOS!F:F)</f>
        <v>#N/A</v>
      </c>
      <c r="G608" s="48" t="str">
        <f t="array" ref="G608">XLOOKUP($D608,REGOLITOS!$A:$A,REGOLITOS!G:G)</f>
        <v>#N/A</v>
      </c>
      <c r="H608" s="48" t="str">
        <f t="array" ref="H608">XLOOKUP($D608,REGOLITOS!$A:$A,REGOLITOS!H:H)</f>
        <v>#N/A</v>
      </c>
      <c r="I608" s="48" t="str">
        <f t="array" ref="I608">XLOOKUP($D608,REGOLITOS!$A:$A,REGOLITOS!I:I)</f>
        <v>#N/A</v>
      </c>
      <c r="J608" s="48" t="str">
        <f t="array" ref="J608">XLOOKUP($D608,REGOLITOS!$A:$A,REGOLITOS!J:J)</f>
        <v>#N/A</v>
      </c>
      <c r="K608" s="48" t="str">
        <f t="array" ref="K608">XLOOKUP($D608,REGOLITOS!$A:$A,REGOLITOS!K:K)</f>
        <v>#N/A</v>
      </c>
      <c r="L608" s="76"/>
      <c r="M608" s="5" t="s">
        <v>1080</v>
      </c>
      <c r="N608" s="5" t="s">
        <v>1080</v>
      </c>
      <c r="O608" s="5" t="s">
        <v>1080</v>
      </c>
      <c r="P608" s="5" t="s">
        <v>1080</v>
      </c>
      <c r="Q608" s="5" t="s">
        <v>1080</v>
      </c>
      <c r="X608" s="71">
        <f t="shared" si="5"/>
        <v>0</v>
      </c>
      <c r="Y608" s="5" t="b">
        <v>0</v>
      </c>
    </row>
    <row r="609">
      <c r="B609" s="5" t="str">
        <f t="array" ref="B609">XLOOKUP(A609, CURSOS!A:A, CURSOS!B:B)</f>
        <v>#N/A</v>
      </c>
      <c r="C609" s="75" t="str">
        <f t="array" ref="C609">XLOOKUP(A609, CURSOS!A:A, CURSOS!C:C)</f>
        <v>#N/A</v>
      </c>
      <c r="D609" s="70" t="e">
        <v>#N/A</v>
      </c>
      <c r="E609" s="48"/>
      <c r="F609" s="48" t="str">
        <f t="array" ref="F609">XLOOKUP($D609,REGOLITOS!$A:$A,REGOLITOS!F:F)</f>
        <v>#N/A</v>
      </c>
      <c r="G609" s="48" t="str">
        <f t="array" ref="G609">XLOOKUP($D609,REGOLITOS!$A:$A,REGOLITOS!G:G)</f>
        <v>#N/A</v>
      </c>
      <c r="H609" s="48" t="str">
        <f t="array" ref="H609">XLOOKUP($D609,REGOLITOS!$A:$A,REGOLITOS!H:H)</f>
        <v>#N/A</v>
      </c>
      <c r="I609" s="48" t="str">
        <f t="array" ref="I609">XLOOKUP($D609,REGOLITOS!$A:$A,REGOLITOS!I:I)</f>
        <v>#N/A</v>
      </c>
      <c r="J609" s="48" t="str">
        <f t="array" ref="J609">XLOOKUP($D609,REGOLITOS!$A:$A,REGOLITOS!J:J)</f>
        <v>#N/A</v>
      </c>
      <c r="K609" s="48" t="str">
        <f t="array" ref="K609">XLOOKUP($D609,REGOLITOS!$A:$A,REGOLITOS!K:K)</f>
        <v>#N/A</v>
      </c>
      <c r="L609" s="76"/>
      <c r="M609" s="5" t="s">
        <v>1080</v>
      </c>
      <c r="N609" s="5" t="s">
        <v>1080</v>
      </c>
      <c r="O609" s="5" t="s">
        <v>1080</v>
      </c>
      <c r="P609" s="5" t="s">
        <v>1080</v>
      </c>
      <c r="Q609" s="5" t="s">
        <v>1080</v>
      </c>
      <c r="X609" s="71">
        <f t="shared" si="5"/>
        <v>0</v>
      </c>
      <c r="Y609" s="5" t="b">
        <v>0</v>
      </c>
    </row>
    <row r="610">
      <c r="B610" s="5" t="str">
        <f t="array" ref="B610">XLOOKUP(A610, CURSOS!A:A, CURSOS!B:B)</f>
        <v>#N/A</v>
      </c>
      <c r="C610" s="75" t="str">
        <f t="array" ref="C610">XLOOKUP(A610, CURSOS!A:A, CURSOS!C:C)</f>
        <v>#N/A</v>
      </c>
      <c r="D610" s="70" t="e">
        <v>#N/A</v>
      </c>
      <c r="E610" s="48"/>
      <c r="F610" s="48" t="str">
        <f t="array" ref="F610">XLOOKUP($D610,REGOLITOS!$A:$A,REGOLITOS!F:F)</f>
        <v>#N/A</v>
      </c>
      <c r="G610" s="48" t="str">
        <f t="array" ref="G610">XLOOKUP($D610,REGOLITOS!$A:$A,REGOLITOS!G:G)</f>
        <v>#N/A</v>
      </c>
      <c r="H610" s="48" t="str">
        <f t="array" ref="H610">XLOOKUP($D610,REGOLITOS!$A:$A,REGOLITOS!H:H)</f>
        <v>#N/A</v>
      </c>
      <c r="I610" s="48" t="str">
        <f t="array" ref="I610">XLOOKUP($D610,REGOLITOS!$A:$A,REGOLITOS!I:I)</f>
        <v>#N/A</v>
      </c>
      <c r="J610" s="48" t="str">
        <f t="array" ref="J610">XLOOKUP($D610,REGOLITOS!$A:$A,REGOLITOS!J:J)</f>
        <v>#N/A</v>
      </c>
      <c r="K610" s="48" t="str">
        <f t="array" ref="K610">XLOOKUP($D610,REGOLITOS!$A:$A,REGOLITOS!K:K)</f>
        <v>#N/A</v>
      </c>
      <c r="L610" s="76"/>
      <c r="M610" s="5" t="s">
        <v>1080</v>
      </c>
      <c r="N610" s="5" t="s">
        <v>1080</v>
      </c>
      <c r="O610" s="5" t="s">
        <v>1080</v>
      </c>
      <c r="P610" s="5" t="s">
        <v>1080</v>
      </c>
      <c r="Q610" s="5" t="s">
        <v>1080</v>
      </c>
      <c r="X610" s="71">
        <f t="shared" si="5"/>
        <v>0</v>
      </c>
      <c r="Y610" s="5" t="b">
        <v>0</v>
      </c>
    </row>
    <row r="611">
      <c r="B611" s="5" t="str">
        <f t="array" ref="B611">XLOOKUP(A611, CURSOS!A:A, CURSOS!B:B)</f>
        <v>#N/A</v>
      </c>
      <c r="C611" s="75" t="str">
        <f t="array" ref="C611">XLOOKUP(A611, CURSOS!A:A, CURSOS!C:C)</f>
        <v>#N/A</v>
      </c>
      <c r="D611" s="70" t="e">
        <v>#N/A</v>
      </c>
      <c r="E611" s="48"/>
      <c r="F611" s="48" t="str">
        <f t="array" ref="F611">XLOOKUP($D611,REGOLITOS!$A:$A,REGOLITOS!F:F)</f>
        <v>#N/A</v>
      </c>
      <c r="G611" s="48" t="str">
        <f t="array" ref="G611">XLOOKUP($D611,REGOLITOS!$A:$A,REGOLITOS!G:G)</f>
        <v>#N/A</v>
      </c>
      <c r="H611" s="48" t="str">
        <f t="array" ref="H611">XLOOKUP($D611,REGOLITOS!$A:$A,REGOLITOS!H:H)</f>
        <v>#N/A</v>
      </c>
      <c r="I611" s="48" t="str">
        <f t="array" ref="I611">XLOOKUP($D611,REGOLITOS!$A:$A,REGOLITOS!I:I)</f>
        <v>#N/A</v>
      </c>
      <c r="J611" s="48" t="str">
        <f t="array" ref="J611">XLOOKUP($D611,REGOLITOS!$A:$A,REGOLITOS!J:J)</f>
        <v>#N/A</v>
      </c>
      <c r="K611" s="48" t="str">
        <f t="array" ref="K611">XLOOKUP($D611,REGOLITOS!$A:$A,REGOLITOS!K:K)</f>
        <v>#N/A</v>
      </c>
      <c r="L611" s="76"/>
      <c r="M611" s="5" t="s">
        <v>1080</v>
      </c>
      <c r="N611" s="5" t="s">
        <v>1080</v>
      </c>
      <c r="O611" s="5" t="s">
        <v>1080</v>
      </c>
      <c r="P611" s="5" t="s">
        <v>1080</v>
      </c>
      <c r="Q611" s="5" t="s">
        <v>1080</v>
      </c>
      <c r="X611" s="71">
        <f t="shared" si="5"/>
        <v>0</v>
      </c>
      <c r="Y611" s="5" t="b">
        <v>0</v>
      </c>
    </row>
    <row r="612">
      <c r="B612" s="5" t="str">
        <f t="array" ref="B612">XLOOKUP(A612, CURSOS!A:A, CURSOS!B:B)</f>
        <v>#N/A</v>
      </c>
      <c r="C612" s="75" t="str">
        <f t="array" ref="C612">XLOOKUP(A612, CURSOS!A:A, CURSOS!C:C)</f>
        <v>#N/A</v>
      </c>
      <c r="D612" s="70" t="e">
        <v>#N/A</v>
      </c>
      <c r="E612" s="48"/>
      <c r="F612" s="48" t="str">
        <f t="array" ref="F612">XLOOKUP($D612,REGOLITOS!$A:$A,REGOLITOS!F:F)</f>
        <v>#N/A</v>
      </c>
      <c r="G612" s="48" t="str">
        <f t="array" ref="G612">XLOOKUP($D612,REGOLITOS!$A:$A,REGOLITOS!G:G)</f>
        <v>#N/A</v>
      </c>
      <c r="H612" s="48" t="str">
        <f t="array" ref="H612">XLOOKUP($D612,REGOLITOS!$A:$A,REGOLITOS!H:H)</f>
        <v>#N/A</v>
      </c>
      <c r="I612" s="48" t="str">
        <f t="array" ref="I612">XLOOKUP($D612,REGOLITOS!$A:$A,REGOLITOS!I:I)</f>
        <v>#N/A</v>
      </c>
      <c r="J612" s="48" t="str">
        <f t="array" ref="J612">XLOOKUP($D612,REGOLITOS!$A:$A,REGOLITOS!J:J)</f>
        <v>#N/A</v>
      </c>
      <c r="K612" s="48" t="str">
        <f t="array" ref="K612">XLOOKUP($D612,REGOLITOS!$A:$A,REGOLITOS!K:K)</f>
        <v>#N/A</v>
      </c>
      <c r="L612" s="76"/>
      <c r="M612" s="5" t="s">
        <v>1080</v>
      </c>
      <c r="N612" s="5" t="s">
        <v>1080</v>
      </c>
      <c r="O612" s="5" t="s">
        <v>1080</v>
      </c>
      <c r="P612" s="5" t="s">
        <v>1080</v>
      </c>
      <c r="Q612" s="5" t="s">
        <v>1080</v>
      </c>
      <c r="X612" s="71">
        <f t="shared" si="5"/>
        <v>0</v>
      </c>
      <c r="Y612" s="5" t="b">
        <v>0</v>
      </c>
    </row>
    <row r="613">
      <c r="B613" s="5" t="str">
        <f t="array" ref="B613">XLOOKUP(A613, CURSOS!A:A, CURSOS!B:B)</f>
        <v>#N/A</v>
      </c>
      <c r="C613" s="75" t="str">
        <f t="array" ref="C613">XLOOKUP(A613, CURSOS!A:A, CURSOS!C:C)</f>
        <v>#N/A</v>
      </c>
      <c r="D613" s="70" t="e">
        <v>#N/A</v>
      </c>
      <c r="E613" s="48"/>
      <c r="F613" s="48" t="str">
        <f t="array" ref="F613">XLOOKUP($D613,REGOLITOS!$A:$A,REGOLITOS!F:F)</f>
        <v>#N/A</v>
      </c>
      <c r="G613" s="48" t="str">
        <f t="array" ref="G613">XLOOKUP($D613,REGOLITOS!$A:$A,REGOLITOS!G:G)</f>
        <v>#N/A</v>
      </c>
      <c r="H613" s="48" t="str">
        <f t="array" ref="H613">XLOOKUP($D613,REGOLITOS!$A:$A,REGOLITOS!H:H)</f>
        <v>#N/A</v>
      </c>
      <c r="I613" s="48" t="str">
        <f t="array" ref="I613">XLOOKUP($D613,REGOLITOS!$A:$A,REGOLITOS!I:I)</f>
        <v>#N/A</v>
      </c>
      <c r="J613" s="48" t="str">
        <f t="array" ref="J613">XLOOKUP($D613,REGOLITOS!$A:$A,REGOLITOS!J:J)</f>
        <v>#N/A</v>
      </c>
      <c r="K613" s="48" t="str">
        <f t="array" ref="K613">XLOOKUP($D613,REGOLITOS!$A:$A,REGOLITOS!K:K)</f>
        <v>#N/A</v>
      </c>
      <c r="L613" s="76"/>
      <c r="M613" s="5" t="s">
        <v>1080</v>
      </c>
      <c r="N613" s="5" t="s">
        <v>1080</v>
      </c>
      <c r="O613" s="5" t="s">
        <v>1080</v>
      </c>
      <c r="P613" s="5" t="s">
        <v>1080</v>
      </c>
      <c r="Q613" s="5" t="s">
        <v>1080</v>
      </c>
      <c r="X613" s="71">
        <f t="shared" si="5"/>
        <v>0</v>
      </c>
      <c r="Y613" s="5" t="b">
        <v>0</v>
      </c>
    </row>
    <row r="614">
      <c r="B614" s="5" t="str">
        <f t="array" ref="B614">XLOOKUP(A614, CURSOS!A:A, CURSOS!B:B)</f>
        <v>#N/A</v>
      </c>
      <c r="C614" s="75" t="str">
        <f t="array" ref="C614">XLOOKUP(A614, CURSOS!A:A, CURSOS!C:C)</f>
        <v>#N/A</v>
      </c>
      <c r="D614" s="70" t="e">
        <v>#N/A</v>
      </c>
      <c r="E614" s="48"/>
      <c r="F614" s="48" t="str">
        <f t="array" ref="F614">XLOOKUP($D614,REGOLITOS!$A:$A,REGOLITOS!F:F)</f>
        <v>#N/A</v>
      </c>
      <c r="G614" s="48" t="str">
        <f t="array" ref="G614">XLOOKUP($D614,REGOLITOS!$A:$A,REGOLITOS!G:G)</f>
        <v>#N/A</v>
      </c>
      <c r="H614" s="48" t="str">
        <f t="array" ref="H614">XLOOKUP($D614,REGOLITOS!$A:$A,REGOLITOS!H:H)</f>
        <v>#N/A</v>
      </c>
      <c r="I614" s="48" t="str">
        <f t="array" ref="I614">XLOOKUP($D614,REGOLITOS!$A:$A,REGOLITOS!I:I)</f>
        <v>#N/A</v>
      </c>
      <c r="J614" s="48" t="str">
        <f t="array" ref="J614">XLOOKUP($D614,REGOLITOS!$A:$A,REGOLITOS!J:J)</f>
        <v>#N/A</v>
      </c>
      <c r="K614" s="48" t="str">
        <f t="array" ref="K614">XLOOKUP($D614,REGOLITOS!$A:$A,REGOLITOS!K:K)</f>
        <v>#N/A</v>
      </c>
      <c r="L614" s="76"/>
      <c r="M614" s="5" t="s">
        <v>1080</v>
      </c>
      <c r="N614" s="5" t="s">
        <v>1080</v>
      </c>
      <c r="O614" s="5" t="s">
        <v>1080</v>
      </c>
      <c r="P614" s="5" t="s">
        <v>1080</v>
      </c>
      <c r="Q614" s="5" t="s">
        <v>1080</v>
      </c>
      <c r="X614" s="71">
        <f t="shared" si="5"/>
        <v>0</v>
      </c>
      <c r="Y614" s="5" t="b">
        <v>0</v>
      </c>
    </row>
    <row r="615">
      <c r="B615" s="5" t="str">
        <f t="array" ref="B615">XLOOKUP(A615, CURSOS!A:A, CURSOS!B:B)</f>
        <v>#N/A</v>
      </c>
      <c r="C615" s="75" t="str">
        <f t="array" ref="C615">XLOOKUP(A615, CURSOS!A:A, CURSOS!C:C)</f>
        <v>#N/A</v>
      </c>
      <c r="D615" s="70" t="e">
        <v>#N/A</v>
      </c>
      <c r="E615" s="48"/>
      <c r="F615" s="48" t="str">
        <f t="array" ref="F615">XLOOKUP($D615,REGOLITOS!$A:$A,REGOLITOS!F:F)</f>
        <v>#N/A</v>
      </c>
      <c r="G615" s="48" t="str">
        <f t="array" ref="G615">XLOOKUP($D615,REGOLITOS!$A:$A,REGOLITOS!G:G)</f>
        <v>#N/A</v>
      </c>
      <c r="H615" s="48" t="str">
        <f t="array" ref="H615">XLOOKUP($D615,REGOLITOS!$A:$A,REGOLITOS!H:H)</f>
        <v>#N/A</v>
      </c>
      <c r="I615" s="48" t="str">
        <f t="array" ref="I615">XLOOKUP($D615,REGOLITOS!$A:$A,REGOLITOS!I:I)</f>
        <v>#N/A</v>
      </c>
      <c r="J615" s="48" t="str">
        <f t="array" ref="J615">XLOOKUP($D615,REGOLITOS!$A:$A,REGOLITOS!J:J)</f>
        <v>#N/A</v>
      </c>
      <c r="K615" s="48" t="str">
        <f t="array" ref="K615">XLOOKUP($D615,REGOLITOS!$A:$A,REGOLITOS!K:K)</f>
        <v>#N/A</v>
      </c>
      <c r="L615" s="76"/>
      <c r="M615" s="5" t="s">
        <v>1080</v>
      </c>
      <c r="N615" s="5" t="s">
        <v>1080</v>
      </c>
      <c r="O615" s="5" t="s">
        <v>1080</v>
      </c>
      <c r="P615" s="5" t="s">
        <v>1080</v>
      </c>
      <c r="Q615" s="5" t="s">
        <v>1080</v>
      </c>
      <c r="X615" s="71">
        <f t="shared" si="5"/>
        <v>0</v>
      </c>
      <c r="Y615" s="5" t="b">
        <v>0</v>
      </c>
    </row>
    <row r="616">
      <c r="B616" s="5" t="str">
        <f t="array" ref="B616">XLOOKUP(A616, CURSOS!A:A, CURSOS!B:B)</f>
        <v>#N/A</v>
      </c>
      <c r="C616" s="75" t="str">
        <f t="array" ref="C616">XLOOKUP(A616, CURSOS!A:A, CURSOS!C:C)</f>
        <v>#N/A</v>
      </c>
      <c r="D616" s="70" t="e">
        <v>#N/A</v>
      </c>
      <c r="E616" s="48"/>
      <c r="F616" s="48" t="str">
        <f t="array" ref="F616">XLOOKUP($D616,REGOLITOS!$A:$A,REGOLITOS!F:F)</f>
        <v>#N/A</v>
      </c>
      <c r="G616" s="48" t="str">
        <f t="array" ref="G616">XLOOKUP($D616,REGOLITOS!$A:$A,REGOLITOS!G:G)</f>
        <v>#N/A</v>
      </c>
      <c r="H616" s="48" t="str">
        <f t="array" ref="H616">XLOOKUP($D616,REGOLITOS!$A:$A,REGOLITOS!H:H)</f>
        <v>#N/A</v>
      </c>
      <c r="I616" s="48" t="str">
        <f t="array" ref="I616">XLOOKUP($D616,REGOLITOS!$A:$A,REGOLITOS!I:I)</f>
        <v>#N/A</v>
      </c>
      <c r="J616" s="48" t="str">
        <f t="array" ref="J616">XLOOKUP($D616,REGOLITOS!$A:$A,REGOLITOS!J:J)</f>
        <v>#N/A</v>
      </c>
      <c r="K616" s="48" t="str">
        <f t="array" ref="K616">XLOOKUP($D616,REGOLITOS!$A:$A,REGOLITOS!K:K)</f>
        <v>#N/A</v>
      </c>
      <c r="L616" s="76"/>
      <c r="M616" s="5" t="s">
        <v>1080</v>
      </c>
      <c r="N616" s="5" t="s">
        <v>1080</v>
      </c>
      <c r="O616" s="5" t="s">
        <v>1080</v>
      </c>
      <c r="P616" s="5" t="s">
        <v>1080</v>
      </c>
      <c r="Q616" s="5" t="s">
        <v>1080</v>
      </c>
      <c r="X616" s="71">
        <f t="shared" si="5"/>
        <v>0</v>
      </c>
      <c r="Y616" s="5" t="b">
        <v>0</v>
      </c>
    </row>
    <row r="617">
      <c r="B617" s="5" t="str">
        <f t="array" ref="B617">XLOOKUP(A617, CURSOS!A:A, CURSOS!B:B)</f>
        <v>#N/A</v>
      </c>
      <c r="C617" s="75" t="str">
        <f t="array" ref="C617">XLOOKUP(A617, CURSOS!A:A, CURSOS!C:C)</f>
        <v>#N/A</v>
      </c>
      <c r="D617" s="70" t="e">
        <v>#N/A</v>
      </c>
      <c r="E617" s="48"/>
      <c r="F617" s="48" t="str">
        <f t="array" ref="F617">XLOOKUP($D617,REGOLITOS!$A:$A,REGOLITOS!F:F)</f>
        <v>#N/A</v>
      </c>
      <c r="G617" s="48" t="str">
        <f t="array" ref="G617">XLOOKUP($D617,REGOLITOS!$A:$A,REGOLITOS!G:G)</f>
        <v>#N/A</v>
      </c>
      <c r="H617" s="48" t="str">
        <f t="array" ref="H617">XLOOKUP($D617,REGOLITOS!$A:$A,REGOLITOS!H:H)</f>
        <v>#N/A</v>
      </c>
      <c r="I617" s="48" t="str">
        <f t="array" ref="I617">XLOOKUP($D617,REGOLITOS!$A:$A,REGOLITOS!I:I)</f>
        <v>#N/A</v>
      </c>
      <c r="J617" s="48" t="str">
        <f t="array" ref="J617">XLOOKUP($D617,REGOLITOS!$A:$A,REGOLITOS!J:J)</f>
        <v>#N/A</v>
      </c>
      <c r="K617" s="48" t="str">
        <f t="array" ref="K617">XLOOKUP($D617,REGOLITOS!$A:$A,REGOLITOS!K:K)</f>
        <v>#N/A</v>
      </c>
      <c r="L617" s="76"/>
      <c r="M617" s="5" t="s">
        <v>1080</v>
      </c>
      <c r="N617" s="5" t="s">
        <v>1080</v>
      </c>
      <c r="O617" s="5" t="s">
        <v>1080</v>
      </c>
      <c r="P617" s="5" t="s">
        <v>1080</v>
      </c>
      <c r="Q617" s="5" t="s">
        <v>1080</v>
      </c>
      <c r="X617" s="71">
        <f t="shared" si="5"/>
        <v>0</v>
      </c>
      <c r="Y617" s="5" t="b">
        <v>0</v>
      </c>
    </row>
    <row r="618">
      <c r="B618" s="5" t="str">
        <f t="array" ref="B618">XLOOKUP(A618, CURSOS!A:A, CURSOS!B:B)</f>
        <v>#N/A</v>
      </c>
      <c r="C618" s="75" t="str">
        <f t="array" ref="C618">XLOOKUP(A618, CURSOS!A:A, CURSOS!C:C)</f>
        <v>#N/A</v>
      </c>
      <c r="D618" s="70" t="e">
        <v>#N/A</v>
      </c>
      <c r="E618" s="48"/>
      <c r="F618" s="48" t="str">
        <f t="array" ref="F618">XLOOKUP($D618,REGOLITOS!$A:$A,REGOLITOS!F:F)</f>
        <v>#N/A</v>
      </c>
      <c r="G618" s="48" t="str">
        <f t="array" ref="G618">XLOOKUP($D618,REGOLITOS!$A:$A,REGOLITOS!G:G)</f>
        <v>#N/A</v>
      </c>
      <c r="H618" s="48" t="str">
        <f t="array" ref="H618">XLOOKUP($D618,REGOLITOS!$A:$A,REGOLITOS!H:H)</f>
        <v>#N/A</v>
      </c>
      <c r="I618" s="48" t="str">
        <f t="array" ref="I618">XLOOKUP($D618,REGOLITOS!$A:$A,REGOLITOS!I:I)</f>
        <v>#N/A</v>
      </c>
      <c r="J618" s="48" t="str">
        <f t="array" ref="J618">XLOOKUP($D618,REGOLITOS!$A:$A,REGOLITOS!J:J)</f>
        <v>#N/A</v>
      </c>
      <c r="K618" s="48" t="str">
        <f t="array" ref="K618">XLOOKUP($D618,REGOLITOS!$A:$A,REGOLITOS!K:K)</f>
        <v>#N/A</v>
      </c>
      <c r="L618" s="76"/>
      <c r="M618" s="5" t="s">
        <v>1080</v>
      </c>
      <c r="N618" s="5" t="s">
        <v>1080</v>
      </c>
      <c r="O618" s="5" t="s">
        <v>1080</v>
      </c>
      <c r="P618" s="5" t="s">
        <v>1080</v>
      </c>
      <c r="Q618" s="5" t="s">
        <v>1080</v>
      </c>
      <c r="X618" s="71">
        <f t="shared" si="5"/>
        <v>0</v>
      </c>
      <c r="Y618" s="5" t="b">
        <v>0</v>
      </c>
    </row>
    <row r="619">
      <c r="B619" s="5" t="str">
        <f t="array" ref="B619">XLOOKUP(A619, CURSOS!A:A, CURSOS!B:B)</f>
        <v>#N/A</v>
      </c>
      <c r="C619" s="75" t="str">
        <f t="array" ref="C619">XLOOKUP(A619, CURSOS!A:A, CURSOS!C:C)</f>
        <v>#N/A</v>
      </c>
      <c r="D619" s="70" t="e">
        <v>#N/A</v>
      </c>
      <c r="E619" s="48"/>
      <c r="F619" s="48" t="str">
        <f t="array" ref="F619">XLOOKUP($D619,REGOLITOS!$A:$A,REGOLITOS!F:F)</f>
        <v>#N/A</v>
      </c>
      <c r="G619" s="48" t="str">
        <f t="array" ref="G619">XLOOKUP($D619,REGOLITOS!$A:$A,REGOLITOS!G:G)</f>
        <v>#N/A</v>
      </c>
      <c r="H619" s="48" t="str">
        <f t="array" ref="H619">XLOOKUP($D619,REGOLITOS!$A:$A,REGOLITOS!H:H)</f>
        <v>#N/A</v>
      </c>
      <c r="I619" s="48" t="str">
        <f t="array" ref="I619">XLOOKUP($D619,REGOLITOS!$A:$A,REGOLITOS!I:I)</f>
        <v>#N/A</v>
      </c>
      <c r="J619" s="48" t="str">
        <f t="array" ref="J619">XLOOKUP($D619,REGOLITOS!$A:$A,REGOLITOS!J:J)</f>
        <v>#N/A</v>
      </c>
      <c r="K619" s="48" t="str">
        <f t="array" ref="K619">XLOOKUP($D619,REGOLITOS!$A:$A,REGOLITOS!K:K)</f>
        <v>#N/A</v>
      </c>
      <c r="L619" s="76"/>
      <c r="M619" s="5" t="s">
        <v>1080</v>
      </c>
      <c r="N619" s="5" t="s">
        <v>1080</v>
      </c>
      <c r="O619" s="5" t="s">
        <v>1080</v>
      </c>
      <c r="P619" s="5" t="s">
        <v>1080</v>
      </c>
      <c r="Q619" s="5" t="s">
        <v>1080</v>
      </c>
      <c r="X619" s="71">
        <f t="shared" si="5"/>
        <v>0</v>
      </c>
      <c r="Y619" s="5" t="b">
        <v>0</v>
      </c>
    </row>
    <row r="620">
      <c r="B620" s="5" t="str">
        <f t="array" ref="B620">XLOOKUP(A620, CURSOS!A:A, CURSOS!B:B)</f>
        <v>#N/A</v>
      </c>
      <c r="C620" s="75" t="str">
        <f t="array" ref="C620">XLOOKUP(A620, CURSOS!A:A, CURSOS!C:C)</f>
        <v>#N/A</v>
      </c>
      <c r="D620" s="70" t="e">
        <v>#N/A</v>
      </c>
      <c r="E620" s="48"/>
      <c r="F620" s="48" t="str">
        <f t="array" ref="F620">XLOOKUP($D620,REGOLITOS!$A:$A,REGOLITOS!F:F)</f>
        <v>#N/A</v>
      </c>
      <c r="G620" s="48" t="str">
        <f t="array" ref="G620">XLOOKUP($D620,REGOLITOS!$A:$A,REGOLITOS!G:G)</f>
        <v>#N/A</v>
      </c>
      <c r="H620" s="48" t="str">
        <f t="array" ref="H620">XLOOKUP($D620,REGOLITOS!$A:$A,REGOLITOS!H:H)</f>
        <v>#N/A</v>
      </c>
      <c r="I620" s="48" t="str">
        <f t="array" ref="I620">XLOOKUP($D620,REGOLITOS!$A:$A,REGOLITOS!I:I)</f>
        <v>#N/A</v>
      </c>
      <c r="J620" s="48" t="str">
        <f t="array" ref="J620">XLOOKUP($D620,REGOLITOS!$A:$A,REGOLITOS!J:J)</f>
        <v>#N/A</v>
      </c>
      <c r="K620" s="48" t="str">
        <f t="array" ref="K620">XLOOKUP($D620,REGOLITOS!$A:$A,REGOLITOS!K:K)</f>
        <v>#N/A</v>
      </c>
      <c r="L620" s="76"/>
      <c r="M620" s="5" t="s">
        <v>1080</v>
      </c>
      <c r="N620" s="5" t="s">
        <v>1080</v>
      </c>
      <c r="O620" s="5" t="s">
        <v>1080</v>
      </c>
      <c r="P620" s="5" t="s">
        <v>1080</v>
      </c>
      <c r="Q620" s="5" t="s">
        <v>1080</v>
      </c>
      <c r="X620" s="71">
        <f t="shared" si="5"/>
        <v>0</v>
      </c>
      <c r="Y620" s="5" t="b">
        <v>0</v>
      </c>
    </row>
    <row r="621">
      <c r="B621" s="5" t="str">
        <f t="array" ref="B621">XLOOKUP(A621, CURSOS!A:A, CURSOS!B:B)</f>
        <v>#N/A</v>
      </c>
      <c r="C621" s="75" t="str">
        <f t="array" ref="C621">XLOOKUP(A621, CURSOS!A:A, CURSOS!C:C)</f>
        <v>#N/A</v>
      </c>
      <c r="D621" s="70" t="e">
        <v>#N/A</v>
      </c>
      <c r="E621" s="48"/>
      <c r="F621" s="48" t="str">
        <f t="array" ref="F621">XLOOKUP($D621,REGOLITOS!$A:$A,REGOLITOS!F:F)</f>
        <v>#N/A</v>
      </c>
      <c r="G621" s="48" t="str">
        <f t="array" ref="G621">XLOOKUP($D621,REGOLITOS!$A:$A,REGOLITOS!G:G)</f>
        <v>#N/A</v>
      </c>
      <c r="H621" s="48" t="str">
        <f t="array" ref="H621">XLOOKUP($D621,REGOLITOS!$A:$A,REGOLITOS!H:H)</f>
        <v>#N/A</v>
      </c>
      <c r="I621" s="48" t="str">
        <f t="array" ref="I621">XLOOKUP($D621,REGOLITOS!$A:$A,REGOLITOS!I:I)</f>
        <v>#N/A</v>
      </c>
      <c r="J621" s="48" t="str">
        <f t="array" ref="J621">XLOOKUP($D621,REGOLITOS!$A:$A,REGOLITOS!J:J)</f>
        <v>#N/A</v>
      </c>
      <c r="K621" s="48" t="str">
        <f t="array" ref="K621">XLOOKUP($D621,REGOLITOS!$A:$A,REGOLITOS!K:K)</f>
        <v>#N/A</v>
      </c>
      <c r="L621" s="76"/>
      <c r="M621" s="5" t="s">
        <v>1080</v>
      </c>
      <c r="N621" s="5" t="s">
        <v>1080</v>
      </c>
      <c r="O621" s="5" t="s">
        <v>1080</v>
      </c>
      <c r="P621" s="5" t="s">
        <v>1080</v>
      </c>
      <c r="Q621" s="5" t="s">
        <v>1080</v>
      </c>
      <c r="X621" s="71">
        <f t="shared" si="5"/>
        <v>0</v>
      </c>
      <c r="Y621" s="5" t="b">
        <v>0</v>
      </c>
    </row>
    <row r="622">
      <c r="B622" s="5" t="str">
        <f t="array" ref="B622">XLOOKUP(A622, CURSOS!A:A, CURSOS!B:B)</f>
        <v>#N/A</v>
      </c>
      <c r="C622" s="75" t="str">
        <f t="array" ref="C622">XLOOKUP(A622, CURSOS!A:A, CURSOS!C:C)</f>
        <v>#N/A</v>
      </c>
      <c r="D622" s="70" t="e">
        <v>#N/A</v>
      </c>
      <c r="E622" s="48"/>
      <c r="F622" s="48" t="str">
        <f t="array" ref="F622">XLOOKUP($D622,REGOLITOS!$A:$A,REGOLITOS!F:F)</f>
        <v>#N/A</v>
      </c>
      <c r="G622" s="48" t="str">
        <f t="array" ref="G622">XLOOKUP($D622,REGOLITOS!$A:$A,REGOLITOS!G:G)</f>
        <v>#N/A</v>
      </c>
      <c r="H622" s="48" t="str">
        <f t="array" ref="H622">XLOOKUP($D622,REGOLITOS!$A:$A,REGOLITOS!H:H)</f>
        <v>#N/A</v>
      </c>
      <c r="I622" s="48" t="str">
        <f t="array" ref="I622">XLOOKUP($D622,REGOLITOS!$A:$A,REGOLITOS!I:I)</f>
        <v>#N/A</v>
      </c>
      <c r="J622" s="48" t="str">
        <f t="array" ref="J622">XLOOKUP($D622,REGOLITOS!$A:$A,REGOLITOS!J:J)</f>
        <v>#N/A</v>
      </c>
      <c r="K622" s="48" t="str">
        <f t="array" ref="K622">XLOOKUP($D622,REGOLITOS!$A:$A,REGOLITOS!K:K)</f>
        <v>#N/A</v>
      </c>
      <c r="L622" s="76"/>
      <c r="M622" s="5" t="s">
        <v>1080</v>
      </c>
      <c r="N622" s="5" t="s">
        <v>1080</v>
      </c>
      <c r="O622" s="5" t="s">
        <v>1080</v>
      </c>
      <c r="P622" s="5" t="s">
        <v>1080</v>
      </c>
      <c r="Q622" s="5" t="s">
        <v>1080</v>
      </c>
      <c r="X622" s="71">
        <f t="shared" si="5"/>
        <v>0</v>
      </c>
      <c r="Y622" s="5" t="b">
        <v>0</v>
      </c>
    </row>
    <row r="623">
      <c r="B623" s="5" t="str">
        <f t="array" ref="B623">XLOOKUP(A623, CURSOS!A:A, CURSOS!B:B)</f>
        <v>#N/A</v>
      </c>
      <c r="C623" s="75" t="str">
        <f t="array" ref="C623">XLOOKUP(A623, CURSOS!A:A, CURSOS!C:C)</f>
        <v>#N/A</v>
      </c>
      <c r="D623" s="70" t="e">
        <v>#N/A</v>
      </c>
      <c r="E623" s="48"/>
      <c r="F623" s="48" t="str">
        <f t="array" ref="F623">XLOOKUP($D623,REGOLITOS!$A:$A,REGOLITOS!F:F)</f>
        <v>#N/A</v>
      </c>
      <c r="G623" s="48" t="str">
        <f t="array" ref="G623">XLOOKUP($D623,REGOLITOS!$A:$A,REGOLITOS!G:G)</f>
        <v>#N/A</v>
      </c>
      <c r="H623" s="48" t="str">
        <f t="array" ref="H623">XLOOKUP($D623,REGOLITOS!$A:$A,REGOLITOS!H:H)</f>
        <v>#N/A</v>
      </c>
      <c r="I623" s="48" t="str">
        <f t="array" ref="I623">XLOOKUP($D623,REGOLITOS!$A:$A,REGOLITOS!I:I)</f>
        <v>#N/A</v>
      </c>
      <c r="J623" s="48" t="str">
        <f t="array" ref="J623">XLOOKUP($D623,REGOLITOS!$A:$A,REGOLITOS!J:J)</f>
        <v>#N/A</v>
      </c>
      <c r="K623" s="48" t="str">
        <f t="array" ref="K623">XLOOKUP($D623,REGOLITOS!$A:$A,REGOLITOS!K:K)</f>
        <v>#N/A</v>
      </c>
      <c r="L623" s="76"/>
      <c r="M623" s="5" t="s">
        <v>1080</v>
      </c>
      <c r="N623" s="5" t="s">
        <v>1080</v>
      </c>
      <c r="O623" s="5" t="s">
        <v>1080</v>
      </c>
      <c r="P623" s="5" t="s">
        <v>1080</v>
      </c>
      <c r="Q623" s="5" t="s">
        <v>1080</v>
      </c>
      <c r="X623" s="71">
        <f t="shared" si="5"/>
        <v>0</v>
      </c>
      <c r="Y623" s="5" t="b">
        <v>0</v>
      </c>
    </row>
    <row r="624">
      <c r="B624" s="5" t="str">
        <f t="array" ref="B624">XLOOKUP(A624, CURSOS!A:A, CURSOS!B:B)</f>
        <v>#N/A</v>
      </c>
      <c r="C624" s="75" t="str">
        <f t="array" ref="C624">XLOOKUP(A624, CURSOS!A:A, CURSOS!C:C)</f>
        <v>#N/A</v>
      </c>
      <c r="D624" s="70" t="e">
        <v>#N/A</v>
      </c>
      <c r="E624" s="48"/>
      <c r="F624" s="48" t="str">
        <f t="array" ref="F624">XLOOKUP($D624,REGOLITOS!$A:$A,REGOLITOS!F:F)</f>
        <v>#N/A</v>
      </c>
      <c r="G624" s="48" t="str">
        <f t="array" ref="G624">XLOOKUP($D624,REGOLITOS!$A:$A,REGOLITOS!G:G)</f>
        <v>#N/A</v>
      </c>
      <c r="H624" s="48" t="str">
        <f t="array" ref="H624">XLOOKUP($D624,REGOLITOS!$A:$A,REGOLITOS!H:H)</f>
        <v>#N/A</v>
      </c>
      <c r="I624" s="48" t="str">
        <f t="array" ref="I624">XLOOKUP($D624,REGOLITOS!$A:$A,REGOLITOS!I:I)</f>
        <v>#N/A</v>
      </c>
      <c r="J624" s="48" t="str">
        <f t="array" ref="J624">XLOOKUP($D624,REGOLITOS!$A:$A,REGOLITOS!J:J)</f>
        <v>#N/A</v>
      </c>
      <c r="K624" s="48" t="str">
        <f t="array" ref="K624">XLOOKUP($D624,REGOLITOS!$A:$A,REGOLITOS!K:K)</f>
        <v>#N/A</v>
      </c>
      <c r="L624" s="76"/>
      <c r="M624" s="5" t="s">
        <v>1080</v>
      </c>
      <c r="N624" s="5" t="s">
        <v>1080</v>
      </c>
      <c r="O624" s="5" t="s">
        <v>1080</v>
      </c>
      <c r="P624" s="5" t="s">
        <v>1080</v>
      </c>
      <c r="Q624" s="5" t="s">
        <v>1080</v>
      </c>
      <c r="X624" s="71">
        <f t="shared" si="5"/>
        <v>0</v>
      </c>
      <c r="Y624" s="5" t="b">
        <v>0</v>
      </c>
    </row>
    <row r="625">
      <c r="B625" s="5" t="str">
        <f t="array" ref="B625">XLOOKUP(A625, CURSOS!A:A, CURSOS!B:B)</f>
        <v>#N/A</v>
      </c>
      <c r="C625" s="75" t="str">
        <f t="array" ref="C625">XLOOKUP(A625, CURSOS!A:A, CURSOS!C:C)</f>
        <v>#N/A</v>
      </c>
      <c r="D625" s="70" t="e">
        <v>#N/A</v>
      </c>
      <c r="E625" s="48"/>
      <c r="F625" s="48" t="str">
        <f t="array" ref="F625">XLOOKUP($D625,REGOLITOS!$A:$A,REGOLITOS!F:F)</f>
        <v>#N/A</v>
      </c>
      <c r="G625" s="48" t="str">
        <f t="array" ref="G625">XLOOKUP($D625,REGOLITOS!$A:$A,REGOLITOS!G:G)</f>
        <v>#N/A</v>
      </c>
      <c r="H625" s="48" t="str">
        <f t="array" ref="H625">XLOOKUP($D625,REGOLITOS!$A:$A,REGOLITOS!H:H)</f>
        <v>#N/A</v>
      </c>
      <c r="I625" s="48" t="str">
        <f t="array" ref="I625">XLOOKUP($D625,REGOLITOS!$A:$A,REGOLITOS!I:I)</f>
        <v>#N/A</v>
      </c>
      <c r="J625" s="48" t="str">
        <f t="array" ref="J625">XLOOKUP($D625,REGOLITOS!$A:$A,REGOLITOS!J:J)</f>
        <v>#N/A</v>
      </c>
      <c r="K625" s="48" t="str">
        <f t="array" ref="K625">XLOOKUP($D625,REGOLITOS!$A:$A,REGOLITOS!K:K)</f>
        <v>#N/A</v>
      </c>
      <c r="L625" s="76"/>
      <c r="M625" s="5" t="s">
        <v>1080</v>
      </c>
      <c r="N625" s="5" t="s">
        <v>1080</v>
      </c>
      <c r="O625" s="5" t="s">
        <v>1080</v>
      </c>
      <c r="P625" s="5" t="s">
        <v>1080</v>
      </c>
      <c r="Q625" s="5" t="s">
        <v>1080</v>
      </c>
      <c r="X625" s="71">
        <f t="shared" si="5"/>
        <v>0</v>
      </c>
      <c r="Y625" s="5" t="b">
        <v>0</v>
      </c>
    </row>
    <row r="626">
      <c r="B626" s="5" t="str">
        <f t="array" ref="B626">XLOOKUP(A626, CURSOS!A:A, CURSOS!B:B)</f>
        <v>#N/A</v>
      </c>
      <c r="C626" s="75" t="str">
        <f t="array" ref="C626">XLOOKUP(A626, CURSOS!A:A, CURSOS!C:C)</f>
        <v>#N/A</v>
      </c>
      <c r="D626" s="70" t="e">
        <v>#N/A</v>
      </c>
      <c r="E626" s="48"/>
      <c r="F626" s="48" t="str">
        <f t="array" ref="F626">XLOOKUP($D626,REGOLITOS!$A:$A,REGOLITOS!F:F)</f>
        <v>#N/A</v>
      </c>
      <c r="G626" s="48" t="str">
        <f t="array" ref="G626">XLOOKUP($D626,REGOLITOS!$A:$A,REGOLITOS!G:G)</f>
        <v>#N/A</v>
      </c>
      <c r="H626" s="48" t="str">
        <f t="array" ref="H626">XLOOKUP($D626,REGOLITOS!$A:$A,REGOLITOS!H:H)</f>
        <v>#N/A</v>
      </c>
      <c r="I626" s="48" t="str">
        <f t="array" ref="I626">XLOOKUP($D626,REGOLITOS!$A:$A,REGOLITOS!I:I)</f>
        <v>#N/A</v>
      </c>
      <c r="J626" s="48" t="str">
        <f t="array" ref="J626">XLOOKUP($D626,REGOLITOS!$A:$A,REGOLITOS!J:J)</f>
        <v>#N/A</v>
      </c>
      <c r="K626" s="48" t="str">
        <f t="array" ref="K626">XLOOKUP($D626,REGOLITOS!$A:$A,REGOLITOS!K:K)</f>
        <v>#N/A</v>
      </c>
      <c r="L626" s="76"/>
      <c r="M626" s="5" t="s">
        <v>1080</v>
      </c>
      <c r="N626" s="5" t="s">
        <v>1080</v>
      </c>
      <c r="O626" s="5" t="s">
        <v>1080</v>
      </c>
      <c r="P626" s="5" t="s">
        <v>1080</v>
      </c>
      <c r="Q626" s="5" t="s">
        <v>1080</v>
      </c>
      <c r="X626" s="71">
        <f t="shared" si="5"/>
        <v>0</v>
      </c>
      <c r="Y626" s="5" t="b">
        <v>0</v>
      </c>
    </row>
    <row r="627">
      <c r="B627" s="5" t="str">
        <f t="array" ref="B627">XLOOKUP(A627, CURSOS!A:A, CURSOS!B:B)</f>
        <v>#N/A</v>
      </c>
      <c r="C627" s="75" t="str">
        <f t="array" ref="C627">XLOOKUP(A627, CURSOS!A:A, CURSOS!C:C)</f>
        <v>#N/A</v>
      </c>
      <c r="D627" s="70" t="e">
        <v>#N/A</v>
      </c>
      <c r="E627" s="48"/>
      <c r="F627" s="48" t="str">
        <f t="array" ref="F627">XLOOKUP($D627,REGOLITOS!$A:$A,REGOLITOS!F:F)</f>
        <v>#N/A</v>
      </c>
      <c r="G627" s="48" t="str">
        <f t="array" ref="G627">XLOOKUP($D627,REGOLITOS!$A:$A,REGOLITOS!G:G)</f>
        <v>#N/A</v>
      </c>
      <c r="H627" s="48" t="str">
        <f t="array" ref="H627">XLOOKUP($D627,REGOLITOS!$A:$A,REGOLITOS!H:H)</f>
        <v>#N/A</v>
      </c>
      <c r="I627" s="48" t="str">
        <f t="array" ref="I627">XLOOKUP($D627,REGOLITOS!$A:$A,REGOLITOS!I:I)</f>
        <v>#N/A</v>
      </c>
      <c r="J627" s="48" t="str">
        <f t="array" ref="J627">XLOOKUP($D627,REGOLITOS!$A:$A,REGOLITOS!J:J)</f>
        <v>#N/A</v>
      </c>
      <c r="K627" s="48" t="str">
        <f t="array" ref="K627">XLOOKUP($D627,REGOLITOS!$A:$A,REGOLITOS!K:K)</f>
        <v>#N/A</v>
      </c>
      <c r="L627" s="76"/>
      <c r="M627" s="5" t="s">
        <v>1080</v>
      </c>
      <c r="N627" s="5" t="s">
        <v>1080</v>
      </c>
      <c r="O627" s="5" t="s">
        <v>1080</v>
      </c>
      <c r="P627" s="5" t="s">
        <v>1080</v>
      </c>
      <c r="Q627" s="5" t="s">
        <v>1080</v>
      </c>
      <c r="X627" s="71">
        <f t="shared" si="5"/>
        <v>0</v>
      </c>
      <c r="Y627" s="5" t="b">
        <v>0</v>
      </c>
    </row>
    <row r="628">
      <c r="B628" s="5" t="str">
        <f t="array" ref="B628">XLOOKUP(A628, CURSOS!A:A, CURSOS!B:B)</f>
        <v>#N/A</v>
      </c>
      <c r="C628" s="75" t="str">
        <f t="array" ref="C628">XLOOKUP(A628, CURSOS!A:A, CURSOS!C:C)</f>
        <v>#N/A</v>
      </c>
      <c r="D628" s="70" t="e">
        <v>#N/A</v>
      </c>
      <c r="E628" s="48"/>
      <c r="F628" s="48" t="str">
        <f t="array" ref="F628">XLOOKUP($D628,REGOLITOS!$A:$A,REGOLITOS!F:F)</f>
        <v>#N/A</v>
      </c>
      <c r="G628" s="48" t="str">
        <f t="array" ref="G628">XLOOKUP($D628,REGOLITOS!$A:$A,REGOLITOS!G:G)</f>
        <v>#N/A</v>
      </c>
      <c r="H628" s="48" t="str">
        <f t="array" ref="H628">XLOOKUP($D628,REGOLITOS!$A:$A,REGOLITOS!H:H)</f>
        <v>#N/A</v>
      </c>
      <c r="I628" s="48" t="str">
        <f t="array" ref="I628">XLOOKUP($D628,REGOLITOS!$A:$A,REGOLITOS!I:I)</f>
        <v>#N/A</v>
      </c>
      <c r="J628" s="48" t="str">
        <f t="array" ref="J628">XLOOKUP($D628,REGOLITOS!$A:$A,REGOLITOS!J:J)</f>
        <v>#N/A</v>
      </c>
      <c r="K628" s="48" t="str">
        <f t="array" ref="K628">XLOOKUP($D628,REGOLITOS!$A:$A,REGOLITOS!K:K)</f>
        <v>#N/A</v>
      </c>
      <c r="L628" s="76"/>
      <c r="M628" s="5" t="s">
        <v>1080</v>
      </c>
      <c r="N628" s="5" t="s">
        <v>1080</v>
      </c>
      <c r="O628" s="5" t="s">
        <v>1080</v>
      </c>
      <c r="P628" s="5" t="s">
        <v>1080</v>
      </c>
      <c r="Q628" s="5" t="s">
        <v>1080</v>
      </c>
      <c r="X628" s="71">
        <f t="shared" si="5"/>
        <v>0</v>
      </c>
      <c r="Y628" s="5" t="b">
        <v>0</v>
      </c>
    </row>
    <row r="629">
      <c r="B629" s="5" t="str">
        <f t="array" ref="B629">XLOOKUP(A629, CURSOS!A:A, CURSOS!B:B)</f>
        <v>#N/A</v>
      </c>
      <c r="C629" s="75" t="str">
        <f t="array" ref="C629">XLOOKUP(A629, CURSOS!A:A, CURSOS!C:C)</f>
        <v>#N/A</v>
      </c>
      <c r="D629" s="70" t="e">
        <v>#N/A</v>
      </c>
      <c r="E629" s="48"/>
      <c r="F629" s="48" t="str">
        <f t="array" ref="F629">XLOOKUP($D629,REGOLITOS!$A:$A,REGOLITOS!F:F)</f>
        <v>#N/A</v>
      </c>
      <c r="G629" s="48" t="str">
        <f t="array" ref="G629">XLOOKUP($D629,REGOLITOS!$A:$A,REGOLITOS!G:G)</f>
        <v>#N/A</v>
      </c>
      <c r="H629" s="48" t="str">
        <f t="array" ref="H629">XLOOKUP($D629,REGOLITOS!$A:$A,REGOLITOS!H:H)</f>
        <v>#N/A</v>
      </c>
      <c r="I629" s="48" t="str">
        <f t="array" ref="I629">XLOOKUP($D629,REGOLITOS!$A:$A,REGOLITOS!I:I)</f>
        <v>#N/A</v>
      </c>
      <c r="J629" s="48" t="str">
        <f t="array" ref="J629">XLOOKUP($D629,REGOLITOS!$A:$A,REGOLITOS!J:J)</f>
        <v>#N/A</v>
      </c>
      <c r="K629" s="48" t="str">
        <f t="array" ref="K629">XLOOKUP($D629,REGOLITOS!$A:$A,REGOLITOS!K:K)</f>
        <v>#N/A</v>
      </c>
      <c r="L629" s="76"/>
      <c r="M629" s="5" t="s">
        <v>1080</v>
      </c>
      <c r="N629" s="5" t="s">
        <v>1080</v>
      </c>
      <c r="O629" s="5" t="s">
        <v>1080</v>
      </c>
      <c r="P629" s="5" t="s">
        <v>1080</v>
      </c>
      <c r="Q629" s="5" t="s">
        <v>1080</v>
      </c>
      <c r="X629" s="71">
        <f t="shared" si="5"/>
        <v>0</v>
      </c>
      <c r="Y629" s="5" t="b">
        <v>0</v>
      </c>
    </row>
    <row r="630">
      <c r="B630" s="5" t="str">
        <f t="array" ref="B630">XLOOKUP(A630, CURSOS!A:A, CURSOS!B:B)</f>
        <v>#N/A</v>
      </c>
      <c r="C630" s="75" t="str">
        <f t="array" ref="C630">XLOOKUP(A630, CURSOS!A:A, CURSOS!C:C)</f>
        <v>#N/A</v>
      </c>
      <c r="D630" s="70" t="e">
        <v>#N/A</v>
      </c>
      <c r="E630" s="48"/>
      <c r="F630" s="48" t="str">
        <f t="array" ref="F630">XLOOKUP($D630,REGOLITOS!$A:$A,REGOLITOS!F:F)</f>
        <v>#N/A</v>
      </c>
      <c r="G630" s="48" t="str">
        <f t="array" ref="G630">XLOOKUP($D630,REGOLITOS!$A:$A,REGOLITOS!G:G)</f>
        <v>#N/A</v>
      </c>
      <c r="H630" s="48" t="str">
        <f t="array" ref="H630">XLOOKUP($D630,REGOLITOS!$A:$A,REGOLITOS!H:H)</f>
        <v>#N/A</v>
      </c>
      <c r="I630" s="48" t="str">
        <f t="array" ref="I630">XLOOKUP($D630,REGOLITOS!$A:$A,REGOLITOS!I:I)</f>
        <v>#N/A</v>
      </c>
      <c r="J630" s="48" t="str">
        <f t="array" ref="J630">XLOOKUP($D630,REGOLITOS!$A:$A,REGOLITOS!J:J)</f>
        <v>#N/A</v>
      </c>
      <c r="K630" s="48" t="str">
        <f t="array" ref="K630">XLOOKUP($D630,REGOLITOS!$A:$A,REGOLITOS!K:K)</f>
        <v>#N/A</v>
      </c>
      <c r="L630" s="76"/>
      <c r="M630" s="5" t="s">
        <v>1080</v>
      </c>
      <c r="N630" s="5" t="s">
        <v>1080</v>
      </c>
      <c r="O630" s="5" t="s">
        <v>1080</v>
      </c>
      <c r="P630" s="5" t="s">
        <v>1080</v>
      </c>
      <c r="Q630" s="5" t="s">
        <v>1080</v>
      </c>
      <c r="X630" s="71">
        <f t="shared" si="5"/>
        <v>0</v>
      </c>
      <c r="Y630" s="5" t="b">
        <v>0</v>
      </c>
    </row>
    <row r="631">
      <c r="B631" s="5" t="str">
        <f t="array" ref="B631">XLOOKUP(A631, CURSOS!A:A, CURSOS!B:B)</f>
        <v>#N/A</v>
      </c>
      <c r="C631" s="75" t="str">
        <f t="array" ref="C631">XLOOKUP(A631, CURSOS!A:A, CURSOS!C:C)</f>
        <v>#N/A</v>
      </c>
      <c r="D631" s="70" t="e">
        <v>#N/A</v>
      </c>
      <c r="E631" s="48"/>
      <c r="F631" s="48" t="str">
        <f t="array" ref="F631">XLOOKUP($D631,REGOLITOS!$A:$A,REGOLITOS!F:F)</f>
        <v>#N/A</v>
      </c>
      <c r="G631" s="48" t="str">
        <f t="array" ref="G631">XLOOKUP($D631,REGOLITOS!$A:$A,REGOLITOS!G:G)</f>
        <v>#N/A</v>
      </c>
      <c r="H631" s="48" t="str">
        <f t="array" ref="H631">XLOOKUP($D631,REGOLITOS!$A:$A,REGOLITOS!H:H)</f>
        <v>#N/A</v>
      </c>
      <c r="I631" s="48" t="str">
        <f t="array" ref="I631">XLOOKUP($D631,REGOLITOS!$A:$A,REGOLITOS!I:I)</f>
        <v>#N/A</v>
      </c>
      <c r="J631" s="48" t="str">
        <f t="array" ref="J631">XLOOKUP($D631,REGOLITOS!$A:$A,REGOLITOS!J:J)</f>
        <v>#N/A</v>
      </c>
      <c r="K631" s="48" t="str">
        <f t="array" ref="K631">XLOOKUP($D631,REGOLITOS!$A:$A,REGOLITOS!K:K)</f>
        <v>#N/A</v>
      </c>
      <c r="L631" s="76"/>
      <c r="M631" s="5" t="s">
        <v>1080</v>
      </c>
      <c r="N631" s="5" t="s">
        <v>1080</v>
      </c>
      <c r="O631" s="5" t="s">
        <v>1080</v>
      </c>
      <c r="P631" s="5" t="s">
        <v>1080</v>
      </c>
      <c r="Q631" s="5" t="s">
        <v>1080</v>
      </c>
      <c r="X631" s="71">
        <f t="shared" si="5"/>
        <v>0</v>
      </c>
      <c r="Y631" s="5" t="b">
        <v>0</v>
      </c>
    </row>
    <row r="632">
      <c r="B632" s="5" t="str">
        <f t="array" ref="B632">XLOOKUP(A632, CURSOS!A:A, CURSOS!B:B)</f>
        <v>#N/A</v>
      </c>
      <c r="C632" s="75" t="str">
        <f t="array" ref="C632">XLOOKUP(A632, CURSOS!A:A, CURSOS!C:C)</f>
        <v>#N/A</v>
      </c>
      <c r="D632" s="70" t="e">
        <v>#N/A</v>
      </c>
      <c r="E632" s="48"/>
      <c r="F632" s="48" t="str">
        <f t="array" ref="F632">XLOOKUP($D632,REGOLITOS!$A:$A,REGOLITOS!F:F)</f>
        <v>#N/A</v>
      </c>
      <c r="G632" s="48" t="str">
        <f t="array" ref="G632">XLOOKUP($D632,REGOLITOS!$A:$A,REGOLITOS!G:G)</f>
        <v>#N/A</v>
      </c>
      <c r="H632" s="48" t="str">
        <f t="array" ref="H632">XLOOKUP($D632,REGOLITOS!$A:$A,REGOLITOS!H:H)</f>
        <v>#N/A</v>
      </c>
      <c r="I632" s="48" t="str">
        <f t="array" ref="I632">XLOOKUP($D632,REGOLITOS!$A:$A,REGOLITOS!I:I)</f>
        <v>#N/A</v>
      </c>
      <c r="J632" s="48" t="str">
        <f t="array" ref="J632">XLOOKUP($D632,REGOLITOS!$A:$A,REGOLITOS!J:J)</f>
        <v>#N/A</v>
      </c>
      <c r="K632" s="48" t="str">
        <f t="array" ref="K632">XLOOKUP($D632,REGOLITOS!$A:$A,REGOLITOS!K:K)</f>
        <v>#N/A</v>
      </c>
      <c r="L632" s="76"/>
      <c r="M632" s="5" t="s">
        <v>1080</v>
      </c>
      <c r="N632" s="5" t="s">
        <v>1080</v>
      </c>
      <c r="O632" s="5" t="s">
        <v>1080</v>
      </c>
      <c r="P632" s="5" t="s">
        <v>1080</v>
      </c>
      <c r="Q632" s="5" t="s">
        <v>1080</v>
      </c>
      <c r="X632" s="71">
        <f t="shared" si="5"/>
        <v>0</v>
      </c>
      <c r="Y632" s="5" t="b">
        <v>0</v>
      </c>
    </row>
    <row r="633">
      <c r="B633" s="5" t="str">
        <f t="array" ref="B633">XLOOKUP(A633, CURSOS!A:A, CURSOS!B:B)</f>
        <v>#N/A</v>
      </c>
      <c r="C633" s="75" t="str">
        <f t="array" ref="C633">XLOOKUP(A633, CURSOS!A:A, CURSOS!C:C)</f>
        <v>#N/A</v>
      </c>
      <c r="D633" s="70" t="e">
        <v>#N/A</v>
      </c>
      <c r="E633" s="48"/>
      <c r="F633" s="48" t="str">
        <f t="array" ref="F633">XLOOKUP($D633,REGOLITOS!$A:$A,REGOLITOS!F:F)</f>
        <v>#N/A</v>
      </c>
      <c r="G633" s="48" t="str">
        <f t="array" ref="G633">XLOOKUP($D633,REGOLITOS!$A:$A,REGOLITOS!G:G)</f>
        <v>#N/A</v>
      </c>
      <c r="H633" s="48" t="str">
        <f t="array" ref="H633">XLOOKUP($D633,REGOLITOS!$A:$A,REGOLITOS!H:H)</f>
        <v>#N/A</v>
      </c>
      <c r="I633" s="48" t="str">
        <f t="array" ref="I633">XLOOKUP($D633,REGOLITOS!$A:$A,REGOLITOS!I:I)</f>
        <v>#N/A</v>
      </c>
      <c r="J633" s="48" t="str">
        <f t="array" ref="J633">XLOOKUP($D633,REGOLITOS!$A:$A,REGOLITOS!J:J)</f>
        <v>#N/A</v>
      </c>
      <c r="K633" s="48" t="str">
        <f t="array" ref="K633">XLOOKUP($D633,REGOLITOS!$A:$A,REGOLITOS!K:K)</f>
        <v>#N/A</v>
      </c>
      <c r="L633" s="76"/>
      <c r="M633" s="5" t="s">
        <v>1080</v>
      </c>
      <c r="N633" s="5" t="s">
        <v>1080</v>
      </c>
      <c r="O633" s="5" t="s">
        <v>1080</v>
      </c>
      <c r="P633" s="5" t="s">
        <v>1080</v>
      </c>
      <c r="Q633" s="5" t="s">
        <v>1080</v>
      </c>
      <c r="X633" s="71">
        <f t="shared" si="5"/>
        <v>0</v>
      </c>
      <c r="Y633" s="5" t="b">
        <v>0</v>
      </c>
    </row>
    <row r="634">
      <c r="B634" s="5" t="str">
        <f t="array" ref="B634">XLOOKUP(A634, CURSOS!A:A, CURSOS!B:B)</f>
        <v>#N/A</v>
      </c>
      <c r="C634" s="75" t="str">
        <f t="array" ref="C634">XLOOKUP(A634, CURSOS!A:A, CURSOS!C:C)</f>
        <v>#N/A</v>
      </c>
      <c r="D634" s="70" t="e">
        <v>#N/A</v>
      </c>
      <c r="E634" s="48"/>
      <c r="F634" s="48" t="str">
        <f t="array" ref="F634">XLOOKUP($D634,REGOLITOS!$A:$A,REGOLITOS!F:F)</f>
        <v>#N/A</v>
      </c>
      <c r="G634" s="48" t="str">
        <f t="array" ref="G634">XLOOKUP($D634,REGOLITOS!$A:$A,REGOLITOS!G:G)</f>
        <v>#N/A</v>
      </c>
      <c r="H634" s="48" t="str">
        <f t="array" ref="H634">XLOOKUP($D634,REGOLITOS!$A:$A,REGOLITOS!H:H)</f>
        <v>#N/A</v>
      </c>
      <c r="I634" s="48" t="str">
        <f t="array" ref="I634">XLOOKUP($D634,REGOLITOS!$A:$A,REGOLITOS!I:I)</f>
        <v>#N/A</v>
      </c>
      <c r="J634" s="48" t="str">
        <f t="array" ref="J634">XLOOKUP($D634,REGOLITOS!$A:$A,REGOLITOS!J:J)</f>
        <v>#N/A</v>
      </c>
      <c r="K634" s="48" t="str">
        <f t="array" ref="K634">XLOOKUP($D634,REGOLITOS!$A:$A,REGOLITOS!K:K)</f>
        <v>#N/A</v>
      </c>
      <c r="L634" s="76"/>
      <c r="M634" s="5" t="s">
        <v>1080</v>
      </c>
      <c r="N634" s="5" t="s">
        <v>1080</v>
      </c>
      <c r="O634" s="5" t="s">
        <v>1080</v>
      </c>
      <c r="P634" s="5" t="s">
        <v>1080</v>
      </c>
      <c r="Q634" s="5" t="s">
        <v>1080</v>
      </c>
      <c r="X634" s="71">
        <f t="shared" si="5"/>
        <v>0</v>
      </c>
      <c r="Y634" s="5" t="b">
        <v>0</v>
      </c>
    </row>
    <row r="635">
      <c r="B635" s="5" t="str">
        <f t="array" ref="B635">XLOOKUP(A635, CURSOS!A:A, CURSOS!B:B)</f>
        <v>#N/A</v>
      </c>
      <c r="C635" s="75" t="str">
        <f t="array" ref="C635">XLOOKUP(A635, CURSOS!A:A, CURSOS!C:C)</f>
        <v>#N/A</v>
      </c>
      <c r="D635" s="70" t="e">
        <v>#N/A</v>
      </c>
      <c r="E635" s="48"/>
      <c r="F635" s="48" t="str">
        <f t="array" ref="F635">XLOOKUP($D635,REGOLITOS!$A:$A,REGOLITOS!F:F)</f>
        <v>#N/A</v>
      </c>
      <c r="G635" s="48" t="str">
        <f t="array" ref="G635">XLOOKUP($D635,REGOLITOS!$A:$A,REGOLITOS!G:G)</f>
        <v>#N/A</v>
      </c>
      <c r="H635" s="48" t="str">
        <f t="array" ref="H635">XLOOKUP($D635,REGOLITOS!$A:$A,REGOLITOS!H:H)</f>
        <v>#N/A</v>
      </c>
      <c r="I635" s="48" t="str">
        <f t="array" ref="I635">XLOOKUP($D635,REGOLITOS!$A:$A,REGOLITOS!I:I)</f>
        <v>#N/A</v>
      </c>
      <c r="J635" s="48" t="str">
        <f t="array" ref="J635">XLOOKUP($D635,REGOLITOS!$A:$A,REGOLITOS!J:J)</f>
        <v>#N/A</v>
      </c>
      <c r="K635" s="48" t="str">
        <f t="array" ref="K635">XLOOKUP($D635,REGOLITOS!$A:$A,REGOLITOS!K:K)</f>
        <v>#N/A</v>
      </c>
      <c r="L635" s="76"/>
      <c r="M635" s="5" t="s">
        <v>1080</v>
      </c>
      <c r="N635" s="5" t="s">
        <v>1080</v>
      </c>
      <c r="O635" s="5" t="s">
        <v>1080</v>
      </c>
      <c r="P635" s="5" t="s">
        <v>1080</v>
      </c>
      <c r="Q635" s="5" t="s">
        <v>1080</v>
      </c>
      <c r="X635" s="71">
        <f t="shared" si="5"/>
        <v>0</v>
      </c>
      <c r="Y635" s="5" t="b">
        <v>0</v>
      </c>
    </row>
    <row r="636">
      <c r="B636" s="5" t="str">
        <f t="array" ref="B636">XLOOKUP(A636, CURSOS!A:A, CURSOS!B:B)</f>
        <v>#N/A</v>
      </c>
      <c r="C636" s="75" t="str">
        <f t="array" ref="C636">XLOOKUP(A636, CURSOS!A:A, CURSOS!C:C)</f>
        <v>#N/A</v>
      </c>
      <c r="D636" s="70" t="e">
        <v>#N/A</v>
      </c>
      <c r="E636" s="48"/>
      <c r="F636" s="48" t="str">
        <f t="array" ref="F636">XLOOKUP($D636,REGOLITOS!$A:$A,REGOLITOS!F:F)</f>
        <v>#N/A</v>
      </c>
      <c r="G636" s="48" t="str">
        <f t="array" ref="G636">XLOOKUP($D636,REGOLITOS!$A:$A,REGOLITOS!G:G)</f>
        <v>#N/A</v>
      </c>
      <c r="H636" s="48" t="str">
        <f t="array" ref="H636">XLOOKUP($D636,REGOLITOS!$A:$A,REGOLITOS!H:H)</f>
        <v>#N/A</v>
      </c>
      <c r="I636" s="48" t="str">
        <f t="array" ref="I636">XLOOKUP($D636,REGOLITOS!$A:$A,REGOLITOS!I:I)</f>
        <v>#N/A</v>
      </c>
      <c r="J636" s="48" t="str">
        <f t="array" ref="J636">XLOOKUP($D636,REGOLITOS!$A:$A,REGOLITOS!J:J)</f>
        <v>#N/A</v>
      </c>
      <c r="K636" s="48" t="str">
        <f t="array" ref="K636">XLOOKUP($D636,REGOLITOS!$A:$A,REGOLITOS!K:K)</f>
        <v>#N/A</v>
      </c>
      <c r="L636" s="76"/>
      <c r="M636" s="5" t="s">
        <v>1080</v>
      </c>
      <c r="N636" s="5" t="s">
        <v>1080</v>
      </c>
      <c r="O636" s="5" t="s">
        <v>1080</v>
      </c>
      <c r="P636" s="5" t="s">
        <v>1080</v>
      </c>
      <c r="Q636" s="5" t="s">
        <v>1080</v>
      </c>
      <c r="X636" s="71">
        <f t="shared" si="5"/>
        <v>0</v>
      </c>
      <c r="Y636" s="5" t="b">
        <v>0</v>
      </c>
    </row>
    <row r="637">
      <c r="B637" s="5" t="str">
        <f t="array" ref="B637">XLOOKUP(A637, CURSOS!A:A, CURSOS!B:B)</f>
        <v>#N/A</v>
      </c>
      <c r="C637" s="75" t="str">
        <f t="array" ref="C637">XLOOKUP(A637, CURSOS!A:A, CURSOS!C:C)</f>
        <v>#N/A</v>
      </c>
      <c r="D637" s="70" t="e">
        <v>#N/A</v>
      </c>
      <c r="E637" s="48"/>
      <c r="F637" s="48" t="str">
        <f t="array" ref="F637">XLOOKUP($D637,REGOLITOS!$A:$A,REGOLITOS!F:F)</f>
        <v>#N/A</v>
      </c>
      <c r="G637" s="48" t="str">
        <f t="array" ref="G637">XLOOKUP($D637,REGOLITOS!$A:$A,REGOLITOS!G:G)</f>
        <v>#N/A</v>
      </c>
      <c r="H637" s="48" t="str">
        <f t="array" ref="H637">XLOOKUP($D637,REGOLITOS!$A:$A,REGOLITOS!H:H)</f>
        <v>#N/A</v>
      </c>
      <c r="I637" s="48" t="str">
        <f t="array" ref="I637">XLOOKUP($D637,REGOLITOS!$A:$A,REGOLITOS!I:I)</f>
        <v>#N/A</v>
      </c>
      <c r="J637" s="48" t="str">
        <f t="array" ref="J637">XLOOKUP($D637,REGOLITOS!$A:$A,REGOLITOS!J:J)</f>
        <v>#N/A</v>
      </c>
      <c r="K637" s="48" t="str">
        <f t="array" ref="K637">XLOOKUP($D637,REGOLITOS!$A:$A,REGOLITOS!K:K)</f>
        <v>#N/A</v>
      </c>
      <c r="L637" s="76"/>
      <c r="M637" s="5" t="s">
        <v>1080</v>
      </c>
      <c r="N637" s="5" t="s">
        <v>1080</v>
      </c>
      <c r="O637" s="5" t="s">
        <v>1080</v>
      </c>
      <c r="P637" s="5" t="s">
        <v>1080</v>
      </c>
      <c r="Q637" s="5" t="s">
        <v>1080</v>
      </c>
      <c r="X637" s="71">
        <f t="shared" si="5"/>
        <v>0</v>
      </c>
      <c r="Y637" s="5" t="b">
        <v>0</v>
      </c>
    </row>
    <row r="638">
      <c r="B638" s="5" t="str">
        <f t="array" ref="B638">XLOOKUP(A638, CURSOS!A:A, CURSOS!B:B)</f>
        <v>#N/A</v>
      </c>
      <c r="C638" s="75" t="str">
        <f t="array" ref="C638">XLOOKUP(A638, CURSOS!A:A, CURSOS!C:C)</f>
        <v>#N/A</v>
      </c>
      <c r="D638" s="70" t="e">
        <v>#N/A</v>
      </c>
      <c r="E638" s="48"/>
      <c r="F638" s="48" t="str">
        <f t="array" ref="F638">XLOOKUP($D638,REGOLITOS!$A:$A,REGOLITOS!F:F)</f>
        <v>#N/A</v>
      </c>
      <c r="G638" s="48" t="str">
        <f t="array" ref="G638">XLOOKUP($D638,REGOLITOS!$A:$A,REGOLITOS!G:G)</f>
        <v>#N/A</v>
      </c>
      <c r="H638" s="48" t="str">
        <f t="array" ref="H638">XLOOKUP($D638,REGOLITOS!$A:$A,REGOLITOS!H:H)</f>
        <v>#N/A</v>
      </c>
      <c r="I638" s="48" t="str">
        <f t="array" ref="I638">XLOOKUP($D638,REGOLITOS!$A:$A,REGOLITOS!I:I)</f>
        <v>#N/A</v>
      </c>
      <c r="J638" s="48" t="str">
        <f t="array" ref="J638">XLOOKUP($D638,REGOLITOS!$A:$A,REGOLITOS!J:J)</f>
        <v>#N/A</v>
      </c>
      <c r="K638" s="48" t="str">
        <f t="array" ref="K638">XLOOKUP($D638,REGOLITOS!$A:$A,REGOLITOS!K:K)</f>
        <v>#N/A</v>
      </c>
      <c r="L638" s="76"/>
      <c r="M638" s="5" t="s">
        <v>1080</v>
      </c>
      <c r="N638" s="5" t="s">
        <v>1080</v>
      </c>
      <c r="O638" s="5" t="s">
        <v>1080</v>
      </c>
      <c r="P638" s="5" t="s">
        <v>1080</v>
      </c>
      <c r="Q638" s="5" t="s">
        <v>1080</v>
      </c>
      <c r="X638" s="71">
        <f t="shared" si="5"/>
        <v>0</v>
      </c>
      <c r="Y638" s="5" t="b">
        <v>0</v>
      </c>
    </row>
    <row r="639">
      <c r="B639" s="5" t="str">
        <f t="array" ref="B639">XLOOKUP(A639, CURSOS!A:A, CURSOS!B:B)</f>
        <v>#N/A</v>
      </c>
      <c r="C639" s="75" t="str">
        <f t="array" ref="C639">XLOOKUP(A639, CURSOS!A:A, CURSOS!C:C)</f>
        <v>#N/A</v>
      </c>
      <c r="D639" s="70" t="e">
        <v>#N/A</v>
      </c>
      <c r="E639" s="48"/>
      <c r="F639" s="48" t="str">
        <f t="array" ref="F639">XLOOKUP($D639,REGOLITOS!$A:$A,REGOLITOS!F:F)</f>
        <v>#N/A</v>
      </c>
      <c r="G639" s="48" t="str">
        <f t="array" ref="G639">XLOOKUP($D639,REGOLITOS!$A:$A,REGOLITOS!G:G)</f>
        <v>#N/A</v>
      </c>
      <c r="H639" s="48" t="str">
        <f t="array" ref="H639">XLOOKUP($D639,REGOLITOS!$A:$A,REGOLITOS!H:H)</f>
        <v>#N/A</v>
      </c>
      <c r="I639" s="48" t="str">
        <f t="array" ref="I639">XLOOKUP($D639,REGOLITOS!$A:$A,REGOLITOS!I:I)</f>
        <v>#N/A</v>
      </c>
      <c r="J639" s="48" t="str">
        <f t="array" ref="J639">XLOOKUP($D639,REGOLITOS!$A:$A,REGOLITOS!J:J)</f>
        <v>#N/A</v>
      </c>
      <c r="K639" s="48" t="str">
        <f t="array" ref="K639">XLOOKUP($D639,REGOLITOS!$A:$A,REGOLITOS!K:K)</f>
        <v>#N/A</v>
      </c>
      <c r="L639" s="76"/>
      <c r="M639" s="5" t="s">
        <v>1080</v>
      </c>
      <c r="N639" s="5" t="s">
        <v>1080</v>
      </c>
      <c r="O639" s="5" t="s">
        <v>1080</v>
      </c>
      <c r="P639" s="5" t="s">
        <v>1080</v>
      </c>
      <c r="Q639" s="5" t="s">
        <v>1080</v>
      </c>
      <c r="X639" s="71">
        <f t="shared" si="5"/>
        <v>0</v>
      </c>
      <c r="Y639" s="5" t="b">
        <v>0</v>
      </c>
    </row>
    <row r="640">
      <c r="B640" s="5" t="str">
        <f t="array" ref="B640">XLOOKUP(A640, CURSOS!A:A, CURSOS!B:B)</f>
        <v>#N/A</v>
      </c>
      <c r="C640" s="75" t="str">
        <f t="array" ref="C640">XLOOKUP(A640, CURSOS!A:A, CURSOS!C:C)</f>
        <v>#N/A</v>
      </c>
      <c r="D640" s="70" t="e">
        <v>#N/A</v>
      </c>
      <c r="E640" s="48"/>
      <c r="F640" s="48" t="str">
        <f t="array" ref="F640">XLOOKUP($D640,REGOLITOS!$A:$A,REGOLITOS!F:F)</f>
        <v>#N/A</v>
      </c>
      <c r="G640" s="48" t="str">
        <f t="array" ref="G640">XLOOKUP($D640,REGOLITOS!$A:$A,REGOLITOS!G:G)</f>
        <v>#N/A</v>
      </c>
      <c r="H640" s="48" t="str">
        <f t="array" ref="H640">XLOOKUP($D640,REGOLITOS!$A:$A,REGOLITOS!H:H)</f>
        <v>#N/A</v>
      </c>
      <c r="I640" s="48" t="str">
        <f t="array" ref="I640">XLOOKUP($D640,REGOLITOS!$A:$A,REGOLITOS!I:I)</f>
        <v>#N/A</v>
      </c>
      <c r="J640" s="48" t="str">
        <f t="array" ref="J640">XLOOKUP($D640,REGOLITOS!$A:$A,REGOLITOS!J:J)</f>
        <v>#N/A</v>
      </c>
      <c r="K640" s="48" t="str">
        <f t="array" ref="K640">XLOOKUP($D640,REGOLITOS!$A:$A,REGOLITOS!K:K)</f>
        <v>#N/A</v>
      </c>
      <c r="L640" s="76"/>
      <c r="M640" s="5" t="s">
        <v>1080</v>
      </c>
      <c r="N640" s="5" t="s">
        <v>1080</v>
      </c>
      <c r="O640" s="5" t="s">
        <v>1080</v>
      </c>
      <c r="P640" s="5" t="s">
        <v>1080</v>
      </c>
      <c r="Q640" s="5" t="s">
        <v>1080</v>
      </c>
      <c r="X640" s="71">
        <f t="shared" si="5"/>
        <v>0</v>
      </c>
      <c r="Y640" s="5" t="b">
        <v>0</v>
      </c>
    </row>
    <row r="641">
      <c r="B641" s="5" t="str">
        <f t="array" ref="B641">XLOOKUP(A641, CURSOS!A:A, CURSOS!B:B)</f>
        <v>#N/A</v>
      </c>
      <c r="C641" s="75" t="str">
        <f t="array" ref="C641">XLOOKUP(A641, CURSOS!A:A, CURSOS!C:C)</f>
        <v>#N/A</v>
      </c>
      <c r="D641" s="70" t="e">
        <v>#N/A</v>
      </c>
      <c r="E641" s="48"/>
      <c r="F641" s="48" t="str">
        <f t="array" ref="F641">XLOOKUP($D641,REGOLITOS!$A:$A,REGOLITOS!F:F)</f>
        <v>#N/A</v>
      </c>
      <c r="G641" s="48" t="str">
        <f t="array" ref="G641">XLOOKUP($D641,REGOLITOS!$A:$A,REGOLITOS!G:G)</f>
        <v>#N/A</v>
      </c>
      <c r="H641" s="48" t="str">
        <f t="array" ref="H641">XLOOKUP($D641,REGOLITOS!$A:$A,REGOLITOS!H:H)</f>
        <v>#N/A</v>
      </c>
      <c r="I641" s="48" t="str">
        <f t="array" ref="I641">XLOOKUP($D641,REGOLITOS!$A:$A,REGOLITOS!I:I)</f>
        <v>#N/A</v>
      </c>
      <c r="J641" s="48" t="str">
        <f t="array" ref="J641">XLOOKUP($D641,REGOLITOS!$A:$A,REGOLITOS!J:J)</f>
        <v>#N/A</v>
      </c>
      <c r="K641" s="48" t="str">
        <f t="array" ref="K641">XLOOKUP($D641,REGOLITOS!$A:$A,REGOLITOS!K:K)</f>
        <v>#N/A</v>
      </c>
      <c r="L641" s="76"/>
      <c r="M641" s="5" t="s">
        <v>1080</v>
      </c>
      <c r="N641" s="5" t="s">
        <v>1080</v>
      </c>
      <c r="O641" s="5" t="s">
        <v>1080</v>
      </c>
      <c r="P641" s="5" t="s">
        <v>1080</v>
      </c>
      <c r="Q641" s="5" t="s">
        <v>1080</v>
      </c>
      <c r="X641" s="71">
        <f t="shared" si="5"/>
        <v>0</v>
      </c>
      <c r="Y641" s="5" t="b">
        <v>0</v>
      </c>
    </row>
    <row r="642">
      <c r="B642" s="5" t="str">
        <f t="array" ref="B642">XLOOKUP(A642, CURSOS!A:A, CURSOS!B:B)</f>
        <v>#N/A</v>
      </c>
      <c r="C642" s="75" t="str">
        <f t="array" ref="C642">XLOOKUP(A642, CURSOS!A:A, CURSOS!C:C)</f>
        <v>#N/A</v>
      </c>
      <c r="D642" s="70" t="e">
        <v>#N/A</v>
      </c>
      <c r="E642" s="48"/>
      <c r="F642" s="48" t="str">
        <f t="array" ref="F642">XLOOKUP($D642,REGOLITOS!$A:$A,REGOLITOS!F:F)</f>
        <v>#N/A</v>
      </c>
      <c r="G642" s="48" t="str">
        <f t="array" ref="G642">XLOOKUP($D642,REGOLITOS!$A:$A,REGOLITOS!G:G)</f>
        <v>#N/A</v>
      </c>
      <c r="H642" s="48" t="str">
        <f t="array" ref="H642">XLOOKUP($D642,REGOLITOS!$A:$A,REGOLITOS!H:H)</f>
        <v>#N/A</v>
      </c>
      <c r="I642" s="48" t="str">
        <f t="array" ref="I642">XLOOKUP($D642,REGOLITOS!$A:$A,REGOLITOS!I:I)</f>
        <v>#N/A</v>
      </c>
      <c r="J642" s="48" t="str">
        <f t="array" ref="J642">XLOOKUP($D642,REGOLITOS!$A:$A,REGOLITOS!J:J)</f>
        <v>#N/A</v>
      </c>
      <c r="K642" s="48" t="str">
        <f t="array" ref="K642">XLOOKUP($D642,REGOLITOS!$A:$A,REGOLITOS!K:K)</f>
        <v>#N/A</v>
      </c>
      <c r="L642" s="76"/>
      <c r="M642" s="5" t="s">
        <v>1080</v>
      </c>
      <c r="N642" s="5" t="s">
        <v>1080</v>
      </c>
      <c r="O642" s="5" t="s">
        <v>1080</v>
      </c>
      <c r="P642" s="5" t="s">
        <v>1080</v>
      </c>
      <c r="Q642" s="5" t="s">
        <v>1080</v>
      </c>
      <c r="X642" s="71">
        <f t="shared" si="5"/>
        <v>0</v>
      </c>
      <c r="Y642" s="5" t="b">
        <v>0</v>
      </c>
    </row>
    <row r="643">
      <c r="B643" s="5" t="str">
        <f t="array" ref="B643">XLOOKUP(A643, CURSOS!A:A, CURSOS!B:B)</f>
        <v>#N/A</v>
      </c>
      <c r="C643" s="75" t="str">
        <f t="array" ref="C643">XLOOKUP(A643, CURSOS!A:A, CURSOS!C:C)</f>
        <v>#N/A</v>
      </c>
      <c r="D643" s="70" t="e">
        <v>#N/A</v>
      </c>
      <c r="E643" s="48"/>
      <c r="F643" s="48" t="str">
        <f t="array" ref="F643">XLOOKUP($D643,REGOLITOS!$A:$A,REGOLITOS!F:F)</f>
        <v>#N/A</v>
      </c>
      <c r="G643" s="48" t="str">
        <f t="array" ref="G643">XLOOKUP($D643,REGOLITOS!$A:$A,REGOLITOS!G:G)</f>
        <v>#N/A</v>
      </c>
      <c r="H643" s="48" t="str">
        <f t="array" ref="H643">XLOOKUP($D643,REGOLITOS!$A:$A,REGOLITOS!H:H)</f>
        <v>#N/A</v>
      </c>
      <c r="I643" s="48" t="str">
        <f t="array" ref="I643">XLOOKUP($D643,REGOLITOS!$A:$A,REGOLITOS!I:I)</f>
        <v>#N/A</v>
      </c>
      <c r="J643" s="48" t="str">
        <f t="array" ref="J643">XLOOKUP($D643,REGOLITOS!$A:$A,REGOLITOS!J:J)</f>
        <v>#N/A</v>
      </c>
      <c r="K643" s="48" t="str">
        <f t="array" ref="K643">XLOOKUP($D643,REGOLITOS!$A:$A,REGOLITOS!K:K)</f>
        <v>#N/A</v>
      </c>
      <c r="L643" s="76"/>
      <c r="M643" s="5" t="s">
        <v>1080</v>
      </c>
      <c r="N643" s="5" t="s">
        <v>1080</v>
      </c>
      <c r="O643" s="5" t="s">
        <v>1080</v>
      </c>
      <c r="P643" s="5" t="s">
        <v>1080</v>
      </c>
      <c r="Q643" s="5" t="s">
        <v>1080</v>
      </c>
      <c r="X643" s="71">
        <f t="shared" si="5"/>
        <v>0</v>
      </c>
      <c r="Y643" s="5" t="b">
        <v>0</v>
      </c>
    </row>
    <row r="644">
      <c r="B644" s="5" t="str">
        <f t="array" ref="B644">XLOOKUP(A644, CURSOS!A:A, CURSOS!B:B)</f>
        <v>#N/A</v>
      </c>
      <c r="C644" s="75" t="str">
        <f t="array" ref="C644">XLOOKUP(A644, CURSOS!A:A, CURSOS!C:C)</f>
        <v>#N/A</v>
      </c>
      <c r="D644" s="70" t="e">
        <v>#N/A</v>
      </c>
      <c r="E644" s="48"/>
      <c r="F644" s="48" t="str">
        <f t="array" ref="F644">XLOOKUP($D644,REGOLITOS!$A:$A,REGOLITOS!F:F)</f>
        <v>#N/A</v>
      </c>
      <c r="G644" s="48" t="str">
        <f t="array" ref="G644">XLOOKUP($D644,REGOLITOS!$A:$A,REGOLITOS!G:G)</f>
        <v>#N/A</v>
      </c>
      <c r="H644" s="48" t="str">
        <f t="array" ref="H644">XLOOKUP($D644,REGOLITOS!$A:$A,REGOLITOS!H:H)</f>
        <v>#N/A</v>
      </c>
      <c r="I644" s="48" t="str">
        <f t="array" ref="I644">XLOOKUP($D644,REGOLITOS!$A:$A,REGOLITOS!I:I)</f>
        <v>#N/A</v>
      </c>
      <c r="J644" s="48" t="str">
        <f t="array" ref="J644">XLOOKUP($D644,REGOLITOS!$A:$A,REGOLITOS!J:J)</f>
        <v>#N/A</v>
      </c>
      <c r="K644" s="48" t="str">
        <f t="array" ref="K644">XLOOKUP($D644,REGOLITOS!$A:$A,REGOLITOS!K:K)</f>
        <v>#N/A</v>
      </c>
      <c r="L644" s="76"/>
      <c r="M644" s="5" t="s">
        <v>1080</v>
      </c>
      <c r="N644" s="5" t="s">
        <v>1080</v>
      </c>
      <c r="O644" s="5" t="s">
        <v>1080</v>
      </c>
      <c r="P644" s="5" t="s">
        <v>1080</v>
      </c>
      <c r="Q644" s="5" t="s">
        <v>1080</v>
      </c>
      <c r="X644" s="71">
        <f t="shared" si="5"/>
        <v>0</v>
      </c>
      <c r="Y644" s="5" t="b">
        <v>0</v>
      </c>
    </row>
    <row r="645">
      <c r="B645" s="5" t="str">
        <f t="array" ref="B645">XLOOKUP(A645, CURSOS!A:A, CURSOS!B:B)</f>
        <v>#N/A</v>
      </c>
      <c r="C645" s="75" t="str">
        <f t="array" ref="C645">XLOOKUP(A645, CURSOS!A:A, CURSOS!C:C)</f>
        <v>#N/A</v>
      </c>
      <c r="D645" s="70" t="e">
        <v>#N/A</v>
      </c>
      <c r="E645" s="48"/>
      <c r="F645" s="48" t="str">
        <f t="array" ref="F645">XLOOKUP($D645,REGOLITOS!$A:$A,REGOLITOS!F:F)</f>
        <v>#N/A</v>
      </c>
      <c r="G645" s="48" t="str">
        <f t="array" ref="G645">XLOOKUP($D645,REGOLITOS!$A:$A,REGOLITOS!G:G)</f>
        <v>#N/A</v>
      </c>
      <c r="H645" s="48" t="str">
        <f t="array" ref="H645">XLOOKUP($D645,REGOLITOS!$A:$A,REGOLITOS!H:H)</f>
        <v>#N/A</v>
      </c>
      <c r="I645" s="48" t="str">
        <f t="array" ref="I645">XLOOKUP($D645,REGOLITOS!$A:$A,REGOLITOS!I:I)</f>
        <v>#N/A</v>
      </c>
      <c r="J645" s="48" t="str">
        <f t="array" ref="J645">XLOOKUP($D645,REGOLITOS!$A:$A,REGOLITOS!J:J)</f>
        <v>#N/A</v>
      </c>
      <c r="K645" s="48" t="str">
        <f t="array" ref="K645">XLOOKUP($D645,REGOLITOS!$A:$A,REGOLITOS!K:K)</f>
        <v>#N/A</v>
      </c>
      <c r="L645" s="76"/>
      <c r="M645" s="5" t="s">
        <v>1080</v>
      </c>
      <c r="N645" s="5" t="s">
        <v>1080</v>
      </c>
      <c r="O645" s="5" t="s">
        <v>1080</v>
      </c>
      <c r="P645" s="5" t="s">
        <v>1080</v>
      </c>
      <c r="Q645" s="5" t="s">
        <v>1080</v>
      </c>
      <c r="X645" s="71">
        <f t="shared" si="5"/>
        <v>0</v>
      </c>
      <c r="Y645" s="5" t="b">
        <v>0</v>
      </c>
    </row>
    <row r="646">
      <c r="B646" s="5" t="str">
        <f t="array" ref="B646">XLOOKUP(A646, CURSOS!A:A, CURSOS!B:B)</f>
        <v>#N/A</v>
      </c>
      <c r="C646" s="75" t="str">
        <f t="array" ref="C646">XLOOKUP(A646, CURSOS!A:A, CURSOS!C:C)</f>
        <v>#N/A</v>
      </c>
      <c r="D646" s="70" t="e">
        <v>#N/A</v>
      </c>
      <c r="E646" s="48"/>
      <c r="F646" s="48" t="str">
        <f t="array" ref="F646">XLOOKUP($D646,REGOLITOS!$A:$A,REGOLITOS!F:F)</f>
        <v>#N/A</v>
      </c>
      <c r="G646" s="48" t="str">
        <f t="array" ref="G646">XLOOKUP($D646,REGOLITOS!$A:$A,REGOLITOS!G:G)</f>
        <v>#N/A</v>
      </c>
      <c r="H646" s="48" t="str">
        <f t="array" ref="H646">XLOOKUP($D646,REGOLITOS!$A:$A,REGOLITOS!H:H)</f>
        <v>#N/A</v>
      </c>
      <c r="I646" s="48" t="str">
        <f t="array" ref="I646">XLOOKUP($D646,REGOLITOS!$A:$A,REGOLITOS!I:I)</f>
        <v>#N/A</v>
      </c>
      <c r="J646" s="48" t="str">
        <f t="array" ref="J646">XLOOKUP($D646,REGOLITOS!$A:$A,REGOLITOS!J:J)</f>
        <v>#N/A</v>
      </c>
      <c r="K646" s="48" t="str">
        <f t="array" ref="K646">XLOOKUP($D646,REGOLITOS!$A:$A,REGOLITOS!K:K)</f>
        <v>#N/A</v>
      </c>
      <c r="L646" s="76"/>
      <c r="M646" s="5" t="s">
        <v>1080</v>
      </c>
      <c r="N646" s="5" t="s">
        <v>1080</v>
      </c>
      <c r="O646" s="5" t="s">
        <v>1080</v>
      </c>
      <c r="P646" s="5" t="s">
        <v>1080</v>
      </c>
      <c r="Q646" s="5" t="s">
        <v>1080</v>
      </c>
      <c r="X646" s="71">
        <f t="shared" si="5"/>
        <v>0</v>
      </c>
      <c r="Y646" s="5" t="b">
        <v>0</v>
      </c>
    </row>
    <row r="647">
      <c r="B647" s="5" t="str">
        <f t="array" ref="B647">XLOOKUP(A647, CURSOS!A:A, CURSOS!B:B)</f>
        <v>#N/A</v>
      </c>
      <c r="C647" s="75" t="str">
        <f t="array" ref="C647">XLOOKUP(A647, CURSOS!A:A, CURSOS!C:C)</f>
        <v>#N/A</v>
      </c>
      <c r="D647" s="70" t="e">
        <v>#N/A</v>
      </c>
      <c r="E647" s="48"/>
      <c r="F647" s="48" t="str">
        <f t="array" ref="F647">XLOOKUP($D647,REGOLITOS!$A:$A,REGOLITOS!F:F)</f>
        <v>#N/A</v>
      </c>
      <c r="G647" s="48" t="str">
        <f t="array" ref="G647">XLOOKUP($D647,REGOLITOS!$A:$A,REGOLITOS!G:G)</f>
        <v>#N/A</v>
      </c>
      <c r="H647" s="48" t="str">
        <f t="array" ref="H647">XLOOKUP($D647,REGOLITOS!$A:$A,REGOLITOS!H:H)</f>
        <v>#N/A</v>
      </c>
      <c r="I647" s="48" t="str">
        <f t="array" ref="I647">XLOOKUP($D647,REGOLITOS!$A:$A,REGOLITOS!I:I)</f>
        <v>#N/A</v>
      </c>
      <c r="J647" s="48" t="str">
        <f t="array" ref="J647">XLOOKUP($D647,REGOLITOS!$A:$A,REGOLITOS!J:J)</f>
        <v>#N/A</v>
      </c>
      <c r="K647" s="48" t="str">
        <f t="array" ref="K647">XLOOKUP($D647,REGOLITOS!$A:$A,REGOLITOS!K:K)</f>
        <v>#N/A</v>
      </c>
      <c r="L647" s="76"/>
      <c r="M647" s="5" t="s">
        <v>1080</v>
      </c>
      <c r="N647" s="5" t="s">
        <v>1080</v>
      </c>
      <c r="O647" s="5" t="s">
        <v>1080</v>
      </c>
      <c r="P647" s="5" t="s">
        <v>1080</v>
      </c>
      <c r="Q647" s="5" t="s">
        <v>1080</v>
      </c>
      <c r="X647" s="71">
        <f t="shared" si="5"/>
        <v>0</v>
      </c>
      <c r="Y647" s="5" t="b">
        <v>0</v>
      </c>
    </row>
    <row r="648">
      <c r="B648" s="5" t="str">
        <f t="array" ref="B648">XLOOKUP(A648, CURSOS!A:A, CURSOS!B:B)</f>
        <v>#N/A</v>
      </c>
      <c r="C648" s="75" t="str">
        <f t="array" ref="C648">XLOOKUP(A648, CURSOS!A:A, CURSOS!C:C)</f>
        <v>#N/A</v>
      </c>
      <c r="D648" s="70" t="e">
        <v>#N/A</v>
      </c>
      <c r="E648" s="48"/>
      <c r="F648" s="48" t="str">
        <f t="array" ref="F648">XLOOKUP($D648,REGOLITOS!$A:$A,REGOLITOS!F:F)</f>
        <v>#N/A</v>
      </c>
      <c r="G648" s="48" t="str">
        <f t="array" ref="G648">XLOOKUP($D648,REGOLITOS!$A:$A,REGOLITOS!G:G)</f>
        <v>#N/A</v>
      </c>
      <c r="H648" s="48" t="str">
        <f t="array" ref="H648">XLOOKUP($D648,REGOLITOS!$A:$A,REGOLITOS!H:H)</f>
        <v>#N/A</v>
      </c>
      <c r="I648" s="48" t="str">
        <f t="array" ref="I648">XLOOKUP($D648,REGOLITOS!$A:$A,REGOLITOS!I:I)</f>
        <v>#N/A</v>
      </c>
      <c r="J648" s="48" t="str">
        <f t="array" ref="J648">XLOOKUP($D648,REGOLITOS!$A:$A,REGOLITOS!J:J)</f>
        <v>#N/A</v>
      </c>
      <c r="K648" s="48" t="str">
        <f t="array" ref="K648">XLOOKUP($D648,REGOLITOS!$A:$A,REGOLITOS!K:K)</f>
        <v>#N/A</v>
      </c>
      <c r="L648" s="76"/>
      <c r="M648" s="5" t="s">
        <v>1080</v>
      </c>
      <c r="N648" s="5" t="s">
        <v>1080</v>
      </c>
      <c r="O648" s="5" t="s">
        <v>1080</v>
      </c>
      <c r="P648" s="5" t="s">
        <v>1080</v>
      </c>
      <c r="Q648" s="5" t="s">
        <v>1080</v>
      </c>
      <c r="X648" s="71">
        <f t="shared" si="5"/>
        <v>0</v>
      </c>
      <c r="Y648" s="5" t="b">
        <v>0</v>
      </c>
    </row>
    <row r="649">
      <c r="B649" s="5" t="str">
        <f t="array" ref="B649">XLOOKUP(A649, CURSOS!A:A, CURSOS!B:B)</f>
        <v>#N/A</v>
      </c>
      <c r="C649" s="75" t="str">
        <f t="array" ref="C649">XLOOKUP(A649, CURSOS!A:A, CURSOS!C:C)</f>
        <v>#N/A</v>
      </c>
      <c r="D649" s="70" t="e">
        <v>#N/A</v>
      </c>
      <c r="E649" s="48"/>
      <c r="F649" s="48" t="str">
        <f t="array" ref="F649">XLOOKUP($D649,REGOLITOS!$A:$A,REGOLITOS!F:F)</f>
        <v>#N/A</v>
      </c>
      <c r="G649" s="48" t="str">
        <f t="array" ref="G649">XLOOKUP($D649,REGOLITOS!$A:$A,REGOLITOS!G:G)</f>
        <v>#N/A</v>
      </c>
      <c r="H649" s="48" t="str">
        <f t="array" ref="H649">XLOOKUP($D649,REGOLITOS!$A:$A,REGOLITOS!H:H)</f>
        <v>#N/A</v>
      </c>
      <c r="I649" s="48" t="str">
        <f t="array" ref="I649">XLOOKUP($D649,REGOLITOS!$A:$A,REGOLITOS!I:I)</f>
        <v>#N/A</v>
      </c>
      <c r="J649" s="48" t="str">
        <f t="array" ref="J649">XLOOKUP($D649,REGOLITOS!$A:$A,REGOLITOS!J:J)</f>
        <v>#N/A</v>
      </c>
      <c r="K649" s="48" t="str">
        <f t="array" ref="K649">XLOOKUP($D649,REGOLITOS!$A:$A,REGOLITOS!K:K)</f>
        <v>#N/A</v>
      </c>
      <c r="L649" s="76"/>
      <c r="M649" s="5" t="s">
        <v>1080</v>
      </c>
      <c r="N649" s="5" t="s">
        <v>1080</v>
      </c>
      <c r="O649" s="5" t="s">
        <v>1080</v>
      </c>
      <c r="P649" s="5" t="s">
        <v>1080</v>
      </c>
      <c r="Q649" s="5" t="s">
        <v>1080</v>
      </c>
      <c r="X649" s="71">
        <f t="shared" si="5"/>
        <v>0</v>
      </c>
      <c r="Y649" s="5" t="b">
        <v>0</v>
      </c>
    </row>
    <row r="650">
      <c r="B650" s="5" t="str">
        <f t="array" ref="B650">XLOOKUP(A650, CURSOS!A:A, CURSOS!B:B)</f>
        <v>#N/A</v>
      </c>
      <c r="C650" s="75" t="str">
        <f t="array" ref="C650">XLOOKUP(A650, CURSOS!A:A, CURSOS!C:C)</f>
        <v>#N/A</v>
      </c>
      <c r="D650" s="70" t="e">
        <v>#N/A</v>
      </c>
      <c r="E650" s="48"/>
      <c r="F650" s="48" t="str">
        <f t="array" ref="F650">XLOOKUP($D650,REGOLITOS!$A:$A,REGOLITOS!F:F)</f>
        <v>#N/A</v>
      </c>
      <c r="G650" s="48" t="str">
        <f t="array" ref="G650">XLOOKUP($D650,REGOLITOS!$A:$A,REGOLITOS!G:G)</f>
        <v>#N/A</v>
      </c>
      <c r="H650" s="48" t="str">
        <f t="array" ref="H650">XLOOKUP($D650,REGOLITOS!$A:$A,REGOLITOS!H:H)</f>
        <v>#N/A</v>
      </c>
      <c r="I650" s="48" t="str">
        <f t="array" ref="I650">XLOOKUP($D650,REGOLITOS!$A:$A,REGOLITOS!I:I)</f>
        <v>#N/A</v>
      </c>
      <c r="J650" s="48" t="str">
        <f t="array" ref="J650">XLOOKUP($D650,REGOLITOS!$A:$A,REGOLITOS!J:J)</f>
        <v>#N/A</v>
      </c>
      <c r="K650" s="48" t="str">
        <f t="array" ref="K650">XLOOKUP($D650,REGOLITOS!$A:$A,REGOLITOS!K:K)</f>
        <v>#N/A</v>
      </c>
      <c r="L650" s="76"/>
      <c r="M650" s="5" t="s">
        <v>1080</v>
      </c>
      <c r="N650" s="5" t="s">
        <v>1080</v>
      </c>
      <c r="O650" s="5" t="s">
        <v>1080</v>
      </c>
      <c r="P650" s="5" t="s">
        <v>1080</v>
      </c>
      <c r="Q650" s="5" t="s">
        <v>1080</v>
      </c>
      <c r="X650" s="71">
        <f t="shared" si="5"/>
        <v>0</v>
      </c>
      <c r="Y650" s="5" t="b">
        <v>0</v>
      </c>
    </row>
    <row r="651">
      <c r="B651" s="5" t="str">
        <f t="array" ref="B651">XLOOKUP(A651, CURSOS!A:A, CURSOS!B:B)</f>
        <v>#N/A</v>
      </c>
      <c r="C651" s="75" t="str">
        <f t="array" ref="C651">XLOOKUP(A651, CURSOS!A:A, CURSOS!C:C)</f>
        <v>#N/A</v>
      </c>
      <c r="D651" s="70" t="e">
        <v>#N/A</v>
      </c>
      <c r="E651" s="48"/>
      <c r="F651" s="48" t="str">
        <f t="array" ref="F651">XLOOKUP($D651,REGOLITOS!$A:$A,REGOLITOS!F:F)</f>
        <v>#N/A</v>
      </c>
      <c r="G651" s="48" t="str">
        <f t="array" ref="G651">XLOOKUP($D651,REGOLITOS!$A:$A,REGOLITOS!G:G)</f>
        <v>#N/A</v>
      </c>
      <c r="H651" s="48" t="str">
        <f t="array" ref="H651">XLOOKUP($D651,REGOLITOS!$A:$A,REGOLITOS!H:H)</f>
        <v>#N/A</v>
      </c>
      <c r="I651" s="48" t="str">
        <f t="array" ref="I651">XLOOKUP($D651,REGOLITOS!$A:$A,REGOLITOS!I:I)</f>
        <v>#N/A</v>
      </c>
      <c r="J651" s="48" t="str">
        <f t="array" ref="J651">XLOOKUP($D651,REGOLITOS!$A:$A,REGOLITOS!J:J)</f>
        <v>#N/A</v>
      </c>
      <c r="K651" s="48" t="str">
        <f t="array" ref="K651">XLOOKUP($D651,REGOLITOS!$A:$A,REGOLITOS!K:K)</f>
        <v>#N/A</v>
      </c>
      <c r="L651" s="76"/>
      <c r="M651" s="5" t="s">
        <v>1080</v>
      </c>
      <c r="N651" s="5" t="s">
        <v>1080</v>
      </c>
      <c r="O651" s="5" t="s">
        <v>1080</v>
      </c>
      <c r="P651" s="5" t="s">
        <v>1080</v>
      </c>
      <c r="Q651" s="5" t="s">
        <v>1080</v>
      </c>
      <c r="X651" s="71">
        <f t="shared" si="5"/>
        <v>0</v>
      </c>
      <c r="Y651" s="5" t="b">
        <v>0</v>
      </c>
    </row>
    <row r="652">
      <c r="B652" s="5" t="str">
        <f t="array" ref="B652">XLOOKUP(A652, CURSOS!A:A, CURSOS!B:B)</f>
        <v>#N/A</v>
      </c>
      <c r="C652" s="75" t="str">
        <f t="array" ref="C652">XLOOKUP(A652, CURSOS!A:A, CURSOS!C:C)</f>
        <v>#N/A</v>
      </c>
      <c r="D652" s="70" t="e">
        <v>#N/A</v>
      </c>
      <c r="E652" s="48"/>
      <c r="F652" s="48" t="str">
        <f t="array" ref="F652">XLOOKUP($D652,REGOLITOS!$A:$A,REGOLITOS!F:F)</f>
        <v>#N/A</v>
      </c>
      <c r="G652" s="48" t="str">
        <f t="array" ref="G652">XLOOKUP($D652,REGOLITOS!$A:$A,REGOLITOS!G:G)</f>
        <v>#N/A</v>
      </c>
      <c r="H652" s="48" t="str">
        <f t="array" ref="H652">XLOOKUP($D652,REGOLITOS!$A:$A,REGOLITOS!H:H)</f>
        <v>#N/A</v>
      </c>
      <c r="I652" s="48" t="str">
        <f t="array" ref="I652">XLOOKUP($D652,REGOLITOS!$A:$A,REGOLITOS!I:I)</f>
        <v>#N/A</v>
      </c>
      <c r="J652" s="48" t="str">
        <f t="array" ref="J652">XLOOKUP($D652,REGOLITOS!$A:$A,REGOLITOS!J:J)</f>
        <v>#N/A</v>
      </c>
      <c r="K652" s="48" t="str">
        <f t="array" ref="K652">XLOOKUP($D652,REGOLITOS!$A:$A,REGOLITOS!K:K)</f>
        <v>#N/A</v>
      </c>
      <c r="L652" s="76"/>
      <c r="M652" s="5" t="s">
        <v>1080</v>
      </c>
      <c r="N652" s="5" t="s">
        <v>1080</v>
      </c>
      <c r="O652" s="5" t="s">
        <v>1080</v>
      </c>
      <c r="P652" s="5" t="s">
        <v>1080</v>
      </c>
      <c r="Q652" s="5" t="s">
        <v>1080</v>
      </c>
      <c r="X652" s="71">
        <f t="shared" si="5"/>
        <v>0</v>
      </c>
      <c r="Y652" s="5" t="b">
        <v>0</v>
      </c>
    </row>
    <row r="653">
      <c r="B653" s="5" t="str">
        <f t="array" ref="B653">XLOOKUP(A653, CURSOS!A:A, CURSOS!B:B)</f>
        <v>#N/A</v>
      </c>
      <c r="C653" s="75" t="str">
        <f t="array" ref="C653">XLOOKUP(A653, CURSOS!A:A, CURSOS!C:C)</f>
        <v>#N/A</v>
      </c>
      <c r="D653" s="70" t="e">
        <v>#N/A</v>
      </c>
      <c r="E653" s="48"/>
      <c r="F653" s="48" t="str">
        <f t="array" ref="F653">XLOOKUP($D653,REGOLITOS!$A:$A,REGOLITOS!F:F)</f>
        <v>#N/A</v>
      </c>
      <c r="G653" s="48" t="str">
        <f t="array" ref="G653">XLOOKUP($D653,REGOLITOS!$A:$A,REGOLITOS!G:G)</f>
        <v>#N/A</v>
      </c>
      <c r="H653" s="48" t="str">
        <f t="array" ref="H653">XLOOKUP($D653,REGOLITOS!$A:$A,REGOLITOS!H:H)</f>
        <v>#N/A</v>
      </c>
      <c r="I653" s="48" t="str">
        <f t="array" ref="I653">XLOOKUP($D653,REGOLITOS!$A:$A,REGOLITOS!I:I)</f>
        <v>#N/A</v>
      </c>
      <c r="J653" s="48" t="str">
        <f t="array" ref="J653">XLOOKUP($D653,REGOLITOS!$A:$A,REGOLITOS!J:J)</f>
        <v>#N/A</v>
      </c>
      <c r="K653" s="48" t="str">
        <f t="array" ref="K653">XLOOKUP($D653,REGOLITOS!$A:$A,REGOLITOS!K:K)</f>
        <v>#N/A</v>
      </c>
      <c r="L653" s="76"/>
      <c r="M653" s="5" t="s">
        <v>1080</v>
      </c>
      <c r="N653" s="5" t="s">
        <v>1080</v>
      </c>
      <c r="O653" s="5" t="s">
        <v>1080</v>
      </c>
      <c r="P653" s="5" t="s">
        <v>1080</v>
      </c>
      <c r="Q653" s="5" t="s">
        <v>1080</v>
      </c>
      <c r="X653" s="71">
        <f t="shared" si="5"/>
        <v>0</v>
      </c>
      <c r="Y653" s="5" t="b">
        <v>0</v>
      </c>
    </row>
    <row r="654">
      <c r="B654" s="5" t="str">
        <f t="array" ref="B654">XLOOKUP(A654, CURSOS!A:A, CURSOS!B:B)</f>
        <v>#N/A</v>
      </c>
      <c r="C654" s="75" t="str">
        <f t="array" ref="C654">XLOOKUP(A654, CURSOS!A:A, CURSOS!C:C)</f>
        <v>#N/A</v>
      </c>
      <c r="D654" s="70" t="e">
        <v>#N/A</v>
      </c>
      <c r="E654" s="48"/>
      <c r="F654" s="48" t="str">
        <f t="array" ref="F654">XLOOKUP($D654,REGOLITOS!$A:$A,REGOLITOS!F:F)</f>
        <v>#N/A</v>
      </c>
      <c r="G654" s="48" t="str">
        <f t="array" ref="G654">XLOOKUP($D654,REGOLITOS!$A:$A,REGOLITOS!G:G)</f>
        <v>#N/A</v>
      </c>
      <c r="H654" s="48" t="str">
        <f t="array" ref="H654">XLOOKUP($D654,REGOLITOS!$A:$A,REGOLITOS!H:H)</f>
        <v>#N/A</v>
      </c>
      <c r="I654" s="48" t="str">
        <f t="array" ref="I654">XLOOKUP($D654,REGOLITOS!$A:$A,REGOLITOS!I:I)</f>
        <v>#N/A</v>
      </c>
      <c r="J654" s="48" t="str">
        <f t="array" ref="J654">XLOOKUP($D654,REGOLITOS!$A:$A,REGOLITOS!J:J)</f>
        <v>#N/A</v>
      </c>
      <c r="K654" s="48" t="str">
        <f t="array" ref="K654">XLOOKUP($D654,REGOLITOS!$A:$A,REGOLITOS!K:K)</f>
        <v>#N/A</v>
      </c>
      <c r="L654" s="76"/>
      <c r="M654" s="5" t="s">
        <v>1080</v>
      </c>
      <c r="N654" s="5" t="s">
        <v>1080</v>
      </c>
      <c r="O654" s="5" t="s">
        <v>1080</v>
      </c>
      <c r="P654" s="5" t="s">
        <v>1080</v>
      </c>
      <c r="Q654" s="5" t="s">
        <v>1080</v>
      </c>
      <c r="X654" s="71">
        <f t="shared" si="5"/>
        <v>0</v>
      </c>
      <c r="Y654" s="5" t="b">
        <v>0</v>
      </c>
    </row>
    <row r="655">
      <c r="B655" s="5" t="str">
        <f t="array" ref="B655">XLOOKUP(A655, CURSOS!A:A, CURSOS!B:B)</f>
        <v>#N/A</v>
      </c>
      <c r="C655" s="75" t="str">
        <f t="array" ref="C655">XLOOKUP(A655, CURSOS!A:A, CURSOS!C:C)</f>
        <v>#N/A</v>
      </c>
      <c r="D655" s="70" t="e">
        <v>#N/A</v>
      </c>
      <c r="E655" s="48"/>
      <c r="F655" s="48" t="str">
        <f t="array" ref="F655">XLOOKUP($D655,REGOLITOS!$A:$A,REGOLITOS!F:F)</f>
        <v>#N/A</v>
      </c>
      <c r="G655" s="48" t="str">
        <f t="array" ref="G655">XLOOKUP($D655,REGOLITOS!$A:$A,REGOLITOS!G:G)</f>
        <v>#N/A</v>
      </c>
      <c r="H655" s="48" t="str">
        <f t="array" ref="H655">XLOOKUP($D655,REGOLITOS!$A:$A,REGOLITOS!H:H)</f>
        <v>#N/A</v>
      </c>
      <c r="I655" s="48" t="str">
        <f t="array" ref="I655">XLOOKUP($D655,REGOLITOS!$A:$A,REGOLITOS!I:I)</f>
        <v>#N/A</v>
      </c>
      <c r="J655" s="48" t="str">
        <f t="array" ref="J655">XLOOKUP($D655,REGOLITOS!$A:$A,REGOLITOS!J:J)</f>
        <v>#N/A</v>
      </c>
      <c r="K655" s="48" t="str">
        <f t="array" ref="K655">XLOOKUP($D655,REGOLITOS!$A:$A,REGOLITOS!K:K)</f>
        <v>#N/A</v>
      </c>
      <c r="L655" s="76"/>
      <c r="M655" s="5" t="s">
        <v>1080</v>
      </c>
      <c r="N655" s="5" t="s">
        <v>1080</v>
      </c>
      <c r="O655" s="5" t="s">
        <v>1080</v>
      </c>
      <c r="P655" s="5" t="s">
        <v>1080</v>
      </c>
      <c r="Q655" s="5" t="s">
        <v>1080</v>
      </c>
      <c r="X655" s="71">
        <f t="shared" si="5"/>
        <v>0</v>
      </c>
      <c r="Y655" s="5" t="b">
        <v>0</v>
      </c>
    </row>
    <row r="656">
      <c r="B656" s="5" t="str">
        <f t="array" ref="B656">XLOOKUP(A656, CURSOS!A:A, CURSOS!B:B)</f>
        <v>#N/A</v>
      </c>
      <c r="C656" s="75" t="str">
        <f t="array" ref="C656">XLOOKUP(A656, CURSOS!A:A, CURSOS!C:C)</f>
        <v>#N/A</v>
      </c>
      <c r="D656" s="70" t="e">
        <v>#N/A</v>
      </c>
      <c r="E656" s="48"/>
      <c r="F656" s="48" t="str">
        <f t="array" ref="F656">XLOOKUP($D656,REGOLITOS!$A:$A,REGOLITOS!F:F)</f>
        <v>#N/A</v>
      </c>
      <c r="G656" s="48" t="str">
        <f t="array" ref="G656">XLOOKUP($D656,REGOLITOS!$A:$A,REGOLITOS!G:G)</f>
        <v>#N/A</v>
      </c>
      <c r="H656" s="48" t="str">
        <f t="array" ref="H656">XLOOKUP($D656,REGOLITOS!$A:$A,REGOLITOS!H:H)</f>
        <v>#N/A</v>
      </c>
      <c r="I656" s="48" t="str">
        <f t="array" ref="I656">XLOOKUP($D656,REGOLITOS!$A:$A,REGOLITOS!I:I)</f>
        <v>#N/A</v>
      </c>
      <c r="J656" s="48" t="str">
        <f t="array" ref="J656">XLOOKUP($D656,REGOLITOS!$A:$A,REGOLITOS!J:J)</f>
        <v>#N/A</v>
      </c>
      <c r="K656" s="48" t="str">
        <f t="array" ref="K656">XLOOKUP($D656,REGOLITOS!$A:$A,REGOLITOS!K:K)</f>
        <v>#N/A</v>
      </c>
      <c r="L656" s="76"/>
      <c r="M656" s="5" t="s">
        <v>1080</v>
      </c>
      <c r="N656" s="5" t="s">
        <v>1080</v>
      </c>
      <c r="O656" s="5" t="s">
        <v>1080</v>
      </c>
      <c r="P656" s="5" t="s">
        <v>1080</v>
      </c>
      <c r="Q656" s="5" t="s">
        <v>1080</v>
      </c>
      <c r="X656" s="71">
        <f t="shared" si="5"/>
        <v>0</v>
      </c>
      <c r="Y656" s="5" t="b">
        <v>0</v>
      </c>
    </row>
    <row r="657">
      <c r="B657" s="5" t="str">
        <f t="array" ref="B657">XLOOKUP(A657, CURSOS!A:A, CURSOS!B:B)</f>
        <v>#N/A</v>
      </c>
      <c r="C657" s="75" t="str">
        <f t="array" ref="C657">XLOOKUP(A657, CURSOS!A:A, CURSOS!C:C)</f>
        <v>#N/A</v>
      </c>
      <c r="D657" s="70" t="e">
        <v>#N/A</v>
      </c>
      <c r="E657" s="48"/>
      <c r="F657" s="48" t="str">
        <f t="array" ref="F657">XLOOKUP($D657,REGOLITOS!$A:$A,REGOLITOS!F:F)</f>
        <v>#N/A</v>
      </c>
      <c r="G657" s="48" t="str">
        <f t="array" ref="G657">XLOOKUP($D657,REGOLITOS!$A:$A,REGOLITOS!G:G)</f>
        <v>#N/A</v>
      </c>
      <c r="H657" s="48" t="str">
        <f t="array" ref="H657">XLOOKUP($D657,REGOLITOS!$A:$A,REGOLITOS!H:H)</f>
        <v>#N/A</v>
      </c>
      <c r="I657" s="48" t="str">
        <f t="array" ref="I657">XLOOKUP($D657,REGOLITOS!$A:$A,REGOLITOS!I:I)</f>
        <v>#N/A</v>
      </c>
      <c r="J657" s="48" t="str">
        <f t="array" ref="J657">XLOOKUP($D657,REGOLITOS!$A:$A,REGOLITOS!J:J)</f>
        <v>#N/A</v>
      </c>
      <c r="K657" s="48" t="str">
        <f t="array" ref="K657">XLOOKUP($D657,REGOLITOS!$A:$A,REGOLITOS!K:K)</f>
        <v>#N/A</v>
      </c>
      <c r="L657" s="76"/>
      <c r="M657" s="5" t="s">
        <v>1080</v>
      </c>
      <c r="N657" s="5" t="s">
        <v>1080</v>
      </c>
      <c r="O657" s="5" t="s">
        <v>1080</v>
      </c>
      <c r="P657" s="5" t="s">
        <v>1080</v>
      </c>
      <c r="Q657" s="5" t="s">
        <v>1080</v>
      </c>
      <c r="X657" s="71">
        <f t="shared" si="5"/>
        <v>0</v>
      </c>
      <c r="Y657" s="5" t="b">
        <v>0</v>
      </c>
    </row>
    <row r="658">
      <c r="B658" s="5" t="str">
        <f t="array" ref="B658">XLOOKUP(A658, CURSOS!A:A, CURSOS!B:B)</f>
        <v>#N/A</v>
      </c>
      <c r="C658" s="75" t="str">
        <f t="array" ref="C658">XLOOKUP(A658, CURSOS!A:A, CURSOS!C:C)</f>
        <v>#N/A</v>
      </c>
      <c r="D658" s="70" t="e">
        <v>#N/A</v>
      </c>
      <c r="E658" s="48"/>
      <c r="F658" s="48" t="str">
        <f t="array" ref="F658">XLOOKUP($D658,REGOLITOS!$A:$A,REGOLITOS!F:F)</f>
        <v>#N/A</v>
      </c>
      <c r="G658" s="48" t="str">
        <f t="array" ref="G658">XLOOKUP($D658,REGOLITOS!$A:$A,REGOLITOS!G:G)</f>
        <v>#N/A</v>
      </c>
      <c r="H658" s="48" t="str">
        <f t="array" ref="H658">XLOOKUP($D658,REGOLITOS!$A:$A,REGOLITOS!H:H)</f>
        <v>#N/A</v>
      </c>
      <c r="I658" s="48" t="str">
        <f t="array" ref="I658">XLOOKUP($D658,REGOLITOS!$A:$A,REGOLITOS!I:I)</f>
        <v>#N/A</v>
      </c>
      <c r="J658" s="48" t="str">
        <f t="array" ref="J658">XLOOKUP($D658,REGOLITOS!$A:$A,REGOLITOS!J:J)</f>
        <v>#N/A</v>
      </c>
      <c r="K658" s="48" t="str">
        <f t="array" ref="K658">XLOOKUP($D658,REGOLITOS!$A:$A,REGOLITOS!K:K)</f>
        <v>#N/A</v>
      </c>
      <c r="L658" s="76"/>
      <c r="M658" s="5" t="s">
        <v>1080</v>
      </c>
      <c r="N658" s="5" t="s">
        <v>1080</v>
      </c>
      <c r="O658" s="5" t="s">
        <v>1080</v>
      </c>
      <c r="P658" s="5" t="s">
        <v>1080</v>
      </c>
      <c r="Q658" s="5" t="s">
        <v>1080</v>
      </c>
      <c r="X658" s="71">
        <f t="shared" si="5"/>
        <v>0</v>
      </c>
      <c r="Y658" s="5" t="b">
        <v>0</v>
      </c>
    </row>
    <row r="659">
      <c r="B659" s="5" t="str">
        <f t="array" ref="B659">XLOOKUP(A659, CURSOS!A:A, CURSOS!B:B)</f>
        <v>#N/A</v>
      </c>
      <c r="C659" s="75" t="str">
        <f t="array" ref="C659">XLOOKUP(A659, CURSOS!A:A, CURSOS!C:C)</f>
        <v>#N/A</v>
      </c>
      <c r="D659" s="70" t="e">
        <v>#N/A</v>
      </c>
      <c r="E659" s="48"/>
      <c r="F659" s="48" t="str">
        <f t="array" ref="F659">XLOOKUP($D659,REGOLITOS!$A:$A,REGOLITOS!F:F)</f>
        <v>#N/A</v>
      </c>
      <c r="G659" s="48" t="str">
        <f t="array" ref="G659">XLOOKUP($D659,REGOLITOS!$A:$A,REGOLITOS!G:G)</f>
        <v>#N/A</v>
      </c>
      <c r="H659" s="48" t="str">
        <f t="array" ref="H659">XLOOKUP($D659,REGOLITOS!$A:$A,REGOLITOS!H:H)</f>
        <v>#N/A</v>
      </c>
      <c r="I659" s="48" t="str">
        <f t="array" ref="I659">XLOOKUP($D659,REGOLITOS!$A:$A,REGOLITOS!I:I)</f>
        <v>#N/A</v>
      </c>
      <c r="J659" s="48" t="str">
        <f t="array" ref="J659">XLOOKUP($D659,REGOLITOS!$A:$A,REGOLITOS!J:J)</f>
        <v>#N/A</v>
      </c>
      <c r="K659" s="48" t="str">
        <f t="array" ref="K659">XLOOKUP($D659,REGOLITOS!$A:$A,REGOLITOS!K:K)</f>
        <v>#N/A</v>
      </c>
      <c r="L659" s="76"/>
      <c r="M659" s="5" t="s">
        <v>1080</v>
      </c>
      <c r="N659" s="5" t="s">
        <v>1080</v>
      </c>
      <c r="O659" s="5" t="s">
        <v>1080</v>
      </c>
      <c r="P659" s="5" t="s">
        <v>1080</v>
      </c>
      <c r="Q659" s="5" t="s">
        <v>1080</v>
      </c>
      <c r="X659" s="71">
        <f t="shared" si="5"/>
        <v>0</v>
      </c>
      <c r="Y659" s="5" t="b">
        <v>0</v>
      </c>
    </row>
    <row r="660">
      <c r="B660" s="5" t="str">
        <f t="array" ref="B660">XLOOKUP(A660, CURSOS!A:A, CURSOS!B:B)</f>
        <v>#N/A</v>
      </c>
      <c r="C660" s="75" t="str">
        <f t="array" ref="C660">XLOOKUP(A660, CURSOS!A:A, CURSOS!C:C)</f>
        <v>#N/A</v>
      </c>
      <c r="D660" s="70" t="e">
        <v>#N/A</v>
      </c>
      <c r="E660" s="48"/>
      <c r="F660" s="48" t="str">
        <f t="array" ref="F660">XLOOKUP($D660,REGOLITOS!$A:$A,REGOLITOS!F:F)</f>
        <v>#N/A</v>
      </c>
      <c r="G660" s="48" t="str">
        <f t="array" ref="G660">XLOOKUP($D660,REGOLITOS!$A:$A,REGOLITOS!G:G)</f>
        <v>#N/A</v>
      </c>
      <c r="H660" s="48" t="str">
        <f t="array" ref="H660">XLOOKUP($D660,REGOLITOS!$A:$A,REGOLITOS!H:H)</f>
        <v>#N/A</v>
      </c>
      <c r="I660" s="48" t="str">
        <f t="array" ref="I660">XLOOKUP($D660,REGOLITOS!$A:$A,REGOLITOS!I:I)</f>
        <v>#N/A</v>
      </c>
      <c r="J660" s="48" t="str">
        <f t="array" ref="J660">XLOOKUP($D660,REGOLITOS!$A:$A,REGOLITOS!J:J)</f>
        <v>#N/A</v>
      </c>
      <c r="K660" s="48" t="str">
        <f t="array" ref="K660">XLOOKUP($D660,REGOLITOS!$A:$A,REGOLITOS!K:K)</f>
        <v>#N/A</v>
      </c>
      <c r="L660" s="76"/>
      <c r="M660" s="5" t="s">
        <v>1080</v>
      </c>
      <c r="N660" s="5" t="s">
        <v>1080</v>
      </c>
      <c r="O660" s="5" t="s">
        <v>1080</v>
      </c>
      <c r="P660" s="5" t="s">
        <v>1080</v>
      </c>
      <c r="Q660" s="5" t="s">
        <v>1080</v>
      </c>
      <c r="X660" s="71">
        <f t="shared" si="5"/>
        <v>0</v>
      </c>
      <c r="Y660" s="5" t="b">
        <v>0</v>
      </c>
    </row>
    <row r="661">
      <c r="B661" s="5" t="str">
        <f t="array" ref="B661">XLOOKUP(A661, CURSOS!A:A, CURSOS!B:B)</f>
        <v>#N/A</v>
      </c>
      <c r="C661" s="75" t="str">
        <f t="array" ref="C661">XLOOKUP(A661, CURSOS!A:A, CURSOS!C:C)</f>
        <v>#N/A</v>
      </c>
      <c r="D661" s="70" t="e">
        <v>#N/A</v>
      </c>
      <c r="E661" s="48"/>
      <c r="F661" s="48" t="str">
        <f t="array" ref="F661">XLOOKUP($D661,REGOLITOS!$A:$A,REGOLITOS!F:F)</f>
        <v>#N/A</v>
      </c>
      <c r="G661" s="48" t="str">
        <f t="array" ref="G661">XLOOKUP($D661,REGOLITOS!$A:$A,REGOLITOS!G:G)</f>
        <v>#N/A</v>
      </c>
      <c r="H661" s="48" t="str">
        <f t="array" ref="H661">XLOOKUP($D661,REGOLITOS!$A:$A,REGOLITOS!H:H)</f>
        <v>#N/A</v>
      </c>
      <c r="I661" s="48" t="str">
        <f t="array" ref="I661">XLOOKUP($D661,REGOLITOS!$A:$A,REGOLITOS!I:I)</f>
        <v>#N/A</v>
      </c>
      <c r="J661" s="48" t="str">
        <f t="array" ref="J661">XLOOKUP($D661,REGOLITOS!$A:$A,REGOLITOS!J:J)</f>
        <v>#N/A</v>
      </c>
      <c r="K661" s="48" t="str">
        <f t="array" ref="K661">XLOOKUP($D661,REGOLITOS!$A:$A,REGOLITOS!K:K)</f>
        <v>#N/A</v>
      </c>
      <c r="L661" s="76"/>
      <c r="M661" s="5" t="s">
        <v>1080</v>
      </c>
      <c r="N661" s="5" t="s">
        <v>1080</v>
      </c>
      <c r="O661" s="5" t="s">
        <v>1080</v>
      </c>
      <c r="P661" s="5" t="s">
        <v>1080</v>
      </c>
      <c r="Q661" s="5" t="s">
        <v>1080</v>
      </c>
      <c r="X661" s="71">
        <f t="shared" si="5"/>
        <v>0</v>
      </c>
      <c r="Y661" s="5" t="b">
        <v>0</v>
      </c>
    </row>
    <row r="662">
      <c r="B662" s="5" t="str">
        <f t="array" ref="B662">XLOOKUP(A662, CURSOS!A:A, CURSOS!B:B)</f>
        <v>#N/A</v>
      </c>
      <c r="C662" s="75" t="str">
        <f t="array" ref="C662">XLOOKUP(A662, CURSOS!A:A, CURSOS!C:C)</f>
        <v>#N/A</v>
      </c>
      <c r="D662" s="70" t="e">
        <v>#N/A</v>
      </c>
      <c r="E662" s="48"/>
      <c r="F662" s="48" t="str">
        <f t="array" ref="F662">XLOOKUP($D662,REGOLITOS!$A:$A,REGOLITOS!F:F)</f>
        <v>#N/A</v>
      </c>
      <c r="G662" s="48" t="str">
        <f t="array" ref="G662">XLOOKUP($D662,REGOLITOS!$A:$A,REGOLITOS!G:G)</f>
        <v>#N/A</v>
      </c>
      <c r="H662" s="48" t="str">
        <f t="array" ref="H662">XLOOKUP($D662,REGOLITOS!$A:$A,REGOLITOS!H:H)</f>
        <v>#N/A</v>
      </c>
      <c r="I662" s="48" t="str">
        <f t="array" ref="I662">XLOOKUP($D662,REGOLITOS!$A:$A,REGOLITOS!I:I)</f>
        <v>#N/A</v>
      </c>
      <c r="J662" s="48" t="str">
        <f t="array" ref="J662">XLOOKUP($D662,REGOLITOS!$A:$A,REGOLITOS!J:J)</f>
        <v>#N/A</v>
      </c>
      <c r="K662" s="48" t="str">
        <f t="array" ref="K662">XLOOKUP($D662,REGOLITOS!$A:$A,REGOLITOS!K:K)</f>
        <v>#N/A</v>
      </c>
      <c r="L662" s="76"/>
      <c r="M662" s="5" t="s">
        <v>1080</v>
      </c>
      <c r="N662" s="5" t="s">
        <v>1080</v>
      </c>
      <c r="O662" s="5" t="s">
        <v>1080</v>
      </c>
      <c r="P662" s="5" t="s">
        <v>1080</v>
      </c>
      <c r="Q662" s="5" t="s">
        <v>1080</v>
      </c>
      <c r="X662" s="71">
        <f t="shared" si="5"/>
        <v>0</v>
      </c>
      <c r="Y662" s="5" t="b">
        <v>0</v>
      </c>
    </row>
    <row r="663">
      <c r="B663" s="5" t="str">
        <f t="array" ref="B663">XLOOKUP(A663, CURSOS!A:A, CURSOS!B:B)</f>
        <v>#N/A</v>
      </c>
      <c r="C663" s="75" t="str">
        <f t="array" ref="C663">XLOOKUP(A663, CURSOS!A:A, CURSOS!C:C)</f>
        <v>#N/A</v>
      </c>
      <c r="D663" s="70" t="e">
        <v>#N/A</v>
      </c>
      <c r="E663" s="48"/>
      <c r="F663" s="48" t="str">
        <f t="array" ref="F663">XLOOKUP($D663,REGOLITOS!$A:$A,REGOLITOS!F:F)</f>
        <v>#N/A</v>
      </c>
      <c r="G663" s="48" t="str">
        <f t="array" ref="G663">XLOOKUP($D663,REGOLITOS!$A:$A,REGOLITOS!G:G)</f>
        <v>#N/A</v>
      </c>
      <c r="H663" s="48" t="str">
        <f t="array" ref="H663">XLOOKUP($D663,REGOLITOS!$A:$A,REGOLITOS!H:H)</f>
        <v>#N/A</v>
      </c>
      <c r="I663" s="48" t="str">
        <f t="array" ref="I663">XLOOKUP($D663,REGOLITOS!$A:$A,REGOLITOS!I:I)</f>
        <v>#N/A</v>
      </c>
      <c r="J663" s="48" t="str">
        <f t="array" ref="J663">XLOOKUP($D663,REGOLITOS!$A:$A,REGOLITOS!J:J)</f>
        <v>#N/A</v>
      </c>
      <c r="K663" s="48" t="str">
        <f t="array" ref="K663">XLOOKUP($D663,REGOLITOS!$A:$A,REGOLITOS!K:K)</f>
        <v>#N/A</v>
      </c>
      <c r="L663" s="76"/>
      <c r="M663" s="5" t="s">
        <v>1080</v>
      </c>
      <c r="N663" s="5" t="s">
        <v>1080</v>
      </c>
      <c r="O663" s="5" t="s">
        <v>1080</v>
      </c>
      <c r="P663" s="5" t="s">
        <v>1080</v>
      </c>
      <c r="Q663" s="5" t="s">
        <v>1080</v>
      </c>
      <c r="X663" s="71">
        <f t="shared" si="5"/>
        <v>0</v>
      </c>
      <c r="Y663" s="5" t="b">
        <v>0</v>
      </c>
    </row>
    <row r="664">
      <c r="B664" s="5" t="str">
        <f t="array" ref="B664">XLOOKUP(A664, CURSOS!A:A, CURSOS!B:B)</f>
        <v>#N/A</v>
      </c>
      <c r="C664" s="75" t="str">
        <f t="array" ref="C664">XLOOKUP(A664, CURSOS!A:A, CURSOS!C:C)</f>
        <v>#N/A</v>
      </c>
      <c r="D664" s="70" t="e">
        <v>#N/A</v>
      </c>
      <c r="E664" s="48"/>
      <c r="F664" s="48" t="str">
        <f t="array" ref="F664">XLOOKUP($D664,REGOLITOS!$A:$A,REGOLITOS!F:F)</f>
        <v>#N/A</v>
      </c>
      <c r="G664" s="48" t="str">
        <f t="array" ref="G664">XLOOKUP($D664,REGOLITOS!$A:$A,REGOLITOS!G:G)</f>
        <v>#N/A</v>
      </c>
      <c r="H664" s="48" t="str">
        <f t="array" ref="H664">XLOOKUP($D664,REGOLITOS!$A:$A,REGOLITOS!H:H)</f>
        <v>#N/A</v>
      </c>
      <c r="I664" s="48" t="str">
        <f t="array" ref="I664">XLOOKUP($D664,REGOLITOS!$A:$A,REGOLITOS!I:I)</f>
        <v>#N/A</v>
      </c>
      <c r="J664" s="48" t="str">
        <f t="array" ref="J664">XLOOKUP($D664,REGOLITOS!$A:$A,REGOLITOS!J:J)</f>
        <v>#N/A</v>
      </c>
      <c r="K664" s="48" t="str">
        <f t="array" ref="K664">XLOOKUP($D664,REGOLITOS!$A:$A,REGOLITOS!K:K)</f>
        <v>#N/A</v>
      </c>
      <c r="L664" s="76"/>
      <c r="M664" s="5" t="s">
        <v>1080</v>
      </c>
      <c r="N664" s="5" t="s">
        <v>1080</v>
      </c>
      <c r="O664" s="5" t="s">
        <v>1080</v>
      </c>
      <c r="P664" s="5" t="s">
        <v>1080</v>
      </c>
      <c r="Q664" s="5" t="s">
        <v>1080</v>
      </c>
      <c r="X664" s="71">
        <f t="shared" si="5"/>
        <v>0</v>
      </c>
      <c r="Y664" s="5" t="b">
        <v>0</v>
      </c>
    </row>
    <row r="665">
      <c r="B665" s="5" t="str">
        <f t="array" ref="B665">XLOOKUP(A665, CURSOS!A:A, CURSOS!B:B)</f>
        <v>#N/A</v>
      </c>
      <c r="C665" s="75" t="str">
        <f t="array" ref="C665">XLOOKUP(A665, CURSOS!A:A, CURSOS!C:C)</f>
        <v>#N/A</v>
      </c>
      <c r="D665" s="70" t="e">
        <v>#N/A</v>
      </c>
      <c r="E665" s="48"/>
      <c r="F665" s="48" t="str">
        <f t="array" ref="F665">XLOOKUP($D665,REGOLITOS!$A:$A,REGOLITOS!F:F)</f>
        <v>#N/A</v>
      </c>
      <c r="G665" s="48" t="str">
        <f t="array" ref="G665">XLOOKUP($D665,REGOLITOS!$A:$A,REGOLITOS!G:G)</f>
        <v>#N/A</v>
      </c>
      <c r="H665" s="48" t="str">
        <f t="array" ref="H665">XLOOKUP($D665,REGOLITOS!$A:$A,REGOLITOS!H:H)</f>
        <v>#N/A</v>
      </c>
      <c r="I665" s="48" t="str">
        <f t="array" ref="I665">XLOOKUP($D665,REGOLITOS!$A:$A,REGOLITOS!I:I)</f>
        <v>#N/A</v>
      </c>
      <c r="J665" s="48" t="str">
        <f t="array" ref="J665">XLOOKUP($D665,REGOLITOS!$A:$A,REGOLITOS!J:J)</f>
        <v>#N/A</v>
      </c>
      <c r="K665" s="48" t="str">
        <f t="array" ref="K665">XLOOKUP($D665,REGOLITOS!$A:$A,REGOLITOS!K:K)</f>
        <v>#N/A</v>
      </c>
      <c r="L665" s="76"/>
      <c r="M665" s="5" t="s">
        <v>1080</v>
      </c>
      <c r="N665" s="5" t="s">
        <v>1080</v>
      </c>
      <c r="O665" s="5" t="s">
        <v>1080</v>
      </c>
      <c r="P665" s="5" t="s">
        <v>1080</v>
      </c>
      <c r="Q665" s="5" t="s">
        <v>1080</v>
      </c>
      <c r="X665" s="71">
        <f t="shared" si="5"/>
        <v>0</v>
      </c>
      <c r="Y665" s="5" t="b">
        <v>0</v>
      </c>
    </row>
    <row r="666">
      <c r="B666" s="5" t="str">
        <f t="array" ref="B666">XLOOKUP(A666, CURSOS!A:A, CURSOS!B:B)</f>
        <v>#N/A</v>
      </c>
      <c r="C666" s="75" t="str">
        <f t="array" ref="C666">XLOOKUP(A666, CURSOS!A:A, CURSOS!C:C)</f>
        <v>#N/A</v>
      </c>
      <c r="D666" s="70" t="e">
        <v>#N/A</v>
      </c>
      <c r="E666" s="48"/>
      <c r="F666" s="48" t="str">
        <f t="array" ref="F666">XLOOKUP($D666,REGOLITOS!$A:$A,REGOLITOS!F:F)</f>
        <v>#N/A</v>
      </c>
      <c r="G666" s="48" t="str">
        <f t="array" ref="G666">XLOOKUP($D666,REGOLITOS!$A:$A,REGOLITOS!G:G)</f>
        <v>#N/A</v>
      </c>
      <c r="H666" s="48" t="str">
        <f t="array" ref="H666">XLOOKUP($D666,REGOLITOS!$A:$A,REGOLITOS!H:H)</f>
        <v>#N/A</v>
      </c>
      <c r="I666" s="48" t="str">
        <f t="array" ref="I666">XLOOKUP($D666,REGOLITOS!$A:$A,REGOLITOS!I:I)</f>
        <v>#N/A</v>
      </c>
      <c r="J666" s="48" t="str">
        <f t="array" ref="J666">XLOOKUP($D666,REGOLITOS!$A:$A,REGOLITOS!J:J)</f>
        <v>#N/A</v>
      </c>
      <c r="K666" s="48" t="str">
        <f t="array" ref="K666">XLOOKUP($D666,REGOLITOS!$A:$A,REGOLITOS!K:K)</f>
        <v>#N/A</v>
      </c>
      <c r="L666" s="76"/>
      <c r="M666" s="5" t="s">
        <v>1080</v>
      </c>
      <c r="N666" s="5" t="s">
        <v>1080</v>
      </c>
      <c r="O666" s="5" t="s">
        <v>1080</v>
      </c>
      <c r="P666" s="5" t="s">
        <v>1080</v>
      </c>
      <c r="Q666" s="5" t="s">
        <v>1080</v>
      </c>
      <c r="X666" s="71">
        <f t="shared" si="5"/>
        <v>0</v>
      </c>
      <c r="Y666" s="5" t="b">
        <v>0</v>
      </c>
    </row>
    <row r="667">
      <c r="B667" s="5" t="str">
        <f t="array" ref="B667">XLOOKUP(A667, CURSOS!A:A, CURSOS!B:B)</f>
        <v>#N/A</v>
      </c>
      <c r="C667" s="75" t="str">
        <f t="array" ref="C667">XLOOKUP(A667, CURSOS!A:A, CURSOS!C:C)</f>
        <v>#N/A</v>
      </c>
      <c r="D667" s="70" t="e">
        <v>#N/A</v>
      </c>
      <c r="E667" s="48"/>
      <c r="F667" s="48" t="str">
        <f t="array" ref="F667">XLOOKUP($D667,REGOLITOS!$A:$A,REGOLITOS!F:F)</f>
        <v>#N/A</v>
      </c>
      <c r="G667" s="48" t="str">
        <f t="array" ref="G667">XLOOKUP($D667,REGOLITOS!$A:$A,REGOLITOS!G:G)</f>
        <v>#N/A</v>
      </c>
      <c r="H667" s="48" t="str">
        <f t="array" ref="H667">XLOOKUP($D667,REGOLITOS!$A:$A,REGOLITOS!H:H)</f>
        <v>#N/A</v>
      </c>
      <c r="I667" s="48" t="str">
        <f t="array" ref="I667">XLOOKUP($D667,REGOLITOS!$A:$A,REGOLITOS!I:I)</f>
        <v>#N/A</v>
      </c>
      <c r="J667" s="48" t="str">
        <f t="array" ref="J667">XLOOKUP($D667,REGOLITOS!$A:$A,REGOLITOS!J:J)</f>
        <v>#N/A</v>
      </c>
      <c r="K667" s="48" t="str">
        <f t="array" ref="K667">XLOOKUP($D667,REGOLITOS!$A:$A,REGOLITOS!K:K)</f>
        <v>#N/A</v>
      </c>
      <c r="L667" s="76"/>
      <c r="M667" s="5" t="s">
        <v>1080</v>
      </c>
      <c r="N667" s="5" t="s">
        <v>1080</v>
      </c>
      <c r="O667" s="5" t="s">
        <v>1080</v>
      </c>
      <c r="P667" s="5" t="s">
        <v>1080</v>
      </c>
      <c r="Q667" s="5" t="s">
        <v>1080</v>
      </c>
      <c r="X667" s="71">
        <f t="shared" si="5"/>
        <v>0</v>
      </c>
      <c r="Y667" s="5" t="b">
        <v>0</v>
      </c>
    </row>
    <row r="668">
      <c r="B668" s="5" t="str">
        <f t="array" ref="B668">XLOOKUP(A668, CURSOS!A:A, CURSOS!B:B)</f>
        <v>#N/A</v>
      </c>
      <c r="C668" s="75" t="str">
        <f t="array" ref="C668">XLOOKUP(A668, CURSOS!A:A, CURSOS!C:C)</f>
        <v>#N/A</v>
      </c>
      <c r="D668" s="70" t="e">
        <v>#N/A</v>
      </c>
      <c r="E668" s="48"/>
      <c r="F668" s="48" t="str">
        <f t="array" ref="F668">XLOOKUP($D668,REGOLITOS!$A:$A,REGOLITOS!F:F)</f>
        <v>#N/A</v>
      </c>
      <c r="G668" s="48" t="str">
        <f t="array" ref="G668">XLOOKUP($D668,REGOLITOS!$A:$A,REGOLITOS!G:G)</f>
        <v>#N/A</v>
      </c>
      <c r="H668" s="48" t="str">
        <f t="array" ref="H668">XLOOKUP($D668,REGOLITOS!$A:$A,REGOLITOS!H:H)</f>
        <v>#N/A</v>
      </c>
      <c r="I668" s="48" t="str">
        <f t="array" ref="I668">XLOOKUP($D668,REGOLITOS!$A:$A,REGOLITOS!I:I)</f>
        <v>#N/A</v>
      </c>
      <c r="J668" s="48" t="str">
        <f t="array" ref="J668">XLOOKUP($D668,REGOLITOS!$A:$A,REGOLITOS!J:J)</f>
        <v>#N/A</v>
      </c>
      <c r="K668" s="48" t="str">
        <f t="array" ref="K668">XLOOKUP($D668,REGOLITOS!$A:$A,REGOLITOS!K:K)</f>
        <v>#N/A</v>
      </c>
      <c r="L668" s="76"/>
      <c r="M668" s="5" t="s">
        <v>1080</v>
      </c>
      <c r="N668" s="5" t="s">
        <v>1080</v>
      </c>
      <c r="O668" s="5" t="s">
        <v>1080</v>
      </c>
      <c r="P668" s="5" t="s">
        <v>1080</v>
      </c>
      <c r="Q668" s="5" t="s">
        <v>1080</v>
      </c>
      <c r="X668" s="71">
        <f t="shared" si="5"/>
        <v>0</v>
      </c>
      <c r="Y668" s="5" t="b">
        <v>0</v>
      </c>
    </row>
    <row r="669">
      <c r="B669" s="5" t="str">
        <f t="array" ref="B669">XLOOKUP(A669, CURSOS!A:A, CURSOS!B:B)</f>
        <v>#N/A</v>
      </c>
      <c r="C669" s="75" t="str">
        <f t="array" ref="C669">XLOOKUP(A669, CURSOS!A:A, CURSOS!C:C)</f>
        <v>#N/A</v>
      </c>
      <c r="D669" s="70" t="e">
        <v>#N/A</v>
      </c>
      <c r="E669" s="48"/>
      <c r="F669" s="48" t="str">
        <f t="array" ref="F669">XLOOKUP($D669,REGOLITOS!$A:$A,REGOLITOS!F:F)</f>
        <v>#N/A</v>
      </c>
      <c r="G669" s="48" t="str">
        <f t="array" ref="G669">XLOOKUP($D669,REGOLITOS!$A:$A,REGOLITOS!G:G)</f>
        <v>#N/A</v>
      </c>
      <c r="H669" s="48" t="str">
        <f t="array" ref="H669">XLOOKUP($D669,REGOLITOS!$A:$A,REGOLITOS!H:H)</f>
        <v>#N/A</v>
      </c>
      <c r="I669" s="48" t="str">
        <f t="array" ref="I669">XLOOKUP($D669,REGOLITOS!$A:$A,REGOLITOS!I:I)</f>
        <v>#N/A</v>
      </c>
      <c r="J669" s="48" t="str">
        <f t="array" ref="J669">XLOOKUP($D669,REGOLITOS!$A:$A,REGOLITOS!J:J)</f>
        <v>#N/A</v>
      </c>
      <c r="K669" s="48" t="str">
        <f t="array" ref="K669">XLOOKUP($D669,REGOLITOS!$A:$A,REGOLITOS!K:K)</f>
        <v>#N/A</v>
      </c>
      <c r="L669" s="76"/>
      <c r="M669" s="5" t="s">
        <v>1080</v>
      </c>
      <c r="N669" s="5" t="s">
        <v>1080</v>
      </c>
      <c r="O669" s="5" t="s">
        <v>1080</v>
      </c>
      <c r="P669" s="5" t="s">
        <v>1080</v>
      </c>
      <c r="Q669" s="5" t="s">
        <v>1080</v>
      </c>
      <c r="X669" s="71">
        <f t="shared" si="5"/>
        <v>0</v>
      </c>
      <c r="Y669" s="5" t="b">
        <v>0</v>
      </c>
    </row>
    <row r="670">
      <c r="B670" s="5" t="str">
        <f t="array" ref="B670">XLOOKUP(A670, CURSOS!A:A, CURSOS!B:B)</f>
        <v>#N/A</v>
      </c>
      <c r="C670" s="75" t="str">
        <f t="array" ref="C670">XLOOKUP(A670, CURSOS!A:A, CURSOS!C:C)</f>
        <v>#N/A</v>
      </c>
      <c r="D670" s="70" t="e">
        <v>#N/A</v>
      </c>
      <c r="E670" s="48"/>
      <c r="F670" s="48" t="str">
        <f t="array" ref="F670">XLOOKUP($D670,REGOLITOS!$A:$A,REGOLITOS!F:F)</f>
        <v>#N/A</v>
      </c>
      <c r="G670" s="48" t="str">
        <f t="array" ref="G670">XLOOKUP($D670,REGOLITOS!$A:$A,REGOLITOS!G:G)</f>
        <v>#N/A</v>
      </c>
      <c r="H670" s="48" t="str">
        <f t="array" ref="H670">XLOOKUP($D670,REGOLITOS!$A:$A,REGOLITOS!H:H)</f>
        <v>#N/A</v>
      </c>
      <c r="I670" s="48" t="str">
        <f t="array" ref="I670">XLOOKUP($D670,REGOLITOS!$A:$A,REGOLITOS!I:I)</f>
        <v>#N/A</v>
      </c>
      <c r="J670" s="48" t="str">
        <f t="array" ref="J670">XLOOKUP($D670,REGOLITOS!$A:$A,REGOLITOS!J:J)</f>
        <v>#N/A</v>
      </c>
      <c r="K670" s="48" t="str">
        <f t="array" ref="K670">XLOOKUP($D670,REGOLITOS!$A:$A,REGOLITOS!K:K)</f>
        <v>#N/A</v>
      </c>
      <c r="L670" s="76"/>
      <c r="M670" s="5" t="s">
        <v>1080</v>
      </c>
      <c r="N670" s="5" t="s">
        <v>1080</v>
      </c>
      <c r="O670" s="5" t="s">
        <v>1080</v>
      </c>
      <c r="P670" s="5" t="s">
        <v>1080</v>
      </c>
      <c r="Q670" s="5" t="s">
        <v>1080</v>
      </c>
      <c r="X670" s="71">
        <f t="shared" si="5"/>
        <v>0</v>
      </c>
      <c r="Y670" s="5" t="b">
        <v>0</v>
      </c>
    </row>
    <row r="671">
      <c r="B671" s="5" t="str">
        <f t="array" ref="B671">XLOOKUP(A671, CURSOS!A:A, CURSOS!B:B)</f>
        <v>#N/A</v>
      </c>
      <c r="C671" s="75" t="str">
        <f t="array" ref="C671">XLOOKUP(A671, CURSOS!A:A, CURSOS!C:C)</f>
        <v>#N/A</v>
      </c>
      <c r="D671" s="70" t="e">
        <v>#N/A</v>
      </c>
      <c r="E671" s="48"/>
      <c r="F671" s="48" t="str">
        <f t="array" ref="F671">XLOOKUP($D671,REGOLITOS!$A:$A,REGOLITOS!F:F)</f>
        <v>#N/A</v>
      </c>
      <c r="G671" s="48" t="str">
        <f t="array" ref="G671">XLOOKUP($D671,REGOLITOS!$A:$A,REGOLITOS!G:G)</f>
        <v>#N/A</v>
      </c>
      <c r="H671" s="48" t="str">
        <f t="array" ref="H671">XLOOKUP($D671,REGOLITOS!$A:$A,REGOLITOS!H:H)</f>
        <v>#N/A</v>
      </c>
      <c r="I671" s="48" t="str">
        <f t="array" ref="I671">XLOOKUP($D671,REGOLITOS!$A:$A,REGOLITOS!I:I)</f>
        <v>#N/A</v>
      </c>
      <c r="J671" s="48" t="str">
        <f t="array" ref="J671">XLOOKUP($D671,REGOLITOS!$A:$A,REGOLITOS!J:J)</f>
        <v>#N/A</v>
      </c>
      <c r="K671" s="48" t="str">
        <f t="array" ref="K671">XLOOKUP($D671,REGOLITOS!$A:$A,REGOLITOS!K:K)</f>
        <v>#N/A</v>
      </c>
      <c r="L671" s="76"/>
      <c r="M671" s="5" t="s">
        <v>1080</v>
      </c>
      <c r="N671" s="5" t="s">
        <v>1080</v>
      </c>
      <c r="O671" s="5" t="s">
        <v>1080</v>
      </c>
      <c r="P671" s="5" t="s">
        <v>1080</v>
      </c>
      <c r="Q671" s="5" t="s">
        <v>1080</v>
      </c>
      <c r="X671" s="71">
        <f t="shared" si="5"/>
        <v>0</v>
      </c>
      <c r="Y671" s="5" t="b">
        <v>0</v>
      </c>
    </row>
    <row r="672">
      <c r="B672" s="5" t="str">
        <f t="array" ref="B672">XLOOKUP(A672, CURSOS!A:A, CURSOS!B:B)</f>
        <v>#N/A</v>
      </c>
      <c r="C672" s="75" t="str">
        <f t="array" ref="C672">XLOOKUP(A672, CURSOS!A:A, CURSOS!C:C)</f>
        <v>#N/A</v>
      </c>
      <c r="D672" s="70" t="e">
        <v>#N/A</v>
      </c>
      <c r="E672" s="48"/>
      <c r="F672" s="48" t="str">
        <f t="array" ref="F672">XLOOKUP($D672,REGOLITOS!$A:$A,REGOLITOS!F:F)</f>
        <v>#N/A</v>
      </c>
      <c r="G672" s="48" t="str">
        <f t="array" ref="G672">XLOOKUP($D672,REGOLITOS!$A:$A,REGOLITOS!G:G)</f>
        <v>#N/A</v>
      </c>
      <c r="H672" s="48" t="str">
        <f t="array" ref="H672">XLOOKUP($D672,REGOLITOS!$A:$A,REGOLITOS!H:H)</f>
        <v>#N/A</v>
      </c>
      <c r="I672" s="48" t="str">
        <f t="array" ref="I672">XLOOKUP($D672,REGOLITOS!$A:$A,REGOLITOS!I:I)</f>
        <v>#N/A</v>
      </c>
      <c r="J672" s="48" t="str">
        <f t="array" ref="J672">XLOOKUP($D672,REGOLITOS!$A:$A,REGOLITOS!J:J)</f>
        <v>#N/A</v>
      </c>
      <c r="K672" s="48" t="str">
        <f t="array" ref="K672">XLOOKUP($D672,REGOLITOS!$A:$A,REGOLITOS!K:K)</f>
        <v>#N/A</v>
      </c>
      <c r="L672" s="76"/>
      <c r="M672" s="5" t="s">
        <v>1080</v>
      </c>
      <c r="N672" s="5" t="s">
        <v>1080</v>
      </c>
      <c r="O672" s="5" t="s">
        <v>1080</v>
      </c>
      <c r="P672" s="5" t="s">
        <v>1080</v>
      </c>
      <c r="Q672" s="5" t="s">
        <v>1080</v>
      </c>
      <c r="X672" s="71">
        <f t="shared" si="5"/>
        <v>0</v>
      </c>
      <c r="Y672" s="5" t="b">
        <v>0</v>
      </c>
    </row>
    <row r="673">
      <c r="B673" s="5" t="str">
        <f t="array" ref="B673">XLOOKUP(A673, CURSOS!A:A, CURSOS!B:B)</f>
        <v>#N/A</v>
      </c>
      <c r="C673" s="75" t="str">
        <f t="array" ref="C673">XLOOKUP(A673, CURSOS!A:A, CURSOS!C:C)</f>
        <v>#N/A</v>
      </c>
      <c r="D673" s="70" t="e">
        <v>#N/A</v>
      </c>
      <c r="E673" s="48"/>
      <c r="F673" s="48" t="str">
        <f t="array" ref="F673">XLOOKUP($D673,REGOLITOS!$A:$A,REGOLITOS!F:F)</f>
        <v>#N/A</v>
      </c>
      <c r="G673" s="48" t="str">
        <f t="array" ref="G673">XLOOKUP($D673,REGOLITOS!$A:$A,REGOLITOS!G:G)</f>
        <v>#N/A</v>
      </c>
      <c r="H673" s="48" t="str">
        <f t="array" ref="H673">XLOOKUP($D673,REGOLITOS!$A:$A,REGOLITOS!H:H)</f>
        <v>#N/A</v>
      </c>
      <c r="I673" s="48" t="str">
        <f t="array" ref="I673">XLOOKUP($D673,REGOLITOS!$A:$A,REGOLITOS!I:I)</f>
        <v>#N/A</v>
      </c>
      <c r="J673" s="48" t="str">
        <f t="array" ref="J673">XLOOKUP($D673,REGOLITOS!$A:$A,REGOLITOS!J:J)</f>
        <v>#N/A</v>
      </c>
      <c r="K673" s="48" t="str">
        <f t="array" ref="K673">XLOOKUP($D673,REGOLITOS!$A:$A,REGOLITOS!K:K)</f>
        <v>#N/A</v>
      </c>
      <c r="L673" s="76"/>
      <c r="M673" s="5" t="s">
        <v>1080</v>
      </c>
      <c r="N673" s="5" t="s">
        <v>1080</v>
      </c>
      <c r="O673" s="5" t="s">
        <v>1080</v>
      </c>
      <c r="P673" s="5" t="s">
        <v>1080</v>
      </c>
      <c r="Q673" s="5" t="s">
        <v>1080</v>
      </c>
      <c r="X673" s="71">
        <f t="shared" si="5"/>
        <v>0</v>
      </c>
      <c r="Y673" s="5" t="b">
        <v>0</v>
      </c>
    </row>
    <row r="674">
      <c r="B674" s="5" t="str">
        <f t="array" ref="B674">XLOOKUP(A674, CURSOS!A:A, CURSOS!B:B)</f>
        <v>#N/A</v>
      </c>
      <c r="C674" s="75" t="str">
        <f t="array" ref="C674">XLOOKUP(A674, CURSOS!A:A, CURSOS!C:C)</f>
        <v>#N/A</v>
      </c>
      <c r="D674" s="70" t="e">
        <v>#N/A</v>
      </c>
      <c r="E674" s="48"/>
      <c r="F674" s="48" t="str">
        <f t="array" ref="F674">XLOOKUP($D674,REGOLITOS!$A:$A,REGOLITOS!F:F)</f>
        <v>#N/A</v>
      </c>
      <c r="G674" s="48" t="str">
        <f t="array" ref="G674">XLOOKUP($D674,REGOLITOS!$A:$A,REGOLITOS!G:G)</f>
        <v>#N/A</v>
      </c>
      <c r="H674" s="48" t="str">
        <f t="array" ref="H674">XLOOKUP($D674,REGOLITOS!$A:$A,REGOLITOS!H:H)</f>
        <v>#N/A</v>
      </c>
      <c r="I674" s="48" t="str">
        <f t="array" ref="I674">XLOOKUP($D674,REGOLITOS!$A:$A,REGOLITOS!I:I)</f>
        <v>#N/A</v>
      </c>
      <c r="J674" s="48" t="str">
        <f t="array" ref="J674">XLOOKUP($D674,REGOLITOS!$A:$A,REGOLITOS!J:J)</f>
        <v>#N/A</v>
      </c>
      <c r="K674" s="48" t="str">
        <f t="array" ref="K674">XLOOKUP($D674,REGOLITOS!$A:$A,REGOLITOS!K:K)</f>
        <v>#N/A</v>
      </c>
      <c r="L674" s="76"/>
      <c r="M674" s="5" t="s">
        <v>1080</v>
      </c>
      <c r="N674" s="5" t="s">
        <v>1080</v>
      </c>
      <c r="O674" s="5" t="s">
        <v>1080</v>
      </c>
      <c r="P674" s="5" t="s">
        <v>1080</v>
      </c>
      <c r="Q674" s="5" t="s">
        <v>1080</v>
      </c>
      <c r="X674" s="71">
        <f t="shared" si="5"/>
        <v>0</v>
      </c>
      <c r="Y674" s="5" t="b">
        <v>0</v>
      </c>
    </row>
    <row r="675">
      <c r="B675" s="5" t="str">
        <f t="array" ref="B675">XLOOKUP(A675, CURSOS!A:A, CURSOS!B:B)</f>
        <v>#N/A</v>
      </c>
      <c r="C675" s="75" t="str">
        <f t="array" ref="C675">XLOOKUP(A675, CURSOS!A:A, CURSOS!C:C)</f>
        <v>#N/A</v>
      </c>
      <c r="D675" s="70" t="e">
        <v>#N/A</v>
      </c>
      <c r="E675" s="48"/>
      <c r="F675" s="48" t="str">
        <f t="array" ref="F675">XLOOKUP($D675,REGOLITOS!$A:$A,REGOLITOS!F:F)</f>
        <v>#N/A</v>
      </c>
      <c r="G675" s="48" t="str">
        <f t="array" ref="G675">XLOOKUP($D675,REGOLITOS!$A:$A,REGOLITOS!G:G)</f>
        <v>#N/A</v>
      </c>
      <c r="H675" s="48" t="str">
        <f t="array" ref="H675">XLOOKUP($D675,REGOLITOS!$A:$A,REGOLITOS!H:H)</f>
        <v>#N/A</v>
      </c>
      <c r="I675" s="48" t="str">
        <f t="array" ref="I675">XLOOKUP($D675,REGOLITOS!$A:$A,REGOLITOS!I:I)</f>
        <v>#N/A</v>
      </c>
      <c r="J675" s="48" t="str">
        <f t="array" ref="J675">XLOOKUP($D675,REGOLITOS!$A:$A,REGOLITOS!J:J)</f>
        <v>#N/A</v>
      </c>
      <c r="K675" s="48" t="str">
        <f t="array" ref="K675">XLOOKUP($D675,REGOLITOS!$A:$A,REGOLITOS!K:K)</f>
        <v>#N/A</v>
      </c>
      <c r="L675" s="76"/>
      <c r="M675" s="5" t="s">
        <v>1080</v>
      </c>
      <c r="N675" s="5" t="s">
        <v>1080</v>
      </c>
      <c r="O675" s="5" t="s">
        <v>1080</v>
      </c>
      <c r="P675" s="5" t="s">
        <v>1080</v>
      </c>
      <c r="Q675" s="5" t="s">
        <v>1080</v>
      </c>
      <c r="X675" s="71">
        <f t="shared" si="5"/>
        <v>0</v>
      </c>
      <c r="Y675" s="5" t="b">
        <v>0</v>
      </c>
    </row>
    <row r="676">
      <c r="B676" s="5" t="str">
        <f t="array" ref="B676">XLOOKUP(A676, CURSOS!A:A, CURSOS!B:B)</f>
        <v>#N/A</v>
      </c>
      <c r="C676" s="75" t="str">
        <f t="array" ref="C676">XLOOKUP(A676, CURSOS!A:A, CURSOS!C:C)</f>
        <v>#N/A</v>
      </c>
      <c r="D676" s="70" t="e">
        <v>#N/A</v>
      </c>
      <c r="E676" s="48"/>
      <c r="F676" s="48" t="str">
        <f t="array" ref="F676">XLOOKUP($D676,REGOLITOS!$A:$A,REGOLITOS!F:F)</f>
        <v>#N/A</v>
      </c>
      <c r="G676" s="48" t="str">
        <f t="array" ref="G676">XLOOKUP($D676,REGOLITOS!$A:$A,REGOLITOS!G:G)</f>
        <v>#N/A</v>
      </c>
      <c r="H676" s="48" t="str">
        <f t="array" ref="H676">XLOOKUP($D676,REGOLITOS!$A:$A,REGOLITOS!H:H)</f>
        <v>#N/A</v>
      </c>
      <c r="I676" s="48" t="str">
        <f t="array" ref="I676">XLOOKUP($D676,REGOLITOS!$A:$A,REGOLITOS!I:I)</f>
        <v>#N/A</v>
      </c>
      <c r="J676" s="48" t="str">
        <f t="array" ref="J676">XLOOKUP($D676,REGOLITOS!$A:$A,REGOLITOS!J:J)</f>
        <v>#N/A</v>
      </c>
      <c r="K676" s="48" t="str">
        <f t="array" ref="K676">XLOOKUP($D676,REGOLITOS!$A:$A,REGOLITOS!K:K)</f>
        <v>#N/A</v>
      </c>
      <c r="L676" s="76"/>
      <c r="M676" s="5" t="s">
        <v>1080</v>
      </c>
      <c r="N676" s="5" t="s">
        <v>1080</v>
      </c>
      <c r="O676" s="5" t="s">
        <v>1080</v>
      </c>
      <c r="P676" s="5" t="s">
        <v>1080</v>
      </c>
      <c r="Q676" s="5" t="s">
        <v>1080</v>
      </c>
      <c r="X676" s="71">
        <f t="shared" si="5"/>
        <v>0</v>
      </c>
      <c r="Y676" s="5" t="b">
        <v>0</v>
      </c>
    </row>
    <row r="677">
      <c r="B677" s="5" t="str">
        <f t="array" ref="B677">XLOOKUP(A677, CURSOS!A:A, CURSOS!B:B)</f>
        <v>#N/A</v>
      </c>
      <c r="C677" s="75" t="str">
        <f t="array" ref="C677">XLOOKUP(A677, CURSOS!A:A, CURSOS!C:C)</f>
        <v>#N/A</v>
      </c>
      <c r="D677" s="70" t="e">
        <v>#N/A</v>
      </c>
      <c r="E677" s="48"/>
      <c r="F677" s="48" t="str">
        <f t="array" ref="F677">XLOOKUP($D677,REGOLITOS!$A:$A,REGOLITOS!F:F)</f>
        <v>#N/A</v>
      </c>
      <c r="G677" s="48" t="str">
        <f t="array" ref="G677">XLOOKUP($D677,REGOLITOS!$A:$A,REGOLITOS!G:G)</f>
        <v>#N/A</v>
      </c>
      <c r="H677" s="48" t="str">
        <f t="array" ref="H677">XLOOKUP($D677,REGOLITOS!$A:$A,REGOLITOS!H:H)</f>
        <v>#N/A</v>
      </c>
      <c r="I677" s="48" t="str">
        <f t="array" ref="I677">XLOOKUP($D677,REGOLITOS!$A:$A,REGOLITOS!I:I)</f>
        <v>#N/A</v>
      </c>
      <c r="J677" s="48" t="str">
        <f t="array" ref="J677">XLOOKUP($D677,REGOLITOS!$A:$A,REGOLITOS!J:J)</f>
        <v>#N/A</v>
      </c>
      <c r="K677" s="48" t="str">
        <f t="array" ref="K677">XLOOKUP($D677,REGOLITOS!$A:$A,REGOLITOS!K:K)</f>
        <v>#N/A</v>
      </c>
      <c r="L677" s="76"/>
      <c r="M677" s="5" t="s">
        <v>1080</v>
      </c>
      <c r="N677" s="5" t="s">
        <v>1080</v>
      </c>
      <c r="O677" s="5" t="s">
        <v>1080</v>
      </c>
      <c r="P677" s="5" t="s">
        <v>1080</v>
      </c>
      <c r="Q677" s="5" t="s">
        <v>1080</v>
      </c>
      <c r="X677" s="71">
        <f t="shared" si="5"/>
        <v>0</v>
      </c>
      <c r="Y677" s="5" t="b">
        <v>0</v>
      </c>
    </row>
    <row r="678">
      <c r="B678" s="5" t="str">
        <f t="array" ref="B678">XLOOKUP(A678, CURSOS!A:A, CURSOS!B:B)</f>
        <v>#N/A</v>
      </c>
      <c r="C678" s="75" t="str">
        <f t="array" ref="C678">XLOOKUP(A678, CURSOS!A:A, CURSOS!C:C)</f>
        <v>#N/A</v>
      </c>
      <c r="D678" s="70" t="e">
        <v>#N/A</v>
      </c>
      <c r="E678" s="48"/>
      <c r="F678" s="48" t="str">
        <f t="array" ref="F678">XLOOKUP($D678,REGOLITOS!$A:$A,REGOLITOS!F:F)</f>
        <v>#N/A</v>
      </c>
      <c r="G678" s="48" t="str">
        <f t="array" ref="G678">XLOOKUP($D678,REGOLITOS!$A:$A,REGOLITOS!G:G)</f>
        <v>#N/A</v>
      </c>
      <c r="H678" s="48" t="str">
        <f t="array" ref="H678">XLOOKUP($D678,REGOLITOS!$A:$A,REGOLITOS!H:H)</f>
        <v>#N/A</v>
      </c>
      <c r="I678" s="48" t="str">
        <f t="array" ref="I678">XLOOKUP($D678,REGOLITOS!$A:$A,REGOLITOS!I:I)</f>
        <v>#N/A</v>
      </c>
      <c r="J678" s="48" t="str">
        <f t="array" ref="J678">XLOOKUP($D678,REGOLITOS!$A:$A,REGOLITOS!J:J)</f>
        <v>#N/A</v>
      </c>
      <c r="K678" s="48" t="str">
        <f t="array" ref="K678">XLOOKUP($D678,REGOLITOS!$A:$A,REGOLITOS!K:K)</f>
        <v>#N/A</v>
      </c>
      <c r="L678" s="76"/>
      <c r="M678" s="5" t="s">
        <v>1080</v>
      </c>
      <c r="N678" s="5" t="s">
        <v>1080</v>
      </c>
      <c r="O678" s="5" t="s">
        <v>1080</v>
      </c>
      <c r="P678" s="5" t="s">
        <v>1080</v>
      </c>
      <c r="Q678" s="5" t="s">
        <v>1080</v>
      </c>
      <c r="X678" s="71">
        <f t="shared" si="5"/>
        <v>0</v>
      </c>
      <c r="Y678" s="5" t="b">
        <v>0</v>
      </c>
    </row>
    <row r="679">
      <c r="B679" s="5" t="str">
        <f t="array" ref="B679">XLOOKUP(A679, CURSOS!A:A, CURSOS!B:B)</f>
        <v>#N/A</v>
      </c>
      <c r="C679" s="75" t="str">
        <f t="array" ref="C679">XLOOKUP(A679, CURSOS!A:A, CURSOS!C:C)</f>
        <v>#N/A</v>
      </c>
      <c r="D679" s="70" t="e">
        <v>#N/A</v>
      </c>
      <c r="E679" s="48"/>
      <c r="F679" s="48" t="str">
        <f t="array" ref="F679">XLOOKUP($D679,REGOLITOS!$A:$A,REGOLITOS!F:F)</f>
        <v>#N/A</v>
      </c>
      <c r="G679" s="48" t="str">
        <f t="array" ref="G679">XLOOKUP($D679,REGOLITOS!$A:$A,REGOLITOS!G:G)</f>
        <v>#N/A</v>
      </c>
      <c r="H679" s="48" t="str">
        <f t="array" ref="H679">XLOOKUP($D679,REGOLITOS!$A:$A,REGOLITOS!H:H)</f>
        <v>#N/A</v>
      </c>
      <c r="I679" s="48" t="str">
        <f t="array" ref="I679">XLOOKUP($D679,REGOLITOS!$A:$A,REGOLITOS!I:I)</f>
        <v>#N/A</v>
      </c>
      <c r="J679" s="48" t="str">
        <f t="array" ref="J679">XLOOKUP($D679,REGOLITOS!$A:$A,REGOLITOS!J:J)</f>
        <v>#N/A</v>
      </c>
      <c r="K679" s="48" t="str">
        <f t="array" ref="K679">XLOOKUP($D679,REGOLITOS!$A:$A,REGOLITOS!K:K)</f>
        <v>#N/A</v>
      </c>
      <c r="L679" s="76"/>
      <c r="M679" s="5" t="s">
        <v>1080</v>
      </c>
      <c r="N679" s="5" t="s">
        <v>1080</v>
      </c>
      <c r="O679" s="5" t="s">
        <v>1080</v>
      </c>
      <c r="P679" s="5" t="s">
        <v>1080</v>
      </c>
      <c r="Q679" s="5" t="s">
        <v>1080</v>
      </c>
      <c r="X679" s="71">
        <f t="shared" si="5"/>
        <v>0</v>
      </c>
      <c r="Y679" s="5" t="b">
        <v>0</v>
      </c>
    </row>
    <row r="680">
      <c r="B680" s="5" t="str">
        <f t="array" ref="B680">XLOOKUP(A680, CURSOS!A:A, CURSOS!B:B)</f>
        <v>#N/A</v>
      </c>
      <c r="C680" s="75" t="str">
        <f t="array" ref="C680">XLOOKUP(A680, CURSOS!A:A, CURSOS!C:C)</f>
        <v>#N/A</v>
      </c>
      <c r="D680" s="70" t="e">
        <v>#N/A</v>
      </c>
      <c r="E680" s="48"/>
      <c r="F680" s="48" t="str">
        <f t="array" ref="F680">XLOOKUP($D680,REGOLITOS!$A:$A,REGOLITOS!F:F)</f>
        <v>#N/A</v>
      </c>
      <c r="G680" s="48" t="str">
        <f t="array" ref="G680">XLOOKUP($D680,REGOLITOS!$A:$A,REGOLITOS!G:G)</f>
        <v>#N/A</v>
      </c>
      <c r="H680" s="48" t="str">
        <f t="array" ref="H680">XLOOKUP($D680,REGOLITOS!$A:$A,REGOLITOS!H:H)</f>
        <v>#N/A</v>
      </c>
      <c r="I680" s="48" t="str">
        <f t="array" ref="I680">XLOOKUP($D680,REGOLITOS!$A:$A,REGOLITOS!I:I)</f>
        <v>#N/A</v>
      </c>
      <c r="J680" s="48" t="str">
        <f t="array" ref="J680">XLOOKUP($D680,REGOLITOS!$A:$A,REGOLITOS!J:J)</f>
        <v>#N/A</v>
      </c>
      <c r="K680" s="48" t="str">
        <f t="array" ref="K680">XLOOKUP($D680,REGOLITOS!$A:$A,REGOLITOS!K:K)</f>
        <v>#N/A</v>
      </c>
      <c r="L680" s="76"/>
      <c r="M680" s="5" t="s">
        <v>1080</v>
      </c>
      <c r="N680" s="5" t="s">
        <v>1080</v>
      </c>
      <c r="O680" s="5" t="s">
        <v>1080</v>
      </c>
      <c r="P680" s="5" t="s">
        <v>1080</v>
      </c>
      <c r="Q680" s="5" t="s">
        <v>1080</v>
      </c>
      <c r="X680" s="71">
        <f t="shared" si="5"/>
        <v>0</v>
      </c>
      <c r="Y680" s="5" t="b">
        <v>0</v>
      </c>
    </row>
    <row r="681">
      <c r="B681" s="5" t="str">
        <f t="array" ref="B681">XLOOKUP(A681, CURSOS!A:A, CURSOS!B:B)</f>
        <v>#N/A</v>
      </c>
      <c r="C681" s="75" t="str">
        <f t="array" ref="C681">XLOOKUP(A681, CURSOS!A:A, CURSOS!C:C)</f>
        <v>#N/A</v>
      </c>
      <c r="D681" s="70" t="e">
        <v>#N/A</v>
      </c>
      <c r="E681" s="48"/>
      <c r="F681" s="48" t="str">
        <f t="array" ref="F681">XLOOKUP($D681,REGOLITOS!$A:$A,REGOLITOS!F:F)</f>
        <v>#N/A</v>
      </c>
      <c r="G681" s="48" t="str">
        <f t="array" ref="G681">XLOOKUP($D681,REGOLITOS!$A:$A,REGOLITOS!G:G)</f>
        <v>#N/A</v>
      </c>
      <c r="H681" s="48" t="str">
        <f t="array" ref="H681">XLOOKUP($D681,REGOLITOS!$A:$A,REGOLITOS!H:H)</f>
        <v>#N/A</v>
      </c>
      <c r="I681" s="48" t="str">
        <f t="array" ref="I681">XLOOKUP($D681,REGOLITOS!$A:$A,REGOLITOS!I:I)</f>
        <v>#N/A</v>
      </c>
      <c r="J681" s="48" t="str">
        <f t="array" ref="J681">XLOOKUP($D681,REGOLITOS!$A:$A,REGOLITOS!J:J)</f>
        <v>#N/A</v>
      </c>
      <c r="K681" s="48" t="str">
        <f t="array" ref="K681">XLOOKUP($D681,REGOLITOS!$A:$A,REGOLITOS!K:K)</f>
        <v>#N/A</v>
      </c>
      <c r="L681" s="76"/>
      <c r="M681" s="5" t="s">
        <v>1080</v>
      </c>
      <c r="N681" s="5" t="s">
        <v>1080</v>
      </c>
      <c r="O681" s="5" t="s">
        <v>1080</v>
      </c>
      <c r="P681" s="5" t="s">
        <v>1080</v>
      </c>
      <c r="Q681" s="5" t="s">
        <v>1080</v>
      </c>
      <c r="X681" s="71">
        <f t="shared" si="5"/>
        <v>0</v>
      </c>
      <c r="Y681" s="5" t="b">
        <v>0</v>
      </c>
    </row>
    <row r="682">
      <c r="B682" s="5" t="str">
        <f t="array" ref="B682">XLOOKUP(A682, CURSOS!A:A, CURSOS!B:B)</f>
        <v>#N/A</v>
      </c>
      <c r="C682" s="75" t="str">
        <f t="array" ref="C682">XLOOKUP(A682, CURSOS!A:A, CURSOS!C:C)</f>
        <v>#N/A</v>
      </c>
      <c r="D682" s="70" t="e">
        <v>#N/A</v>
      </c>
      <c r="E682" s="48"/>
      <c r="F682" s="48" t="str">
        <f t="array" ref="F682">XLOOKUP($D682,REGOLITOS!$A:$A,REGOLITOS!F:F)</f>
        <v>#N/A</v>
      </c>
      <c r="G682" s="48" t="str">
        <f t="array" ref="G682">XLOOKUP($D682,REGOLITOS!$A:$A,REGOLITOS!G:G)</f>
        <v>#N/A</v>
      </c>
      <c r="H682" s="48" t="str">
        <f t="array" ref="H682">XLOOKUP($D682,REGOLITOS!$A:$A,REGOLITOS!H:H)</f>
        <v>#N/A</v>
      </c>
      <c r="I682" s="48" t="str">
        <f t="array" ref="I682">XLOOKUP($D682,REGOLITOS!$A:$A,REGOLITOS!I:I)</f>
        <v>#N/A</v>
      </c>
      <c r="J682" s="48" t="str">
        <f t="array" ref="J682">XLOOKUP($D682,REGOLITOS!$A:$A,REGOLITOS!J:J)</f>
        <v>#N/A</v>
      </c>
      <c r="K682" s="48" t="str">
        <f t="array" ref="K682">XLOOKUP($D682,REGOLITOS!$A:$A,REGOLITOS!K:K)</f>
        <v>#N/A</v>
      </c>
      <c r="L682" s="76"/>
      <c r="M682" s="5" t="s">
        <v>1080</v>
      </c>
      <c r="N682" s="5" t="s">
        <v>1080</v>
      </c>
      <c r="O682" s="5" t="s">
        <v>1080</v>
      </c>
      <c r="P682" s="5" t="s">
        <v>1080</v>
      </c>
      <c r="Q682" s="5" t="s">
        <v>1080</v>
      </c>
      <c r="X682" s="71">
        <f t="shared" si="5"/>
        <v>0</v>
      </c>
      <c r="Y682" s="5" t="b">
        <v>0</v>
      </c>
    </row>
    <row r="683">
      <c r="B683" s="5" t="str">
        <f t="array" ref="B683">XLOOKUP(A683, CURSOS!A:A, CURSOS!B:B)</f>
        <v>#N/A</v>
      </c>
      <c r="C683" s="75" t="str">
        <f t="array" ref="C683">XLOOKUP(A683, CURSOS!A:A, CURSOS!C:C)</f>
        <v>#N/A</v>
      </c>
      <c r="D683" s="70" t="e">
        <v>#N/A</v>
      </c>
      <c r="E683" s="48"/>
      <c r="F683" s="48" t="str">
        <f t="array" ref="F683">XLOOKUP($D683,REGOLITOS!$A:$A,REGOLITOS!F:F)</f>
        <v>#N/A</v>
      </c>
      <c r="G683" s="48" t="str">
        <f t="array" ref="G683">XLOOKUP($D683,REGOLITOS!$A:$A,REGOLITOS!G:G)</f>
        <v>#N/A</v>
      </c>
      <c r="H683" s="48" t="str">
        <f t="array" ref="H683">XLOOKUP($D683,REGOLITOS!$A:$A,REGOLITOS!H:H)</f>
        <v>#N/A</v>
      </c>
      <c r="I683" s="48" t="str">
        <f t="array" ref="I683">XLOOKUP($D683,REGOLITOS!$A:$A,REGOLITOS!I:I)</f>
        <v>#N/A</v>
      </c>
      <c r="J683" s="48" t="str">
        <f t="array" ref="J683">XLOOKUP($D683,REGOLITOS!$A:$A,REGOLITOS!J:J)</f>
        <v>#N/A</v>
      </c>
      <c r="K683" s="48" t="str">
        <f t="array" ref="K683">XLOOKUP($D683,REGOLITOS!$A:$A,REGOLITOS!K:K)</f>
        <v>#N/A</v>
      </c>
      <c r="L683" s="76"/>
      <c r="M683" s="5" t="s">
        <v>1080</v>
      </c>
      <c r="N683" s="5" t="s">
        <v>1080</v>
      </c>
      <c r="O683" s="5" t="s">
        <v>1080</v>
      </c>
      <c r="P683" s="5" t="s">
        <v>1080</v>
      </c>
      <c r="Q683" s="5" t="s">
        <v>1080</v>
      </c>
      <c r="X683" s="71">
        <f t="shared" si="5"/>
        <v>0</v>
      </c>
      <c r="Y683" s="5" t="b">
        <v>0</v>
      </c>
    </row>
    <row r="684">
      <c r="B684" s="5" t="str">
        <f t="array" ref="B684">XLOOKUP(A684, CURSOS!A:A, CURSOS!B:B)</f>
        <v>#N/A</v>
      </c>
      <c r="C684" s="75" t="str">
        <f t="array" ref="C684">XLOOKUP(A684, CURSOS!A:A, CURSOS!C:C)</f>
        <v>#N/A</v>
      </c>
      <c r="D684" s="70" t="e">
        <v>#N/A</v>
      </c>
      <c r="E684" s="48"/>
      <c r="F684" s="48" t="str">
        <f t="array" ref="F684">XLOOKUP($D684,REGOLITOS!$A:$A,REGOLITOS!F:F)</f>
        <v>#N/A</v>
      </c>
      <c r="G684" s="48" t="str">
        <f t="array" ref="G684">XLOOKUP($D684,REGOLITOS!$A:$A,REGOLITOS!G:G)</f>
        <v>#N/A</v>
      </c>
      <c r="H684" s="48" t="str">
        <f t="array" ref="H684">XLOOKUP($D684,REGOLITOS!$A:$A,REGOLITOS!H:H)</f>
        <v>#N/A</v>
      </c>
      <c r="I684" s="48" t="str">
        <f t="array" ref="I684">XLOOKUP($D684,REGOLITOS!$A:$A,REGOLITOS!I:I)</f>
        <v>#N/A</v>
      </c>
      <c r="J684" s="48" t="str">
        <f t="array" ref="J684">XLOOKUP($D684,REGOLITOS!$A:$A,REGOLITOS!J:J)</f>
        <v>#N/A</v>
      </c>
      <c r="K684" s="48" t="str">
        <f t="array" ref="K684">XLOOKUP($D684,REGOLITOS!$A:$A,REGOLITOS!K:K)</f>
        <v>#N/A</v>
      </c>
      <c r="L684" s="76"/>
      <c r="M684" s="5" t="s">
        <v>1080</v>
      </c>
      <c r="N684" s="5" t="s">
        <v>1080</v>
      </c>
      <c r="O684" s="5" t="s">
        <v>1080</v>
      </c>
      <c r="P684" s="5" t="s">
        <v>1080</v>
      </c>
      <c r="Q684" s="5" t="s">
        <v>1080</v>
      </c>
      <c r="X684" s="71">
        <f t="shared" si="5"/>
        <v>0</v>
      </c>
      <c r="Y684" s="5" t="b">
        <v>0</v>
      </c>
    </row>
    <row r="685">
      <c r="B685" s="5" t="str">
        <f t="array" ref="B685">XLOOKUP(A685, CURSOS!A:A, CURSOS!B:B)</f>
        <v>#N/A</v>
      </c>
      <c r="C685" s="75" t="str">
        <f t="array" ref="C685">XLOOKUP(A685, CURSOS!A:A, CURSOS!C:C)</f>
        <v>#N/A</v>
      </c>
      <c r="D685" s="70" t="e">
        <v>#N/A</v>
      </c>
      <c r="E685" s="48"/>
      <c r="F685" s="48" t="str">
        <f t="array" ref="F685">XLOOKUP($D685,REGOLITOS!$A:$A,REGOLITOS!F:F)</f>
        <v>#N/A</v>
      </c>
      <c r="G685" s="48" t="str">
        <f t="array" ref="G685">XLOOKUP($D685,REGOLITOS!$A:$A,REGOLITOS!G:G)</f>
        <v>#N/A</v>
      </c>
      <c r="H685" s="48" t="str">
        <f t="array" ref="H685">XLOOKUP($D685,REGOLITOS!$A:$A,REGOLITOS!H:H)</f>
        <v>#N/A</v>
      </c>
      <c r="I685" s="48" t="str">
        <f t="array" ref="I685">XLOOKUP($D685,REGOLITOS!$A:$A,REGOLITOS!I:I)</f>
        <v>#N/A</v>
      </c>
      <c r="J685" s="48" t="str">
        <f t="array" ref="J685">XLOOKUP($D685,REGOLITOS!$A:$A,REGOLITOS!J:J)</f>
        <v>#N/A</v>
      </c>
      <c r="K685" s="48" t="str">
        <f t="array" ref="K685">XLOOKUP($D685,REGOLITOS!$A:$A,REGOLITOS!K:K)</f>
        <v>#N/A</v>
      </c>
      <c r="L685" s="76"/>
      <c r="M685" s="5" t="s">
        <v>1080</v>
      </c>
      <c r="N685" s="5" t="s">
        <v>1080</v>
      </c>
      <c r="O685" s="5" t="s">
        <v>1080</v>
      </c>
      <c r="P685" s="5" t="s">
        <v>1080</v>
      </c>
      <c r="Q685" s="5" t="s">
        <v>1080</v>
      </c>
      <c r="X685" s="71">
        <f t="shared" si="5"/>
        <v>0</v>
      </c>
      <c r="Y685" s="5" t="b">
        <v>0</v>
      </c>
    </row>
    <row r="686">
      <c r="B686" s="5" t="str">
        <f t="array" ref="B686">XLOOKUP(A686, CURSOS!A:A, CURSOS!B:B)</f>
        <v>#N/A</v>
      </c>
      <c r="C686" s="75" t="str">
        <f t="array" ref="C686">XLOOKUP(A686, CURSOS!A:A, CURSOS!C:C)</f>
        <v>#N/A</v>
      </c>
      <c r="D686" s="70" t="e">
        <v>#N/A</v>
      </c>
      <c r="E686" s="48"/>
      <c r="F686" s="48" t="str">
        <f t="array" ref="F686">XLOOKUP($D686,REGOLITOS!$A:$A,REGOLITOS!F:F)</f>
        <v>#N/A</v>
      </c>
      <c r="G686" s="48" t="str">
        <f t="array" ref="G686">XLOOKUP($D686,REGOLITOS!$A:$A,REGOLITOS!G:G)</f>
        <v>#N/A</v>
      </c>
      <c r="H686" s="48" t="str">
        <f t="array" ref="H686">XLOOKUP($D686,REGOLITOS!$A:$A,REGOLITOS!H:H)</f>
        <v>#N/A</v>
      </c>
      <c r="I686" s="48" t="str">
        <f t="array" ref="I686">XLOOKUP($D686,REGOLITOS!$A:$A,REGOLITOS!I:I)</f>
        <v>#N/A</v>
      </c>
      <c r="J686" s="48" t="str">
        <f t="array" ref="J686">XLOOKUP($D686,REGOLITOS!$A:$A,REGOLITOS!J:J)</f>
        <v>#N/A</v>
      </c>
      <c r="K686" s="48" t="str">
        <f t="array" ref="K686">XLOOKUP($D686,REGOLITOS!$A:$A,REGOLITOS!K:K)</f>
        <v>#N/A</v>
      </c>
      <c r="L686" s="76"/>
      <c r="M686" s="5" t="s">
        <v>1080</v>
      </c>
      <c r="N686" s="5" t="s">
        <v>1080</v>
      </c>
      <c r="O686" s="5" t="s">
        <v>1080</v>
      </c>
      <c r="P686" s="5" t="s">
        <v>1080</v>
      </c>
      <c r="Q686" s="5" t="s">
        <v>1080</v>
      </c>
      <c r="X686" s="71">
        <f t="shared" si="5"/>
        <v>0</v>
      </c>
      <c r="Y686" s="5" t="b">
        <v>0</v>
      </c>
    </row>
    <row r="687">
      <c r="B687" s="5" t="str">
        <f t="array" ref="B687">XLOOKUP(A687, CURSOS!A:A, CURSOS!B:B)</f>
        <v>#N/A</v>
      </c>
      <c r="C687" s="75" t="str">
        <f t="array" ref="C687">XLOOKUP(A687, CURSOS!A:A, CURSOS!C:C)</f>
        <v>#N/A</v>
      </c>
      <c r="D687" s="70" t="e">
        <v>#N/A</v>
      </c>
      <c r="E687" s="48"/>
      <c r="F687" s="48" t="str">
        <f t="array" ref="F687">XLOOKUP($D687,REGOLITOS!$A:$A,REGOLITOS!F:F)</f>
        <v>#N/A</v>
      </c>
      <c r="G687" s="48" t="str">
        <f t="array" ref="G687">XLOOKUP($D687,REGOLITOS!$A:$A,REGOLITOS!G:G)</f>
        <v>#N/A</v>
      </c>
      <c r="H687" s="48" t="str">
        <f t="array" ref="H687">XLOOKUP($D687,REGOLITOS!$A:$A,REGOLITOS!H:H)</f>
        <v>#N/A</v>
      </c>
      <c r="I687" s="48" t="str">
        <f t="array" ref="I687">XLOOKUP($D687,REGOLITOS!$A:$A,REGOLITOS!I:I)</f>
        <v>#N/A</v>
      </c>
      <c r="J687" s="48" t="str">
        <f t="array" ref="J687">XLOOKUP($D687,REGOLITOS!$A:$A,REGOLITOS!J:J)</f>
        <v>#N/A</v>
      </c>
      <c r="K687" s="48" t="str">
        <f t="array" ref="K687">XLOOKUP($D687,REGOLITOS!$A:$A,REGOLITOS!K:K)</f>
        <v>#N/A</v>
      </c>
      <c r="L687" s="76"/>
      <c r="M687" s="5" t="s">
        <v>1080</v>
      </c>
      <c r="N687" s="5" t="s">
        <v>1080</v>
      </c>
      <c r="O687" s="5" t="s">
        <v>1080</v>
      </c>
      <c r="P687" s="5" t="s">
        <v>1080</v>
      </c>
      <c r="Q687" s="5" t="s">
        <v>1080</v>
      </c>
      <c r="X687" s="71">
        <f t="shared" si="5"/>
        <v>0</v>
      </c>
      <c r="Y687" s="5" t="b">
        <v>0</v>
      </c>
    </row>
    <row r="688">
      <c r="B688" s="5" t="str">
        <f t="array" ref="B688">XLOOKUP(A688, CURSOS!A:A, CURSOS!B:B)</f>
        <v>#N/A</v>
      </c>
      <c r="C688" s="75" t="str">
        <f t="array" ref="C688">XLOOKUP(A688, CURSOS!A:A, CURSOS!C:C)</f>
        <v>#N/A</v>
      </c>
      <c r="D688" s="70" t="e">
        <v>#N/A</v>
      </c>
      <c r="E688" s="48"/>
      <c r="F688" s="48" t="str">
        <f t="array" ref="F688">XLOOKUP($D688,REGOLITOS!$A:$A,REGOLITOS!F:F)</f>
        <v>#N/A</v>
      </c>
      <c r="G688" s="48" t="str">
        <f t="array" ref="G688">XLOOKUP($D688,REGOLITOS!$A:$A,REGOLITOS!G:G)</f>
        <v>#N/A</v>
      </c>
      <c r="H688" s="48" t="str">
        <f t="array" ref="H688">XLOOKUP($D688,REGOLITOS!$A:$A,REGOLITOS!H:H)</f>
        <v>#N/A</v>
      </c>
      <c r="I688" s="48" t="str">
        <f t="array" ref="I688">XLOOKUP($D688,REGOLITOS!$A:$A,REGOLITOS!I:I)</f>
        <v>#N/A</v>
      </c>
      <c r="J688" s="48" t="str">
        <f t="array" ref="J688">XLOOKUP($D688,REGOLITOS!$A:$A,REGOLITOS!J:J)</f>
        <v>#N/A</v>
      </c>
      <c r="K688" s="48" t="str">
        <f t="array" ref="K688">XLOOKUP($D688,REGOLITOS!$A:$A,REGOLITOS!K:K)</f>
        <v>#N/A</v>
      </c>
      <c r="L688" s="76"/>
      <c r="M688" s="5" t="s">
        <v>1080</v>
      </c>
      <c r="N688" s="5" t="s">
        <v>1080</v>
      </c>
      <c r="O688" s="5" t="s">
        <v>1080</v>
      </c>
      <c r="P688" s="5" t="s">
        <v>1080</v>
      </c>
      <c r="Q688" s="5" t="s">
        <v>1080</v>
      </c>
      <c r="X688" s="71">
        <f t="shared" si="5"/>
        <v>0</v>
      </c>
      <c r="Y688" s="5" t="b">
        <v>0</v>
      </c>
    </row>
    <row r="689">
      <c r="B689" s="5" t="str">
        <f t="array" ref="B689">XLOOKUP(A689, CURSOS!A:A, CURSOS!B:B)</f>
        <v>#N/A</v>
      </c>
      <c r="C689" s="75" t="str">
        <f t="array" ref="C689">XLOOKUP(A689, CURSOS!A:A, CURSOS!C:C)</f>
        <v>#N/A</v>
      </c>
      <c r="D689" s="70" t="e">
        <v>#N/A</v>
      </c>
      <c r="E689" s="48"/>
      <c r="F689" s="48" t="str">
        <f t="array" ref="F689">XLOOKUP($D689,REGOLITOS!$A:$A,REGOLITOS!F:F)</f>
        <v>#N/A</v>
      </c>
      <c r="G689" s="48" t="str">
        <f t="array" ref="G689">XLOOKUP($D689,REGOLITOS!$A:$A,REGOLITOS!G:G)</f>
        <v>#N/A</v>
      </c>
      <c r="H689" s="48" t="str">
        <f t="array" ref="H689">XLOOKUP($D689,REGOLITOS!$A:$A,REGOLITOS!H:H)</f>
        <v>#N/A</v>
      </c>
      <c r="I689" s="48" t="str">
        <f t="array" ref="I689">XLOOKUP($D689,REGOLITOS!$A:$A,REGOLITOS!I:I)</f>
        <v>#N/A</v>
      </c>
      <c r="J689" s="48" t="str">
        <f t="array" ref="J689">XLOOKUP($D689,REGOLITOS!$A:$A,REGOLITOS!J:J)</f>
        <v>#N/A</v>
      </c>
      <c r="K689" s="48" t="str">
        <f t="array" ref="K689">XLOOKUP($D689,REGOLITOS!$A:$A,REGOLITOS!K:K)</f>
        <v>#N/A</v>
      </c>
      <c r="L689" s="76"/>
      <c r="M689" s="5" t="s">
        <v>1080</v>
      </c>
      <c r="N689" s="5" t="s">
        <v>1080</v>
      </c>
      <c r="O689" s="5" t="s">
        <v>1080</v>
      </c>
      <c r="P689" s="5" t="s">
        <v>1080</v>
      </c>
      <c r="Q689" s="5" t="s">
        <v>1080</v>
      </c>
      <c r="X689" s="71">
        <f t="shared" si="5"/>
        <v>0</v>
      </c>
      <c r="Y689" s="5" t="b">
        <v>0</v>
      </c>
    </row>
    <row r="690">
      <c r="B690" s="5" t="str">
        <f t="array" ref="B690">XLOOKUP(A690, CURSOS!A:A, CURSOS!B:B)</f>
        <v>#N/A</v>
      </c>
      <c r="C690" s="75" t="str">
        <f t="array" ref="C690">XLOOKUP(A690, CURSOS!A:A, CURSOS!C:C)</f>
        <v>#N/A</v>
      </c>
      <c r="D690" s="70" t="e">
        <v>#N/A</v>
      </c>
      <c r="E690" s="48"/>
      <c r="F690" s="48" t="str">
        <f t="array" ref="F690">XLOOKUP($D690,REGOLITOS!$A:$A,REGOLITOS!F:F)</f>
        <v>#N/A</v>
      </c>
      <c r="G690" s="48" t="str">
        <f t="array" ref="G690">XLOOKUP($D690,REGOLITOS!$A:$A,REGOLITOS!G:G)</f>
        <v>#N/A</v>
      </c>
      <c r="H690" s="48" t="str">
        <f t="array" ref="H690">XLOOKUP($D690,REGOLITOS!$A:$A,REGOLITOS!H:H)</f>
        <v>#N/A</v>
      </c>
      <c r="I690" s="48" t="str">
        <f t="array" ref="I690">XLOOKUP($D690,REGOLITOS!$A:$A,REGOLITOS!I:I)</f>
        <v>#N/A</v>
      </c>
      <c r="J690" s="48" t="str">
        <f t="array" ref="J690">XLOOKUP($D690,REGOLITOS!$A:$A,REGOLITOS!J:J)</f>
        <v>#N/A</v>
      </c>
      <c r="K690" s="48" t="str">
        <f t="array" ref="K690">XLOOKUP($D690,REGOLITOS!$A:$A,REGOLITOS!K:K)</f>
        <v>#N/A</v>
      </c>
      <c r="L690" s="76"/>
      <c r="M690" s="5" t="s">
        <v>1080</v>
      </c>
      <c r="N690" s="5" t="s">
        <v>1080</v>
      </c>
      <c r="O690" s="5" t="s">
        <v>1080</v>
      </c>
      <c r="P690" s="5" t="s">
        <v>1080</v>
      </c>
      <c r="Q690" s="5" t="s">
        <v>1080</v>
      </c>
      <c r="X690" s="71">
        <f t="shared" si="5"/>
        <v>0</v>
      </c>
      <c r="Y690" s="5" t="b">
        <v>0</v>
      </c>
    </row>
    <row r="691">
      <c r="B691" s="5" t="str">
        <f t="array" ref="B691">XLOOKUP(A691, CURSOS!A:A, CURSOS!B:B)</f>
        <v>#N/A</v>
      </c>
      <c r="C691" s="75" t="str">
        <f t="array" ref="C691">XLOOKUP(A691, CURSOS!A:A, CURSOS!C:C)</f>
        <v>#N/A</v>
      </c>
      <c r="D691" s="70" t="e">
        <v>#N/A</v>
      </c>
      <c r="E691" s="48"/>
      <c r="F691" s="48" t="str">
        <f t="array" ref="F691">XLOOKUP($D691,REGOLITOS!$A:$A,REGOLITOS!F:F)</f>
        <v>#N/A</v>
      </c>
      <c r="G691" s="48" t="str">
        <f t="array" ref="G691">XLOOKUP($D691,REGOLITOS!$A:$A,REGOLITOS!G:G)</f>
        <v>#N/A</v>
      </c>
      <c r="H691" s="48" t="str">
        <f t="array" ref="H691">XLOOKUP($D691,REGOLITOS!$A:$A,REGOLITOS!H:H)</f>
        <v>#N/A</v>
      </c>
      <c r="I691" s="48" t="str">
        <f t="array" ref="I691">XLOOKUP($D691,REGOLITOS!$A:$A,REGOLITOS!I:I)</f>
        <v>#N/A</v>
      </c>
      <c r="J691" s="48" t="str">
        <f t="array" ref="J691">XLOOKUP($D691,REGOLITOS!$A:$A,REGOLITOS!J:J)</f>
        <v>#N/A</v>
      </c>
      <c r="K691" s="48" t="str">
        <f t="array" ref="K691">XLOOKUP($D691,REGOLITOS!$A:$A,REGOLITOS!K:K)</f>
        <v>#N/A</v>
      </c>
      <c r="L691" s="76"/>
      <c r="M691" s="5" t="s">
        <v>1080</v>
      </c>
      <c r="N691" s="5" t="s">
        <v>1080</v>
      </c>
      <c r="O691" s="5" t="s">
        <v>1080</v>
      </c>
      <c r="P691" s="5" t="s">
        <v>1080</v>
      </c>
      <c r="Q691" s="5" t="s">
        <v>1080</v>
      </c>
      <c r="X691" s="71">
        <f t="shared" si="5"/>
        <v>0</v>
      </c>
      <c r="Y691" s="5" t="b">
        <v>0</v>
      </c>
    </row>
    <row r="692">
      <c r="B692" s="5" t="str">
        <f t="array" ref="B692">XLOOKUP(A692, CURSOS!A:A, CURSOS!B:B)</f>
        <v>#N/A</v>
      </c>
      <c r="C692" s="75" t="str">
        <f t="array" ref="C692">XLOOKUP(A692, CURSOS!A:A, CURSOS!C:C)</f>
        <v>#N/A</v>
      </c>
      <c r="D692" s="70" t="e">
        <v>#N/A</v>
      </c>
      <c r="E692" s="48"/>
      <c r="F692" s="48" t="str">
        <f t="array" ref="F692">XLOOKUP($D692,REGOLITOS!$A:$A,REGOLITOS!F:F)</f>
        <v>#N/A</v>
      </c>
      <c r="G692" s="48" t="str">
        <f t="array" ref="G692">XLOOKUP($D692,REGOLITOS!$A:$A,REGOLITOS!G:G)</f>
        <v>#N/A</v>
      </c>
      <c r="H692" s="48" t="str">
        <f t="array" ref="H692">XLOOKUP($D692,REGOLITOS!$A:$A,REGOLITOS!H:H)</f>
        <v>#N/A</v>
      </c>
      <c r="I692" s="48" t="str">
        <f t="array" ref="I692">XLOOKUP($D692,REGOLITOS!$A:$A,REGOLITOS!I:I)</f>
        <v>#N/A</v>
      </c>
      <c r="J692" s="48" t="str">
        <f t="array" ref="J692">XLOOKUP($D692,REGOLITOS!$A:$A,REGOLITOS!J:J)</f>
        <v>#N/A</v>
      </c>
      <c r="K692" s="48" t="str">
        <f t="array" ref="K692">XLOOKUP($D692,REGOLITOS!$A:$A,REGOLITOS!K:K)</f>
        <v>#N/A</v>
      </c>
      <c r="L692" s="76"/>
      <c r="M692" s="5" t="s">
        <v>1080</v>
      </c>
      <c r="N692" s="5" t="s">
        <v>1080</v>
      </c>
      <c r="O692" s="5" t="s">
        <v>1080</v>
      </c>
      <c r="P692" s="5" t="s">
        <v>1080</v>
      </c>
      <c r="Q692" s="5" t="s">
        <v>1080</v>
      </c>
      <c r="X692" s="71">
        <f t="shared" si="5"/>
        <v>0</v>
      </c>
      <c r="Y692" s="5" t="b">
        <v>0</v>
      </c>
    </row>
    <row r="693">
      <c r="B693" s="5" t="str">
        <f t="array" ref="B693">XLOOKUP(A693, CURSOS!A:A, CURSOS!B:B)</f>
        <v>#N/A</v>
      </c>
      <c r="C693" s="75" t="str">
        <f t="array" ref="C693">XLOOKUP(A693, CURSOS!A:A, CURSOS!C:C)</f>
        <v>#N/A</v>
      </c>
      <c r="D693" s="70" t="e">
        <v>#N/A</v>
      </c>
      <c r="E693" s="48"/>
      <c r="F693" s="48" t="str">
        <f t="array" ref="F693">XLOOKUP($D693,REGOLITOS!$A:$A,REGOLITOS!F:F)</f>
        <v>#N/A</v>
      </c>
      <c r="G693" s="48" t="str">
        <f t="array" ref="G693">XLOOKUP($D693,REGOLITOS!$A:$A,REGOLITOS!G:G)</f>
        <v>#N/A</v>
      </c>
      <c r="H693" s="48" t="str">
        <f t="array" ref="H693">XLOOKUP($D693,REGOLITOS!$A:$A,REGOLITOS!H:H)</f>
        <v>#N/A</v>
      </c>
      <c r="I693" s="48" t="str">
        <f t="array" ref="I693">XLOOKUP($D693,REGOLITOS!$A:$A,REGOLITOS!I:I)</f>
        <v>#N/A</v>
      </c>
      <c r="J693" s="48" t="str">
        <f t="array" ref="J693">XLOOKUP($D693,REGOLITOS!$A:$A,REGOLITOS!J:J)</f>
        <v>#N/A</v>
      </c>
      <c r="K693" s="48" t="str">
        <f t="array" ref="K693">XLOOKUP($D693,REGOLITOS!$A:$A,REGOLITOS!K:K)</f>
        <v>#N/A</v>
      </c>
      <c r="L693" s="76"/>
      <c r="M693" s="5" t="s">
        <v>1080</v>
      </c>
      <c r="N693" s="5" t="s">
        <v>1080</v>
      </c>
      <c r="O693" s="5" t="s">
        <v>1080</v>
      </c>
      <c r="P693" s="5" t="s">
        <v>1080</v>
      </c>
      <c r="Q693" s="5" t="s">
        <v>1080</v>
      </c>
      <c r="X693" s="71">
        <f t="shared" si="5"/>
        <v>0</v>
      </c>
      <c r="Y693" s="5" t="b">
        <v>0</v>
      </c>
    </row>
    <row r="694">
      <c r="B694" s="5" t="str">
        <f t="array" ref="B694">XLOOKUP(A694, CURSOS!A:A, CURSOS!B:B)</f>
        <v>#N/A</v>
      </c>
      <c r="C694" s="75" t="str">
        <f t="array" ref="C694">XLOOKUP(A694, CURSOS!A:A, CURSOS!C:C)</f>
        <v>#N/A</v>
      </c>
      <c r="D694" s="70" t="e">
        <v>#N/A</v>
      </c>
      <c r="E694" s="48"/>
      <c r="F694" s="48" t="str">
        <f t="array" ref="F694">XLOOKUP($D694,REGOLITOS!$A:$A,REGOLITOS!F:F)</f>
        <v>#N/A</v>
      </c>
      <c r="G694" s="48" t="str">
        <f t="array" ref="G694">XLOOKUP($D694,REGOLITOS!$A:$A,REGOLITOS!G:G)</f>
        <v>#N/A</v>
      </c>
      <c r="H694" s="48" t="str">
        <f t="array" ref="H694">XLOOKUP($D694,REGOLITOS!$A:$A,REGOLITOS!H:H)</f>
        <v>#N/A</v>
      </c>
      <c r="I694" s="48" t="str">
        <f t="array" ref="I694">XLOOKUP($D694,REGOLITOS!$A:$A,REGOLITOS!I:I)</f>
        <v>#N/A</v>
      </c>
      <c r="J694" s="48" t="str">
        <f t="array" ref="J694">XLOOKUP($D694,REGOLITOS!$A:$A,REGOLITOS!J:J)</f>
        <v>#N/A</v>
      </c>
      <c r="K694" s="48" t="str">
        <f t="array" ref="K694">XLOOKUP($D694,REGOLITOS!$A:$A,REGOLITOS!K:K)</f>
        <v>#N/A</v>
      </c>
      <c r="L694" s="76"/>
      <c r="M694" s="5" t="s">
        <v>1080</v>
      </c>
      <c r="N694" s="5" t="s">
        <v>1080</v>
      </c>
      <c r="O694" s="5" t="s">
        <v>1080</v>
      </c>
      <c r="P694" s="5" t="s">
        <v>1080</v>
      </c>
      <c r="Q694" s="5" t="s">
        <v>1080</v>
      </c>
      <c r="X694" s="71">
        <f t="shared" si="5"/>
        <v>0</v>
      </c>
      <c r="Y694" s="5" t="b">
        <v>0</v>
      </c>
    </row>
    <row r="695">
      <c r="B695" s="5" t="str">
        <f t="array" ref="B695">XLOOKUP(A695, CURSOS!A:A, CURSOS!B:B)</f>
        <v>#N/A</v>
      </c>
      <c r="C695" s="75" t="str">
        <f t="array" ref="C695">XLOOKUP(A695, CURSOS!A:A, CURSOS!C:C)</f>
        <v>#N/A</v>
      </c>
      <c r="D695" s="70" t="e">
        <v>#N/A</v>
      </c>
      <c r="E695" s="48"/>
      <c r="F695" s="48" t="str">
        <f t="array" ref="F695">XLOOKUP($D695,REGOLITOS!$A:$A,REGOLITOS!F:F)</f>
        <v>#N/A</v>
      </c>
      <c r="G695" s="48" t="str">
        <f t="array" ref="G695">XLOOKUP($D695,REGOLITOS!$A:$A,REGOLITOS!G:G)</f>
        <v>#N/A</v>
      </c>
      <c r="H695" s="48" t="str">
        <f t="array" ref="H695">XLOOKUP($D695,REGOLITOS!$A:$A,REGOLITOS!H:H)</f>
        <v>#N/A</v>
      </c>
      <c r="I695" s="48" t="str">
        <f t="array" ref="I695">XLOOKUP($D695,REGOLITOS!$A:$A,REGOLITOS!I:I)</f>
        <v>#N/A</v>
      </c>
      <c r="J695" s="48" t="str">
        <f t="array" ref="J695">XLOOKUP($D695,REGOLITOS!$A:$A,REGOLITOS!J:J)</f>
        <v>#N/A</v>
      </c>
      <c r="K695" s="48" t="str">
        <f t="array" ref="K695">XLOOKUP($D695,REGOLITOS!$A:$A,REGOLITOS!K:K)</f>
        <v>#N/A</v>
      </c>
      <c r="L695" s="76"/>
      <c r="M695" s="5" t="s">
        <v>1080</v>
      </c>
      <c r="N695" s="5" t="s">
        <v>1080</v>
      </c>
      <c r="O695" s="5" t="s">
        <v>1080</v>
      </c>
      <c r="P695" s="5" t="s">
        <v>1080</v>
      </c>
      <c r="Q695" s="5" t="s">
        <v>1080</v>
      </c>
      <c r="X695" s="71">
        <f t="shared" si="5"/>
        <v>0</v>
      </c>
      <c r="Y695" s="5" t="b">
        <v>0</v>
      </c>
    </row>
    <row r="696">
      <c r="B696" s="5" t="str">
        <f t="array" ref="B696">XLOOKUP(A696, CURSOS!A:A, CURSOS!B:B)</f>
        <v>#N/A</v>
      </c>
      <c r="C696" s="75" t="str">
        <f t="array" ref="C696">XLOOKUP(A696, CURSOS!A:A, CURSOS!C:C)</f>
        <v>#N/A</v>
      </c>
      <c r="D696" s="70" t="e">
        <v>#N/A</v>
      </c>
      <c r="E696" s="48"/>
      <c r="F696" s="48" t="str">
        <f t="array" ref="F696">XLOOKUP($D696,REGOLITOS!$A:$A,REGOLITOS!F:F)</f>
        <v>#N/A</v>
      </c>
      <c r="G696" s="48" t="str">
        <f t="array" ref="G696">XLOOKUP($D696,REGOLITOS!$A:$A,REGOLITOS!G:G)</f>
        <v>#N/A</v>
      </c>
      <c r="H696" s="48" t="str">
        <f t="array" ref="H696">XLOOKUP($D696,REGOLITOS!$A:$A,REGOLITOS!H:H)</f>
        <v>#N/A</v>
      </c>
      <c r="I696" s="48" t="str">
        <f t="array" ref="I696">XLOOKUP($D696,REGOLITOS!$A:$A,REGOLITOS!I:I)</f>
        <v>#N/A</v>
      </c>
      <c r="J696" s="48" t="str">
        <f t="array" ref="J696">XLOOKUP($D696,REGOLITOS!$A:$A,REGOLITOS!J:J)</f>
        <v>#N/A</v>
      </c>
      <c r="K696" s="48" t="str">
        <f t="array" ref="K696">XLOOKUP($D696,REGOLITOS!$A:$A,REGOLITOS!K:K)</f>
        <v>#N/A</v>
      </c>
      <c r="L696" s="76"/>
      <c r="M696" s="5" t="s">
        <v>1080</v>
      </c>
      <c r="N696" s="5" t="s">
        <v>1080</v>
      </c>
      <c r="O696" s="5" t="s">
        <v>1080</v>
      </c>
      <c r="P696" s="5" t="s">
        <v>1080</v>
      </c>
      <c r="Q696" s="5" t="s">
        <v>1080</v>
      </c>
      <c r="X696" s="71">
        <f t="shared" si="5"/>
        <v>0</v>
      </c>
      <c r="Y696" s="5" t="b">
        <v>0</v>
      </c>
    </row>
    <row r="697">
      <c r="B697" s="5" t="str">
        <f t="array" ref="B697">XLOOKUP(A697, CURSOS!A:A, CURSOS!B:B)</f>
        <v>#N/A</v>
      </c>
      <c r="C697" s="75" t="str">
        <f t="array" ref="C697">XLOOKUP(A697, CURSOS!A:A, CURSOS!C:C)</f>
        <v>#N/A</v>
      </c>
      <c r="D697" s="70" t="e">
        <v>#N/A</v>
      </c>
      <c r="E697" s="48"/>
      <c r="F697" s="48" t="str">
        <f t="array" ref="F697">XLOOKUP($D697,REGOLITOS!$A:$A,REGOLITOS!F:F)</f>
        <v>#N/A</v>
      </c>
      <c r="G697" s="48" t="str">
        <f t="array" ref="G697">XLOOKUP($D697,REGOLITOS!$A:$A,REGOLITOS!G:G)</f>
        <v>#N/A</v>
      </c>
      <c r="H697" s="48" t="str">
        <f t="array" ref="H697">XLOOKUP($D697,REGOLITOS!$A:$A,REGOLITOS!H:H)</f>
        <v>#N/A</v>
      </c>
      <c r="I697" s="48" t="str">
        <f t="array" ref="I697">XLOOKUP($D697,REGOLITOS!$A:$A,REGOLITOS!I:I)</f>
        <v>#N/A</v>
      </c>
      <c r="J697" s="48" t="str">
        <f t="array" ref="J697">XLOOKUP($D697,REGOLITOS!$A:$A,REGOLITOS!J:J)</f>
        <v>#N/A</v>
      </c>
      <c r="K697" s="48" t="str">
        <f t="array" ref="K697">XLOOKUP($D697,REGOLITOS!$A:$A,REGOLITOS!K:K)</f>
        <v>#N/A</v>
      </c>
      <c r="L697" s="76"/>
      <c r="M697" s="5" t="s">
        <v>1080</v>
      </c>
      <c r="N697" s="5" t="s">
        <v>1080</v>
      </c>
      <c r="O697" s="5" t="s">
        <v>1080</v>
      </c>
      <c r="P697" s="5" t="s">
        <v>1080</v>
      </c>
      <c r="Q697" s="5" t="s">
        <v>1080</v>
      </c>
      <c r="X697" s="71">
        <f t="shared" si="5"/>
        <v>0</v>
      </c>
      <c r="Y697" s="5" t="b">
        <v>0</v>
      </c>
    </row>
    <row r="698">
      <c r="B698" s="5" t="str">
        <f t="array" ref="B698">XLOOKUP(A698, CURSOS!A:A, CURSOS!B:B)</f>
        <v>#N/A</v>
      </c>
      <c r="C698" s="75" t="str">
        <f t="array" ref="C698">XLOOKUP(A698, CURSOS!A:A, CURSOS!C:C)</f>
        <v>#N/A</v>
      </c>
      <c r="D698" s="70" t="e">
        <v>#N/A</v>
      </c>
      <c r="E698" s="48"/>
      <c r="F698" s="48" t="str">
        <f t="array" ref="F698">XLOOKUP($D698,REGOLITOS!$A:$A,REGOLITOS!F:F)</f>
        <v>#N/A</v>
      </c>
      <c r="G698" s="48" t="str">
        <f t="array" ref="G698">XLOOKUP($D698,REGOLITOS!$A:$A,REGOLITOS!G:G)</f>
        <v>#N/A</v>
      </c>
      <c r="H698" s="48" t="str">
        <f t="array" ref="H698">XLOOKUP($D698,REGOLITOS!$A:$A,REGOLITOS!H:H)</f>
        <v>#N/A</v>
      </c>
      <c r="I698" s="48" t="str">
        <f t="array" ref="I698">XLOOKUP($D698,REGOLITOS!$A:$A,REGOLITOS!I:I)</f>
        <v>#N/A</v>
      </c>
      <c r="J698" s="48" t="str">
        <f t="array" ref="J698">XLOOKUP($D698,REGOLITOS!$A:$A,REGOLITOS!J:J)</f>
        <v>#N/A</v>
      </c>
      <c r="K698" s="48" t="str">
        <f t="array" ref="K698">XLOOKUP($D698,REGOLITOS!$A:$A,REGOLITOS!K:K)</f>
        <v>#N/A</v>
      </c>
      <c r="L698" s="76"/>
      <c r="M698" s="5" t="s">
        <v>1080</v>
      </c>
      <c r="N698" s="5" t="s">
        <v>1080</v>
      </c>
      <c r="O698" s="5" t="s">
        <v>1080</v>
      </c>
      <c r="P698" s="5" t="s">
        <v>1080</v>
      </c>
      <c r="Q698" s="5" t="s">
        <v>1080</v>
      </c>
      <c r="X698" s="71">
        <f t="shared" si="5"/>
        <v>0</v>
      </c>
      <c r="Y698" s="5" t="b">
        <v>0</v>
      </c>
    </row>
    <row r="699">
      <c r="B699" s="5" t="str">
        <f t="array" ref="B699">XLOOKUP(A699, CURSOS!A:A, CURSOS!B:B)</f>
        <v>#N/A</v>
      </c>
      <c r="C699" s="75" t="str">
        <f t="array" ref="C699">XLOOKUP(A699, CURSOS!A:A, CURSOS!C:C)</f>
        <v>#N/A</v>
      </c>
      <c r="D699" s="70" t="e">
        <v>#N/A</v>
      </c>
      <c r="E699" s="48"/>
      <c r="F699" s="48" t="str">
        <f t="array" ref="F699">XLOOKUP($D699,REGOLITOS!$A:$A,REGOLITOS!F:F)</f>
        <v>#N/A</v>
      </c>
      <c r="G699" s="48" t="str">
        <f t="array" ref="G699">XLOOKUP($D699,REGOLITOS!$A:$A,REGOLITOS!G:G)</f>
        <v>#N/A</v>
      </c>
      <c r="H699" s="48" t="str">
        <f t="array" ref="H699">XLOOKUP($D699,REGOLITOS!$A:$A,REGOLITOS!H:H)</f>
        <v>#N/A</v>
      </c>
      <c r="I699" s="48" t="str">
        <f t="array" ref="I699">XLOOKUP($D699,REGOLITOS!$A:$A,REGOLITOS!I:I)</f>
        <v>#N/A</v>
      </c>
      <c r="J699" s="48" t="str">
        <f t="array" ref="J699">XLOOKUP($D699,REGOLITOS!$A:$A,REGOLITOS!J:J)</f>
        <v>#N/A</v>
      </c>
      <c r="K699" s="48" t="str">
        <f t="array" ref="K699">XLOOKUP($D699,REGOLITOS!$A:$A,REGOLITOS!K:K)</f>
        <v>#N/A</v>
      </c>
      <c r="L699" s="76"/>
      <c r="M699" s="5" t="s">
        <v>1080</v>
      </c>
      <c r="N699" s="5" t="s">
        <v>1080</v>
      </c>
      <c r="O699" s="5" t="s">
        <v>1080</v>
      </c>
      <c r="P699" s="5" t="s">
        <v>1080</v>
      </c>
      <c r="Q699" s="5" t="s">
        <v>1080</v>
      </c>
      <c r="X699" s="71">
        <f t="shared" si="5"/>
        <v>0</v>
      </c>
      <c r="Y699" s="5" t="b">
        <v>0</v>
      </c>
    </row>
    <row r="700">
      <c r="B700" s="5" t="str">
        <f t="array" ref="B700">XLOOKUP(A700, CURSOS!A:A, CURSOS!B:B)</f>
        <v>#N/A</v>
      </c>
      <c r="C700" s="75" t="str">
        <f t="array" ref="C700">XLOOKUP(A700, CURSOS!A:A, CURSOS!C:C)</f>
        <v>#N/A</v>
      </c>
      <c r="D700" s="70" t="e">
        <v>#N/A</v>
      </c>
      <c r="E700" s="48"/>
      <c r="F700" s="48" t="str">
        <f t="array" ref="F700">XLOOKUP($D700,REGOLITOS!$A:$A,REGOLITOS!F:F)</f>
        <v>#N/A</v>
      </c>
      <c r="G700" s="48" t="str">
        <f t="array" ref="G700">XLOOKUP($D700,REGOLITOS!$A:$A,REGOLITOS!G:G)</f>
        <v>#N/A</v>
      </c>
      <c r="H700" s="48" t="str">
        <f t="array" ref="H700">XLOOKUP($D700,REGOLITOS!$A:$A,REGOLITOS!H:H)</f>
        <v>#N/A</v>
      </c>
      <c r="I700" s="48" t="str">
        <f t="array" ref="I700">XLOOKUP($D700,REGOLITOS!$A:$A,REGOLITOS!I:I)</f>
        <v>#N/A</v>
      </c>
      <c r="J700" s="48" t="str">
        <f t="array" ref="J700">XLOOKUP($D700,REGOLITOS!$A:$A,REGOLITOS!J:J)</f>
        <v>#N/A</v>
      </c>
      <c r="K700" s="48" t="str">
        <f t="array" ref="K700">XLOOKUP($D700,REGOLITOS!$A:$A,REGOLITOS!K:K)</f>
        <v>#N/A</v>
      </c>
      <c r="L700" s="76"/>
      <c r="M700" s="5" t="s">
        <v>1080</v>
      </c>
      <c r="N700" s="5" t="s">
        <v>1080</v>
      </c>
      <c r="O700" s="5" t="s">
        <v>1080</v>
      </c>
      <c r="P700" s="5" t="s">
        <v>1080</v>
      </c>
      <c r="Q700" s="5" t="s">
        <v>1080</v>
      </c>
      <c r="X700" s="71">
        <f t="shared" si="5"/>
        <v>0</v>
      </c>
      <c r="Y700" s="5" t="b">
        <v>0</v>
      </c>
    </row>
    <row r="701">
      <c r="B701" s="5" t="str">
        <f t="array" ref="B701">XLOOKUP(A701, CURSOS!A:A, CURSOS!B:B)</f>
        <v>#N/A</v>
      </c>
      <c r="C701" s="75" t="str">
        <f t="array" ref="C701">XLOOKUP(A701, CURSOS!A:A, CURSOS!C:C)</f>
        <v>#N/A</v>
      </c>
      <c r="D701" s="70" t="e">
        <v>#N/A</v>
      </c>
      <c r="E701" s="48"/>
      <c r="F701" s="48" t="str">
        <f t="array" ref="F701">XLOOKUP($D701,REGOLITOS!$A:$A,REGOLITOS!F:F)</f>
        <v>#N/A</v>
      </c>
      <c r="G701" s="48" t="str">
        <f t="array" ref="G701">XLOOKUP($D701,REGOLITOS!$A:$A,REGOLITOS!G:G)</f>
        <v>#N/A</v>
      </c>
      <c r="H701" s="48" t="str">
        <f t="array" ref="H701">XLOOKUP($D701,REGOLITOS!$A:$A,REGOLITOS!H:H)</f>
        <v>#N/A</v>
      </c>
      <c r="I701" s="48" t="str">
        <f t="array" ref="I701">XLOOKUP($D701,REGOLITOS!$A:$A,REGOLITOS!I:I)</f>
        <v>#N/A</v>
      </c>
      <c r="J701" s="48" t="str">
        <f t="array" ref="J701">XLOOKUP($D701,REGOLITOS!$A:$A,REGOLITOS!J:J)</f>
        <v>#N/A</v>
      </c>
      <c r="K701" s="48" t="str">
        <f t="array" ref="K701">XLOOKUP($D701,REGOLITOS!$A:$A,REGOLITOS!K:K)</f>
        <v>#N/A</v>
      </c>
      <c r="L701" s="76"/>
      <c r="M701" s="5" t="s">
        <v>1080</v>
      </c>
      <c r="N701" s="5" t="s">
        <v>1080</v>
      </c>
      <c r="O701" s="5" t="s">
        <v>1080</v>
      </c>
      <c r="P701" s="5" t="s">
        <v>1080</v>
      </c>
      <c r="Q701" s="5" t="s">
        <v>1080</v>
      </c>
      <c r="X701" s="71">
        <f t="shared" si="5"/>
        <v>0</v>
      </c>
      <c r="Y701" s="5" t="b">
        <v>0</v>
      </c>
    </row>
    <row r="702">
      <c r="B702" s="5" t="str">
        <f t="array" ref="B702">XLOOKUP(A702, CURSOS!A:A, CURSOS!B:B)</f>
        <v>#N/A</v>
      </c>
      <c r="C702" s="75" t="str">
        <f t="array" ref="C702">XLOOKUP(A702, CURSOS!A:A, CURSOS!C:C)</f>
        <v>#N/A</v>
      </c>
      <c r="D702" s="70" t="e">
        <v>#N/A</v>
      </c>
      <c r="E702" s="48"/>
      <c r="F702" s="48" t="str">
        <f t="array" ref="F702">XLOOKUP($D702,REGOLITOS!$A:$A,REGOLITOS!F:F)</f>
        <v>#N/A</v>
      </c>
      <c r="G702" s="48" t="str">
        <f t="array" ref="G702">XLOOKUP($D702,REGOLITOS!$A:$A,REGOLITOS!G:G)</f>
        <v>#N/A</v>
      </c>
      <c r="H702" s="48" t="str">
        <f t="array" ref="H702">XLOOKUP($D702,REGOLITOS!$A:$A,REGOLITOS!H:H)</f>
        <v>#N/A</v>
      </c>
      <c r="I702" s="48" t="str">
        <f t="array" ref="I702">XLOOKUP($D702,REGOLITOS!$A:$A,REGOLITOS!I:I)</f>
        <v>#N/A</v>
      </c>
      <c r="J702" s="48" t="str">
        <f t="array" ref="J702">XLOOKUP($D702,REGOLITOS!$A:$A,REGOLITOS!J:J)</f>
        <v>#N/A</v>
      </c>
      <c r="K702" s="48" t="str">
        <f t="array" ref="K702">XLOOKUP($D702,REGOLITOS!$A:$A,REGOLITOS!K:K)</f>
        <v>#N/A</v>
      </c>
      <c r="L702" s="76"/>
      <c r="M702" s="5" t="s">
        <v>1080</v>
      </c>
      <c r="N702" s="5" t="s">
        <v>1080</v>
      </c>
      <c r="O702" s="5" t="s">
        <v>1080</v>
      </c>
      <c r="P702" s="5" t="s">
        <v>1080</v>
      </c>
      <c r="Q702" s="5" t="s">
        <v>1080</v>
      </c>
      <c r="X702" s="71">
        <f t="shared" si="5"/>
        <v>0</v>
      </c>
      <c r="Y702" s="5" t="b">
        <v>0</v>
      </c>
    </row>
    <row r="703">
      <c r="B703" s="5" t="str">
        <f t="array" ref="B703">XLOOKUP(A703, CURSOS!A:A, CURSOS!B:B)</f>
        <v>#N/A</v>
      </c>
      <c r="C703" s="75" t="str">
        <f t="array" ref="C703">XLOOKUP(A703, CURSOS!A:A, CURSOS!C:C)</f>
        <v>#N/A</v>
      </c>
      <c r="D703" s="70" t="e">
        <v>#N/A</v>
      </c>
      <c r="E703" s="48"/>
      <c r="F703" s="48" t="str">
        <f t="array" ref="F703">XLOOKUP($D703,REGOLITOS!$A:$A,REGOLITOS!F:F)</f>
        <v>#N/A</v>
      </c>
      <c r="G703" s="48" t="str">
        <f t="array" ref="G703">XLOOKUP($D703,REGOLITOS!$A:$A,REGOLITOS!G:G)</f>
        <v>#N/A</v>
      </c>
      <c r="H703" s="48" t="str">
        <f t="array" ref="H703">XLOOKUP($D703,REGOLITOS!$A:$A,REGOLITOS!H:H)</f>
        <v>#N/A</v>
      </c>
      <c r="I703" s="48" t="str">
        <f t="array" ref="I703">XLOOKUP($D703,REGOLITOS!$A:$A,REGOLITOS!I:I)</f>
        <v>#N/A</v>
      </c>
      <c r="J703" s="48" t="str">
        <f t="array" ref="J703">XLOOKUP($D703,REGOLITOS!$A:$A,REGOLITOS!J:J)</f>
        <v>#N/A</v>
      </c>
      <c r="K703" s="48" t="str">
        <f t="array" ref="K703">XLOOKUP($D703,REGOLITOS!$A:$A,REGOLITOS!K:K)</f>
        <v>#N/A</v>
      </c>
      <c r="L703" s="76"/>
      <c r="M703" s="5" t="s">
        <v>1080</v>
      </c>
      <c r="N703" s="5" t="s">
        <v>1080</v>
      </c>
      <c r="O703" s="5" t="s">
        <v>1080</v>
      </c>
      <c r="P703" s="5" t="s">
        <v>1080</v>
      </c>
      <c r="Q703" s="5" t="s">
        <v>1080</v>
      </c>
      <c r="X703" s="71">
        <f t="shared" si="5"/>
        <v>0</v>
      </c>
      <c r="Y703" s="5" t="b">
        <v>0</v>
      </c>
    </row>
    <row r="704">
      <c r="B704" s="5" t="str">
        <f t="array" ref="B704">XLOOKUP(A704, CURSOS!A:A, CURSOS!B:B)</f>
        <v>#N/A</v>
      </c>
      <c r="C704" s="75" t="str">
        <f t="array" ref="C704">XLOOKUP(A704, CURSOS!A:A, CURSOS!C:C)</f>
        <v>#N/A</v>
      </c>
      <c r="D704" s="70" t="e">
        <v>#N/A</v>
      </c>
      <c r="E704" s="48"/>
      <c r="F704" s="48" t="str">
        <f t="array" ref="F704">XLOOKUP($D704,REGOLITOS!$A:$A,REGOLITOS!F:F)</f>
        <v>#N/A</v>
      </c>
      <c r="G704" s="48" t="str">
        <f t="array" ref="G704">XLOOKUP($D704,REGOLITOS!$A:$A,REGOLITOS!G:G)</f>
        <v>#N/A</v>
      </c>
      <c r="H704" s="48" t="str">
        <f t="array" ref="H704">XLOOKUP($D704,REGOLITOS!$A:$A,REGOLITOS!H:H)</f>
        <v>#N/A</v>
      </c>
      <c r="I704" s="48" t="str">
        <f t="array" ref="I704">XLOOKUP($D704,REGOLITOS!$A:$A,REGOLITOS!I:I)</f>
        <v>#N/A</v>
      </c>
      <c r="J704" s="48" t="str">
        <f t="array" ref="J704">XLOOKUP($D704,REGOLITOS!$A:$A,REGOLITOS!J:J)</f>
        <v>#N/A</v>
      </c>
      <c r="K704" s="48" t="str">
        <f t="array" ref="K704">XLOOKUP($D704,REGOLITOS!$A:$A,REGOLITOS!K:K)</f>
        <v>#N/A</v>
      </c>
      <c r="L704" s="76"/>
      <c r="M704" s="5" t="s">
        <v>1080</v>
      </c>
      <c r="N704" s="5" t="s">
        <v>1080</v>
      </c>
      <c r="O704" s="5" t="s">
        <v>1080</v>
      </c>
      <c r="P704" s="5" t="s">
        <v>1080</v>
      </c>
      <c r="Q704" s="5" t="s">
        <v>1080</v>
      </c>
      <c r="X704" s="71">
        <f t="shared" si="5"/>
        <v>0</v>
      </c>
      <c r="Y704" s="5" t="b">
        <v>0</v>
      </c>
    </row>
    <row r="705">
      <c r="B705" s="5" t="str">
        <f t="array" ref="B705">XLOOKUP(A705, CURSOS!A:A, CURSOS!B:B)</f>
        <v>#N/A</v>
      </c>
      <c r="C705" s="75" t="str">
        <f t="array" ref="C705">XLOOKUP(A705, CURSOS!A:A, CURSOS!C:C)</f>
        <v>#N/A</v>
      </c>
      <c r="D705" s="70" t="e">
        <v>#N/A</v>
      </c>
      <c r="E705" s="48"/>
      <c r="F705" s="48" t="str">
        <f t="array" ref="F705">XLOOKUP($D705,REGOLITOS!$A:$A,REGOLITOS!F:F)</f>
        <v>#N/A</v>
      </c>
      <c r="G705" s="48" t="str">
        <f t="array" ref="G705">XLOOKUP($D705,REGOLITOS!$A:$A,REGOLITOS!G:G)</f>
        <v>#N/A</v>
      </c>
      <c r="H705" s="48" t="str">
        <f t="array" ref="H705">XLOOKUP($D705,REGOLITOS!$A:$A,REGOLITOS!H:H)</f>
        <v>#N/A</v>
      </c>
      <c r="I705" s="48" t="str">
        <f t="array" ref="I705">XLOOKUP($D705,REGOLITOS!$A:$A,REGOLITOS!I:I)</f>
        <v>#N/A</v>
      </c>
      <c r="J705" s="48" t="str">
        <f t="array" ref="J705">XLOOKUP($D705,REGOLITOS!$A:$A,REGOLITOS!J:J)</f>
        <v>#N/A</v>
      </c>
      <c r="K705" s="48" t="str">
        <f t="array" ref="K705">XLOOKUP($D705,REGOLITOS!$A:$A,REGOLITOS!K:K)</f>
        <v>#N/A</v>
      </c>
      <c r="L705" s="76"/>
      <c r="M705" s="5" t="s">
        <v>1080</v>
      </c>
      <c r="N705" s="5" t="s">
        <v>1080</v>
      </c>
      <c r="O705" s="5" t="s">
        <v>1080</v>
      </c>
      <c r="P705" s="5" t="s">
        <v>1080</v>
      </c>
      <c r="Q705" s="5" t="s">
        <v>1080</v>
      </c>
      <c r="X705" s="71">
        <f t="shared" si="5"/>
        <v>0</v>
      </c>
      <c r="Y705" s="5" t="b">
        <v>0</v>
      </c>
    </row>
    <row r="706">
      <c r="B706" s="5" t="str">
        <f t="array" ref="B706">XLOOKUP(A706, CURSOS!A:A, CURSOS!B:B)</f>
        <v>#N/A</v>
      </c>
      <c r="C706" s="75" t="str">
        <f t="array" ref="C706">XLOOKUP(A706, CURSOS!A:A, CURSOS!C:C)</f>
        <v>#N/A</v>
      </c>
      <c r="D706" s="70" t="e">
        <v>#N/A</v>
      </c>
      <c r="E706" s="48"/>
      <c r="F706" s="48" t="str">
        <f t="array" ref="F706">XLOOKUP($D706,REGOLITOS!$A:$A,REGOLITOS!F:F)</f>
        <v>#N/A</v>
      </c>
      <c r="G706" s="48" t="str">
        <f t="array" ref="G706">XLOOKUP($D706,REGOLITOS!$A:$A,REGOLITOS!G:G)</f>
        <v>#N/A</v>
      </c>
      <c r="H706" s="48" t="str">
        <f t="array" ref="H706">XLOOKUP($D706,REGOLITOS!$A:$A,REGOLITOS!H:H)</f>
        <v>#N/A</v>
      </c>
      <c r="I706" s="48" t="str">
        <f t="array" ref="I706">XLOOKUP($D706,REGOLITOS!$A:$A,REGOLITOS!I:I)</f>
        <v>#N/A</v>
      </c>
      <c r="J706" s="48" t="str">
        <f t="array" ref="J706">XLOOKUP($D706,REGOLITOS!$A:$A,REGOLITOS!J:J)</f>
        <v>#N/A</v>
      </c>
      <c r="K706" s="48" t="str">
        <f t="array" ref="K706">XLOOKUP($D706,REGOLITOS!$A:$A,REGOLITOS!K:K)</f>
        <v>#N/A</v>
      </c>
      <c r="L706" s="76"/>
      <c r="M706" s="5" t="s">
        <v>1080</v>
      </c>
      <c r="N706" s="5" t="s">
        <v>1080</v>
      </c>
      <c r="O706" s="5" t="s">
        <v>1080</v>
      </c>
      <c r="P706" s="5" t="s">
        <v>1080</v>
      </c>
      <c r="Q706" s="5" t="s">
        <v>1080</v>
      </c>
      <c r="X706" s="71">
        <f t="shared" si="5"/>
        <v>0</v>
      </c>
      <c r="Y706" s="5" t="b">
        <v>0</v>
      </c>
    </row>
    <row r="707">
      <c r="B707" s="5" t="str">
        <f t="array" ref="B707">XLOOKUP(A707, CURSOS!A:A, CURSOS!B:B)</f>
        <v>#N/A</v>
      </c>
      <c r="C707" s="75" t="str">
        <f t="array" ref="C707">XLOOKUP(A707, CURSOS!A:A, CURSOS!C:C)</f>
        <v>#N/A</v>
      </c>
      <c r="D707" s="70" t="e">
        <v>#N/A</v>
      </c>
      <c r="E707" s="48"/>
      <c r="F707" s="48" t="str">
        <f t="array" ref="F707">XLOOKUP($D707,REGOLITOS!$A:$A,REGOLITOS!F:F)</f>
        <v>#N/A</v>
      </c>
      <c r="G707" s="48" t="str">
        <f t="array" ref="G707">XLOOKUP($D707,REGOLITOS!$A:$A,REGOLITOS!G:G)</f>
        <v>#N/A</v>
      </c>
      <c r="H707" s="48" t="str">
        <f t="array" ref="H707">XLOOKUP($D707,REGOLITOS!$A:$A,REGOLITOS!H:H)</f>
        <v>#N/A</v>
      </c>
      <c r="I707" s="48" t="str">
        <f t="array" ref="I707">XLOOKUP($D707,REGOLITOS!$A:$A,REGOLITOS!I:I)</f>
        <v>#N/A</v>
      </c>
      <c r="J707" s="48" t="str">
        <f t="array" ref="J707">XLOOKUP($D707,REGOLITOS!$A:$A,REGOLITOS!J:J)</f>
        <v>#N/A</v>
      </c>
      <c r="K707" s="48" t="str">
        <f t="array" ref="K707">XLOOKUP($D707,REGOLITOS!$A:$A,REGOLITOS!K:K)</f>
        <v>#N/A</v>
      </c>
      <c r="L707" s="76"/>
      <c r="M707" s="5" t="s">
        <v>1080</v>
      </c>
      <c r="N707" s="5" t="s">
        <v>1080</v>
      </c>
      <c r="O707" s="5" t="s">
        <v>1080</v>
      </c>
      <c r="P707" s="5" t="s">
        <v>1080</v>
      </c>
      <c r="Q707" s="5" t="s">
        <v>1080</v>
      </c>
      <c r="X707" s="71">
        <f t="shared" si="5"/>
        <v>0</v>
      </c>
      <c r="Y707" s="5" t="b">
        <v>0</v>
      </c>
    </row>
    <row r="708">
      <c r="B708" s="5" t="str">
        <f t="array" ref="B708">XLOOKUP(A708, CURSOS!A:A, CURSOS!B:B)</f>
        <v>#N/A</v>
      </c>
      <c r="C708" s="75" t="str">
        <f t="array" ref="C708">XLOOKUP(A708, CURSOS!A:A, CURSOS!C:C)</f>
        <v>#N/A</v>
      </c>
      <c r="D708" s="70" t="e">
        <v>#N/A</v>
      </c>
      <c r="E708" s="48"/>
      <c r="F708" s="48" t="str">
        <f t="array" ref="F708">XLOOKUP($D708,REGOLITOS!$A:$A,REGOLITOS!F:F)</f>
        <v>#N/A</v>
      </c>
      <c r="G708" s="48" t="str">
        <f t="array" ref="G708">XLOOKUP($D708,REGOLITOS!$A:$A,REGOLITOS!G:G)</f>
        <v>#N/A</v>
      </c>
      <c r="H708" s="48" t="str">
        <f t="array" ref="H708">XLOOKUP($D708,REGOLITOS!$A:$A,REGOLITOS!H:H)</f>
        <v>#N/A</v>
      </c>
      <c r="I708" s="48" t="str">
        <f t="array" ref="I708">XLOOKUP($D708,REGOLITOS!$A:$A,REGOLITOS!I:I)</f>
        <v>#N/A</v>
      </c>
      <c r="J708" s="48" t="str">
        <f t="array" ref="J708">XLOOKUP($D708,REGOLITOS!$A:$A,REGOLITOS!J:J)</f>
        <v>#N/A</v>
      </c>
      <c r="K708" s="48" t="str">
        <f t="array" ref="K708">XLOOKUP($D708,REGOLITOS!$A:$A,REGOLITOS!K:K)</f>
        <v>#N/A</v>
      </c>
      <c r="L708" s="76"/>
      <c r="M708" s="5" t="s">
        <v>1080</v>
      </c>
      <c r="N708" s="5" t="s">
        <v>1080</v>
      </c>
      <c r="O708" s="5" t="s">
        <v>1080</v>
      </c>
      <c r="P708" s="5" t="s">
        <v>1080</v>
      </c>
      <c r="Q708" s="5" t="s">
        <v>1080</v>
      </c>
      <c r="X708" s="71">
        <f t="shared" si="5"/>
        <v>0</v>
      </c>
      <c r="Y708" s="5" t="b">
        <v>0</v>
      </c>
    </row>
    <row r="709">
      <c r="B709" s="5" t="str">
        <f t="array" ref="B709">XLOOKUP(A709, CURSOS!A:A, CURSOS!B:B)</f>
        <v>#N/A</v>
      </c>
      <c r="C709" s="75" t="str">
        <f t="array" ref="C709">XLOOKUP(A709, CURSOS!A:A, CURSOS!C:C)</f>
        <v>#N/A</v>
      </c>
      <c r="D709" s="70" t="e">
        <v>#N/A</v>
      </c>
      <c r="E709" s="48"/>
      <c r="F709" s="48" t="str">
        <f t="array" ref="F709">XLOOKUP($D709,REGOLITOS!$A:$A,REGOLITOS!F:F)</f>
        <v>#N/A</v>
      </c>
      <c r="G709" s="48" t="str">
        <f t="array" ref="G709">XLOOKUP($D709,REGOLITOS!$A:$A,REGOLITOS!G:G)</f>
        <v>#N/A</v>
      </c>
      <c r="H709" s="48" t="str">
        <f t="array" ref="H709">XLOOKUP($D709,REGOLITOS!$A:$A,REGOLITOS!H:H)</f>
        <v>#N/A</v>
      </c>
      <c r="I709" s="48" t="str">
        <f t="array" ref="I709">XLOOKUP($D709,REGOLITOS!$A:$A,REGOLITOS!I:I)</f>
        <v>#N/A</v>
      </c>
      <c r="J709" s="48" t="str">
        <f t="array" ref="J709">XLOOKUP($D709,REGOLITOS!$A:$A,REGOLITOS!J:J)</f>
        <v>#N/A</v>
      </c>
      <c r="K709" s="48" t="str">
        <f t="array" ref="K709">XLOOKUP($D709,REGOLITOS!$A:$A,REGOLITOS!K:K)</f>
        <v>#N/A</v>
      </c>
      <c r="L709" s="76"/>
      <c r="M709" s="5" t="s">
        <v>1080</v>
      </c>
      <c r="N709" s="5" t="s">
        <v>1080</v>
      </c>
      <c r="O709" s="5" t="s">
        <v>1080</v>
      </c>
      <c r="P709" s="5" t="s">
        <v>1080</v>
      </c>
      <c r="Q709" s="5" t="s">
        <v>1080</v>
      </c>
      <c r="X709" s="71">
        <f t="shared" si="5"/>
        <v>0</v>
      </c>
      <c r="Y709" s="5" t="b">
        <v>0</v>
      </c>
    </row>
    <row r="710">
      <c r="B710" s="5" t="str">
        <f t="array" ref="B710">XLOOKUP(A710, CURSOS!A:A, CURSOS!B:B)</f>
        <v>#N/A</v>
      </c>
      <c r="C710" s="75" t="str">
        <f t="array" ref="C710">XLOOKUP(A710, CURSOS!A:A, CURSOS!C:C)</f>
        <v>#N/A</v>
      </c>
      <c r="D710" s="70" t="e">
        <v>#N/A</v>
      </c>
      <c r="E710" s="48"/>
      <c r="F710" s="48" t="str">
        <f t="array" ref="F710">XLOOKUP($D710,REGOLITOS!$A:$A,REGOLITOS!F:F)</f>
        <v>#N/A</v>
      </c>
      <c r="G710" s="48" t="str">
        <f t="array" ref="G710">XLOOKUP($D710,REGOLITOS!$A:$A,REGOLITOS!G:G)</f>
        <v>#N/A</v>
      </c>
      <c r="H710" s="48" t="str">
        <f t="array" ref="H710">XLOOKUP($D710,REGOLITOS!$A:$A,REGOLITOS!H:H)</f>
        <v>#N/A</v>
      </c>
      <c r="I710" s="48" t="str">
        <f t="array" ref="I710">XLOOKUP($D710,REGOLITOS!$A:$A,REGOLITOS!I:I)</f>
        <v>#N/A</v>
      </c>
      <c r="J710" s="48" t="str">
        <f t="array" ref="J710">XLOOKUP($D710,REGOLITOS!$A:$A,REGOLITOS!J:J)</f>
        <v>#N/A</v>
      </c>
      <c r="K710" s="48" t="str">
        <f t="array" ref="K710">XLOOKUP($D710,REGOLITOS!$A:$A,REGOLITOS!K:K)</f>
        <v>#N/A</v>
      </c>
      <c r="L710" s="76"/>
      <c r="M710" s="5" t="s">
        <v>1080</v>
      </c>
      <c r="N710" s="5" t="s">
        <v>1080</v>
      </c>
      <c r="O710" s="5" t="s">
        <v>1080</v>
      </c>
      <c r="P710" s="5" t="s">
        <v>1080</v>
      </c>
      <c r="Q710" s="5" t="s">
        <v>1080</v>
      </c>
      <c r="X710" s="71">
        <f t="shared" si="5"/>
        <v>0</v>
      </c>
      <c r="Y710" s="5" t="b">
        <v>0</v>
      </c>
    </row>
    <row r="711">
      <c r="B711" s="5" t="str">
        <f t="array" ref="B711">XLOOKUP(A711, CURSOS!A:A, CURSOS!B:B)</f>
        <v>#N/A</v>
      </c>
      <c r="C711" s="75" t="str">
        <f t="array" ref="C711">XLOOKUP(A711, CURSOS!A:A, CURSOS!C:C)</f>
        <v>#N/A</v>
      </c>
      <c r="D711" s="70" t="e">
        <v>#N/A</v>
      </c>
      <c r="E711" s="48"/>
      <c r="F711" s="48" t="str">
        <f t="array" ref="F711">XLOOKUP($D711,REGOLITOS!$A:$A,REGOLITOS!F:F)</f>
        <v>#N/A</v>
      </c>
      <c r="G711" s="48" t="str">
        <f t="array" ref="G711">XLOOKUP($D711,REGOLITOS!$A:$A,REGOLITOS!G:G)</f>
        <v>#N/A</v>
      </c>
      <c r="H711" s="48" t="str">
        <f t="array" ref="H711">XLOOKUP($D711,REGOLITOS!$A:$A,REGOLITOS!H:H)</f>
        <v>#N/A</v>
      </c>
      <c r="I711" s="48" t="str">
        <f t="array" ref="I711">XLOOKUP($D711,REGOLITOS!$A:$A,REGOLITOS!I:I)</f>
        <v>#N/A</v>
      </c>
      <c r="J711" s="48" t="str">
        <f t="array" ref="J711">XLOOKUP($D711,REGOLITOS!$A:$A,REGOLITOS!J:J)</f>
        <v>#N/A</v>
      </c>
      <c r="K711" s="48" t="str">
        <f t="array" ref="K711">XLOOKUP($D711,REGOLITOS!$A:$A,REGOLITOS!K:K)</f>
        <v>#N/A</v>
      </c>
      <c r="L711" s="76"/>
      <c r="M711" s="5" t="s">
        <v>1080</v>
      </c>
      <c r="N711" s="5" t="s">
        <v>1080</v>
      </c>
      <c r="O711" s="5" t="s">
        <v>1080</v>
      </c>
      <c r="P711" s="5" t="s">
        <v>1080</v>
      </c>
      <c r="Q711" s="5" t="s">
        <v>1080</v>
      </c>
      <c r="X711" s="71">
        <f t="shared" si="5"/>
        <v>0</v>
      </c>
      <c r="Y711" s="5" t="b">
        <v>0</v>
      </c>
    </row>
    <row r="712">
      <c r="B712" s="5" t="str">
        <f t="array" ref="B712">XLOOKUP(A712, CURSOS!A:A, CURSOS!B:B)</f>
        <v>#N/A</v>
      </c>
      <c r="C712" s="75" t="str">
        <f t="array" ref="C712">XLOOKUP(A712, CURSOS!A:A, CURSOS!C:C)</f>
        <v>#N/A</v>
      </c>
      <c r="D712" s="70" t="e">
        <v>#N/A</v>
      </c>
      <c r="E712" s="48"/>
      <c r="F712" s="48" t="str">
        <f t="array" ref="F712">XLOOKUP($D712,REGOLITOS!$A:$A,REGOLITOS!F:F)</f>
        <v>#N/A</v>
      </c>
      <c r="G712" s="48" t="str">
        <f t="array" ref="G712">XLOOKUP($D712,REGOLITOS!$A:$A,REGOLITOS!G:G)</f>
        <v>#N/A</v>
      </c>
      <c r="H712" s="48" t="str">
        <f t="array" ref="H712">XLOOKUP($D712,REGOLITOS!$A:$A,REGOLITOS!H:H)</f>
        <v>#N/A</v>
      </c>
      <c r="I712" s="48" t="str">
        <f t="array" ref="I712">XLOOKUP($D712,REGOLITOS!$A:$A,REGOLITOS!I:I)</f>
        <v>#N/A</v>
      </c>
      <c r="J712" s="48" t="str">
        <f t="array" ref="J712">XLOOKUP($D712,REGOLITOS!$A:$A,REGOLITOS!J:J)</f>
        <v>#N/A</v>
      </c>
      <c r="K712" s="48" t="str">
        <f t="array" ref="K712">XLOOKUP($D712,REGOLITOS!$A:$A,REGOLITOS!K:K)</f>
        <v>#N/A</v>
      </c>
      <c r="L712" s="76"/>
      <c r="M712" s="5" t="s">
        <v>1080</v>
      </c>
      <c r="N712" s="5" t="s">
        <v>1080</v>
      </c>
      <c r="O712" s="5" t="s">
        <v>1080</v>
      </c>
      <c r="P712" s="5" t="s">
        <v>1080</v>
      </c>
      <c r="Q712" s="5" t="s">
        <v>1080</v>
      </c>
      <c r="X712" s="71">
        <f t="shared" si="5"/>
        <v>0</v>
      </c>
      <c r="Y712" s="5" t="b">
        <v>0</v>
      </c>
    </row>
    <row r="713">
      <c r="B713" s="5" t="str">
        <f t="array" ref="B713">XLOOKUP(A713, CURSOS!A:A, CURSOS!B:B)</f>
        <v>#N/A</v>
      </c>
      <c r="C713" s="75" t="str">
        <f t="array" ref="C713">XLOOKUP(A713, CURSOS!A:A, CURSOS!C:C)</f>
        <v>#N/A</v>
      </c>
      <c r="D713" s="70" t="e">
        <v>#N/A</v>
      </c>
      <c r="E713" s="48"/>
      <c r="F713" s="48" t="str">
        <f t="array" ref="F713">XLOOKUP($D713,REGOLITOS!$A:$A,REGOLITOS!F:F)</f>
        <v>#N/A</v>
      </c>
      <c r="G713" s="48" t="str">
        <f t="array" ref="G713">XLOOKUP($D713,REGOLITOS!$A:$A,REGOLITOS!G:G)</f>
        <v>#N/A</v>
      </c>
      <c r="H713" s="48" t="str">
        <f t="array" ref="H713">XLOOKUP($D713,REGOLITOS!$A:$A,REGOLITOS!H:H)</f>
        <v>#N/A</v>
      </c>
      <c r="I713" s="48" t="str">
        <f t="array" ref="I713">XLOOKUP($D713,REGOLITOS!$A:$A,REGOLITOS!I:I)</f>
        <v>#N/A</v>
      </c>
      <c r="J713" s="48" t="str">
        <f t="array" ref="J713">XLOOKUP($D713,REGOLITOS!$A:$A,REGOLITOS!J:J)</f>
        <v>#N/A</v>
      </c>
      <c r="K713" s="48" t="str">
        <f t="array" ref="K713">XLOOKUP($D713,REGOLITOS!$A:$A,REGOLITOS!K:K)</f>
        <v>#N/A</v>
      </c>
      <c r="L713" s="76"/>
      <c r="M713" s="5" t="s">
        <v>1080</v>
      </c>
      <c r="N713" s="5" t="s">
        <v>1080</v>
      </c>
      <c r="O713" s="5" t="s">
        <v>1080</v>
      </c>
      <c r="P713" s="5" t="s">
        <v>1080</v>
      </c>
      <c r="Q713" s="5" t="s">
        <v>1080</v>
      </c>
      <c r="X713" s="71">
        <f t="shared" si="5"/>
        <v>0</v>
      </c>
      <c r="Y713" s="5" t="b">
        <v>0</v>
      </c>
    </row>
    <row r="714">
      <c r="B714" s="5" t="str">
        <f t="array" ref="B714">XLOOKUP(A714, CURSOS!A:A, CURSOS!B:B)</f>
        <v>#N/A</v>
      </c>
      <c r="C714" s="75" t="str">
        <f t="array" ref="C714">XLOOKUP(A714, CURSOS!A:A, CURSOS!C:C)</f>
        <v>#N/A</v>
      </c>
      <c r="D714" s="70" t="e">
        <v>#N/A</v>
      </c>
      <c r="E714" s="48"/>
      <c r="F714" s="48" t="str">
        <f t="array" ref="F714">XLOOKUP($D714,REGOLITOS!$A:$A,REGOLITOS!F:F)</f>
        <v>#N/A</v>
      </c>
      <c r="G714" s="48" t="str">
        <f t="array" ref="G714">XLOOKUP($D714,REGOLITOS!$A:$A,REGOLITOS!G:G)</f>
        <v>#N/A</v>
      </c>
      <c r="H714" s="48" t="str">
        <f t="array" ref="H714">XLOOKUP($D714,REGOLITOS!$A:$A,REGOLITOS!H:H)</f>
        <v>#N/A</v>
      </c>
      <c r="I714" s="48" t="str">
        <f t="array" ref="I714">XLOOKUP($D714,REGOLITOS!$A:$A,REGOLITOS!I:I)</f>
        <v>#N/A</v>
      </c>
      <c r="J714" s="48" t="str">
        <f t="array" ref="J714">XLOOKUP($D714,REGOLITOS!$A:$A,REGOLITOS!J:J)</f>
        <v>#N/A</v>
      </c>
      <c r="K714" s="48" t="str">
        <f t="array" ref="K714">XLOOKUP($D714,REGOLITOS!$A:$A,REGOLITOS!K:K)</f>
        <v>#N/A</v>
      </c>
      <c r="L714" s="76"/>
      <c r="M714" s="5" t="s">
        <v>1080</v>
      </c>
      <c r="N714" s="5" t="s">
        <v>1080</v>
      </c>
      <c r="O714" s="5" t="s">
        <v>1080</v>
      </c>
      <c r="P714" s="5" t="s">
        <v>1080</v>
      </c>
      <c r="Q714" s="5" t="s">
        <v>1080</v>
      </c>
      <c r="X714" s="71">
        <f t="shared" si="5"/>
        <v>0</v>
      </c>
      <c r="Y714" s="5" t="b">
        <v>0</v>
      </c>
    </row>
    <row r="715">
      <c r="B715" s="5" t="str">
        <f t="array" ref="B715">XLOOKUP(A715, CURSOS!A:A, CURSOS!B:B)</f>
        <v>#N/A</v>
      </c>
      <c r="C715" s="75" t="str">
        <f t="array" ref="C715">XLOOKUP(A715, CURSOS!A:A, CURSOS!C:C)</f>
        <v>#N/A</v>
      </c>
      <c r="D715" s="70" t="e">
        <v>#N/A</v>
      </c>
      <c r="E715" s="48"/>
      <c r="F715" s="48" t="str">
        <f t="array" ref="F715">XLOOKUP($D715,REGOLITOS!$A:$A,REGOLITOS!F:F)</f>
        <v>#N/A</v>
      </c>
      <c r="G715" s="48" t="str">
        <f t="array" ref="G715">XLOOKUP($D715,REGOLITOS!$A:$A,REGOLITOS!G:G)</f>
        <v>#N/A</v>
      </c>
      <c r="H715" s="48" t="str">
        <f t="array" ref="H715">XLOOKUP($D715,REGOLITOS!$A:$A,REGOLITOS!H:H)</f>
        <v>#N/A</v>
      </c>
      <c r="I715" s="48" t="str">
        <f t="array" ref="I715">XLOOKUP($D715,REGOLITOS!$A:$A,REGOLITOS!I:I)</f>
        <v>#N/A</v>
      </c>
      <c r="J715" s="48" t="str">
        <f t="array" ref="J715">XLOOKUP($D715,REGOLITOS!$A:$A,REGOLITOS!J:J)</f>
        <v>#N/A</v>
      </c>
      <c r="K715" s="48" t="str">
        <f t="array" ref="K715">XLOOKUP($D715,REGOLITOS!$A:$A,REGOLITOS!K:K)</f>
        <v>#N/A</v>
      </c>
      <c r="L715" s="76"/>
      <c r="M715" s="5" t="s">
        <v>1080</v>
      </c>
      <c r="N715" s="5" t="s">
        <v>1080</v>
      </c>
      <c r="O715" s="5" t="s">
        <v>1080</v>
      </c>
      <c r="P715" s="5" t="s">
        <v>1080</v>
      </c>
      <c r="Q715" s="5" t="s">
        <v>1080</v>
      </c>
      <c r="X715" s="71">
        <f t="shared" si="5"/>
        <v>0</v>
      </c>
      <c r="Y715" s="5" t="b">
        <v>0</v>
      </c>
    </row>
    <row r="716">
      <c r="B716" s="5" t="str">
        <f t="array" ref="B716">XLOOKUP(A716, CURSOS!A:A, CURSOS!B:B)</f>
        <v>#N/A</v>
      </c>
      <c r="C716" s="75" t="str">
        <f t="array" ref="C716">XLOOKUP(A716, CURSOS!A:A, CURSOS!C:C)</f>
        <v>#N/A</v>
      </c>
      <c r="D716" s="70" t="e">
        <v>#N/A</v>
      </c>
      <c r="E716" s="48"/>
      <c r="F716" s="48" t="str">
        <f t="array" ref="F716">XLOOKUP($D716,REGOLITOS!$A:$A,REGOLITOS!F:F)</f>
        <v>#N/A</v>
      </c>
      <c r="G716" s="48" t="str">
        <f t="array" ref="G716">XLOOKUP($D716,REGOLITOS!$A:$A,REGOLITOS!G:G)</f>
        <v>#N/A</v>
      </c>
      <c r="H716" s="48" t="str">
        <f t="array" ref="H716">XLOOKUP($D716,REGOLITOS!$A:$A,REGOLITOS!H:H)</f>
        <v>#N/A</v>
      </c>
      <c r="I716" s="48" t="str">
        <f t="array" ref="I716">XLOOKUP($D716,REGOLITOS!$A:$A,REGOLITOS!I:I)</f>
        <v>#N/A</v>
      </c>
      <c r="J716" s="48" t="str">
        <f t="array" ref="J716">XLOOKUP($D716,REGOLITOS!$A:$A,REGOLITOS!J:J)</f>
        <v>#N/A</v>
      </c>
      <c r="K716" s="48" t="str">
        <f t="array" ref="K716">XLOOKUP($D716,REGOLITOS!$A:$A,REGOLITOS!K:K)</f>
        <v>#N/A</v>
      </c>
      <c r="L716" s="76"/>
      <c r="M716" s="5" t="s">
        <v>1080</v>
      </c>
      <c r="N716" s="5" t="s">
        <v>1080</v>
      </c>
      <c r="O716" s="5" t="s">
        <v>1080</v>
      </c>
      <c r="P716" s="5" t="s">
        <v>1080</v>
      </c>
      <c r="Q716" s="5" t="s">
        <v>1080</v>
      </c>
      <c r="X716" s="71">
        <f t="shared" si="5"/>
        <v>0</v>
      </c>
      <c r="Y716" s="5" t="b">
        <v>0</v>
      </c>
    </row>
    <row r="717">
      <c r="B717" s="5" t="str">
        <f t="array" ref="B717">XLOOKUP(A717, CURSOS!A:A, CURSOS!B:B)</f>
        <v>#N/A</v>
      </c>
      <c r="C717" s="75" t="str">
        <f t="array" ref="C717">XLOOKUP(A717, CURSOS!A:A, CURSOS!C:C)</f>
        <v>#N/A</v>
      </c>
      <c r="D717" s="70" t="e">
        <v>#N/A</v>
      </c>
      <c r="E717" s="48"/>
      <c r="F717" s="48" t="str">
        <f t="array" ref="F717">XLOOKUP($D717,REGOLITOS!$A:$A,REGOLITOS!F:F)</f>
        <v>#N/A</v>
      </c>
      <c r="G717" s="48" t="str">
        <f t="array" ref="G717">XLOOKUP($D717,REGOLITOS!$A:$A,REGOLITOS!G:G)</f>
        <v>#N/A</v>
      </c>
      <c r="H717" s="48" t="str">
        <f t="array" ref="H717">XLOOKUP($D717,REGOLITOS!$A:$A,REGOLITOS!H:H)</f>
        <v>#N/A</v>
      </c>
      <c r="I717" s="48" t="str">
        <f t="array" ref="I717">XLOOKUP($D717,REGOLITOS!$A:$A,REGOLITOS!I:I)</f>
        <v>#N/A</v>
      </c>
      <c r="J717" s="48" t="str">
        <f t="array" ref="J717">XLOOKUP($D717,REGOLITOS!$A:$A,REGOLITOS!J:J)</f>
        <v>#N/A</v>
      </c>
      <c r="K717" s="48" t="str">
        <f t="array" ref="K717">XLOOKUP($D717,REGOLITOS!$A:$A,REGOLITOS!K:K)</f>
        <v>#N/A</v>
      </c>
      <c r="L717" s="76"/>
      <c r="M717" s="5" t="s">
        <v>1080</v>
      </c>
      <c r="N717" s="5" t="s">
        <v>1080</v>
      </c>
      <c r="O717" s="5" t="s">
        <v>1080</v>
      </c>
      <c r="P717" s="5" t="s">
        <v>1080</v>
      </c>
      <c r="Q717" s="5" t="s">
        <v>1080</v>
      </c>
      <c r="X717" s="71">
        <f t="shared" si="5"/>
        <v>0</v>
      </c>
      <c r="Y717" s="5" t="b">
        <v>0</v>
      </c>
    </row>
    <row r="718">
      <c r="B718" s="5" t="str">
        <f t="array" ref="B718">XLOOKUP(A718, CURSOS!A:A, CURSOS!B:B)</f>
        <v>#N/A</v>
      </c>
      <c r="C718" s="75" t="str">
        <f t="array" ref="C718">XLOOKUP(A718, CURSOS!A:A, CURSOS!C:C)</f>
        <v>#N/A</v>
      </c>
      <c r="D718" s="70" t="e">
        <v>#N/A</v>
      </c>
      <c r="E718" s="48"/>
      <c r="F718" s="48" t="str">
        <f t="array" ref="F718">XLOOKUP($D718,REGOLITOS!$A:$A,REGOLITOS!F:F)</f>
        <v>#N/A</v>
      </c>
      <c r="G718" s="48" t="str">
        <f t="array" ref="G718">XLOOKUP($D718,REGOLITOS!$A:$A,REGOLITOS!G:G)</f>
        <v>#N/A</v>
      </c>
      <c r="H718" s="48" t="str">
        <f t="array" ref="H718">XLOOKUP($D718,REGOLITOS!$A:$A,REGOLITOS!H:H)</f>
        <v>#N/A</v>
      </c>
      <c r="I718" s="48" t="str">
        <f t="array" ref="I718">XLOOKUP($D718,REGOLITOS!$A:$A,REGOLITOS!I:I)</f>
        <v>#N/A</v>
      </c>
      <c r="J718" s="48" t="str">
        <f t="array" ref="J718">XLOOKUP($D718,REGOLITOS!$A:$A,REGOLITOS!J:J)</f>
        <v>#N/A</v>
      </c>
      <c r="K718" s="48" t="str">
        <f t="array" ref="K718">XLOOKUP($D718,REGOLITOS!$A:$A,REGOLITOS!K:K)</f>
        <v>#N/A</v>
      </c>
      <c r="L718" s="76"/>
      <c r="M718" s="5" t="s">
        <v>1080</v>
      </c>
      <c r="N718" s="5" t="s">
        <v>1080</v>
      </c>
      <c r="O718" s="5" t="s">
        <v>1080</v>
      </c>
      <c r="P718" s="5" t="s">
        <v>1080</v>
      </c>
      <c r="Q718" s="5" t="s">
        <v>1080</v>
      </c>
      <c r="X718" s="71">
        <f t="shared" si="5"/>
        <v>0</v>
      </c>
      <c r="Y718" s="5" t="b">
        <v>0</v>
      </c>
    </row>
    <row r="719">
      <c r="B719" s="5" t="str">
        <f t="array" ref="B719">XLOOKUP(A719, CURSOS!A:A, CURSOS!B:B)</f>
        <v>#N/A</v>
      </c>
      <c r="C719" s="75" t="str">
        <f t="array" ref="C719">XLOOKUP(A719, CURSOS!A:A, CURSOS!C:C)</f>
        <v>#N/A</v>
      </c>
      <c r="D719" s="70" t="e">
        <v>#N/A</v>
      </c>
      <c r="E719" s="48"/>
      <c r="F719" s="48" t="str">
        <f t="array" ref="F719">XLOOKUP($D719,REGOLITOS!$A:$A,REGOLITOS!F:F)</f>
        <v>#N/A</v>
      </c>
      <c r="G719" s="48" t="str">
        <f t="array" ref="G719">XLOOKUP($D719,REGOLITOS!$A:$A,REGOLITOS!G:G)</f>
        <v>#N/A</v>
      </c>
      <c r="H719" s="48" t="str">
        <f t="array" ref="H719">XLOOKUP($D719,REGOLITOS!$A:$A,REGOLITOS!H:H)</f>
        <v>#N/A</v>
      </c>
      <c r="I719" s="48" t="str">
        <f t="array" ref="I719">XLOOKUP($D719,REGOLITOS!$A:$A,REGOLITOS!I:I)</f>
        <v>#N/A</v>
      </c>
      <c r="J719" s="48" t="str">
        <f t="array" ref="J719">XLOOKUP($D719,REGOLITOS!$A:$A,REGOLITOS!J:J)</f>
        <v>#N/A</v>
      </c>
      <c r="K719" s="48" t="str">
        <f t="array" ref="K719">XLOOKUP($D719,REGOLITOS!$A:$A,REGOLITOS!K:K)</f>
        <v>#N/A</v>
      </c>
      <c r="L719" s="76"/>
      <c r="M719" s="5" t="s">
        <v>1080</v>
      </c>
      <c r="N719" s="5" t="s">
        <v>1080</v>
      </c>
      <c r="O719" s="5" t="s">
        <v>1080</v>
      </c>
      <c r="P719" s="5" t="s">
        <v>1080</v>
      </c>
      <c r="Q719" s="5" t="s">
        <v>1080</v>
      </c>
      <c r="X719" s="71">
        <f t="shared" si="5"/>
        <v>0</v>
      </c>
      <c r="Y719" s="5" t="b">
        <v>0</v>
      </c>
    </row>
    <row r="720">
      <c r="B720" s="5" t="str">
        <f t="array" ref="B720">XLOOKUP(A720, CURSOS!A:A, CURSOS!B:B)</f>
        <v>#N/A</v>
      </c>
      <c r="C720" s="75" t="str">
        <f t="array" ref="C720">XLOOKUP(A720, CURSOS!A:A, CURSOS!C:C)</f>
        <v>#N/A</v>
      </c>
      <c r="D720" s="70" t="e">
        <v>#N/A</v>
      </c>
      <c r="E720" s="48"/>
      <c r="F720" s="48" t="str">
        <f t="array" ref="F720">XLOOKUP($D720,REGOLITOS!$A:$A,REGOLITOS!F:F)</f>
        <v>#N/A</v>
      </c>
      <c r="G720" s="48" t="str">
        <f t="array" ref="G720">XLOOKUP($D720,REGOLITOS!$A:$A,REGOLITOS!G:G)</f>
        <v>#N/A</v>
      </c>
      <c r="H720" s="48" t="str">
        <f t="array" ref="H720">XLOOKUP($D720,REGOLITOS!$A:$A,REGOLITOS!H:H)</f>
        <v>#N/A</v>
      </c>
      <c r="I720" s="48" t="str">
        <f t="array" ref="I720">XLOOKUP($D720,REGOLITOS!$A:$A,REGOLITOS!I:I)</f>
        <v>#N/A</v>
      </c>
      <c r="J720" s="48" t="str">
        <f t="array" ref="J720">XLOOKUP($D720,REGOLITOS!$A:$A,REGOLITOS!J:J)</f>
        <v>#N/A</v>
      </c>
      <c r="K720" s="48" t="str">
        <f t="array" ref="K720">XLOOKUP($D720,REGOLITOS!$A:$A,REGOLITOS!K:K)</f>
        <v>#N/A</v>
      </c>
      <c r="L720" s="76"/>
      <c r="M720" s="5" t="s">
        <v>1080</v>
      </c>
      <c r="N720" s="5" t="s">
        <v>1080</v>
      </c>
      <c r="O720" s="5" t="s">
        <v>1080</v>
      </c>
      <c r="P720" s="5" t="s">
        <v>1080</v>
      </c>
      <c r="Q720" s="5" t="s">
        <v>1080</v>
      </c>
      <c r="X720" s="71">
        <f t="shared" si="5"/>
        <v>0</v>
      </c>
      <c r="Y720" s="5" t="b">
        <v>0</v>
      </c>
    </row>
    <row r="721">
      <c r="B721" s="5" t="str">
        <f t="array" ref="B721">XLOOKUP(A721, CURSOS!A:A, CURSOS!B:B)</f>
        <v>#N/A</v>
      </c>
      <c r="C721" s="75" t="str">
        <f t="array" ref="C721">XLOOKUP(A721, CURSOS!A:A, CURSOS!C:C)</f>
        <v>#N/A</v>
      </c>
      <c r="D721" s="70" t="e">
        <v>#N/A</v>
      </c>
      <c r="E721" s="48"/>
      <c r="F721" s="48" t="str">
        <f t="array" ref="F721">XLOOKUP($D721,REGOLITOS!$A:$A,REGOLITOS!F:F)</f>
        <v>#N/A</v>
      </c>
      <c r="G721" s="48" t="str">
        <f t="array" ref="G721">XLOOKUP($D721,REGOLITOS!$A:$A,REGOLITOS!G:G)</f>
        <v>#N/A</v>
      </c>
      <c r="H721" s="48" t="str">
        <f t="array" ref="H721">XLOOKUP($D721,REGOLITOS!$A:$A,REGOLITOS!H:H)</f>
        <v>#N/A</v>
      </c>
      <c r="I721" s="48" t="str">
        <f t="array" ref="I721">XLOOKUP($D721,REGOLITOS!$A:$A,REGOLITOS!I:I)</f>
        <v>#N/A</v>
      </c>
      <c r="J721" s="48" t="str">
        <f t="array" ref="J721">XLOOKUP($D721,REGOLITOS!$A:$A,REGOLITOS!J:J)</f>
        <v>#N/A</v>
      </c>
      <c r="K721" s="48" t="str">
        <f t="array" ref="K721">XLOOKUP($D721,REGOLITOS!$A:$A,REGOLITOS!K:K)</f>
        <v>#N/A</v>
      </c>
      <c r="L721" s="76"/>
      <c r="M721" s="5" t="s">
        <v>1080</v>
      </c>
      <c r="N721" s="5" t="s">
        <v>1080</v>
      </c>
      <c r="O721" s="5" t="s">
        <v>1080</v>
      </c>
      <c r="P721" s="5" t="s">
        <v>1080</v>
      </c>
      <c r="Q721" s="5" t="s">
        <v>1080</v>
      </c>
      <c r="X721" s="71">
        <f t="shared" si="5"/>
        <v>0</v>
      </c>
      <c r="Y721" s="5" t="b">
        <v>0</v>
      </c>
    </row>
    <row r="722">
      <c r="B722" s="5" t="str">
        <f t="array" ref="B722">XLOOKUP(A722, CURSOS!A:A, CURSOS!B:B)</f>
        <v>#N/A</v>
      </c>
      <c r="C722" s="75" t="str">
        <f t="array" ref="C722">XLOOKUP(A722, CURSOS!A:A, CURSOS!C:C)</f>
        <v>#N/A</v>
      </c>
      <c r="D722" s="70" t="e">
        <v>#N/A</v>
      </c>
      <c r="E722" s="48"/>
      <c r="F722" s="48" t="str">
        <f t="array" ref="F722">XLOOKUP($D722,REGOLITOS!$A:$A,REGOLITOS!F:F)</f>
        <v>#N/A</v>
      </c>
      <c r="G722" s="48" t="str">
        <f t="array" ref="G722">XLOOKUP($D722,REGOLITOS!$A:$A,REGOLITOS!G:G)</f>
        <v>#N/A</v>
      </c>
      <c r="H722" s="48" t="str">
        <f t="array" ref="H722">XLOOKUP($D722,REGOLITOS!$A:$A,REGOLITOS!H:H)</f>
        <v>#N/A</v>
      </c>
      <c r="I722" s="48" t="str">
        <f t="array" ref="I722">XLOOKUP($D722,REGOLITOS!$A:$A,REGOLITOS!I:I)</f>
        <v>#N/A</v>
      </c>
      <c r="J722" s="48" t="str">
        <f t="array" ref="J722">XLOOKUP($D722,REGOLITOS!$A:$A,REGOLITOS!J:J)</f>
        <v>#N/A</v>
      </c>
      <c r="K722" s="48" t="str">
        <f t="array" ref="K722">XLOOKUP($D722,REGOLITOS!$A:$A,REGOLITOS!K:K)</f>
        <v>#N/A</v>
      </c>
      <c r="L722" s="76"/>
      <c r="M722" s="5" t="s">
        <v>1080</v>
      </c>
      <c r="N722" s="5" t="s">
        <v>1080</v>
      </c>
      <c r="O722" s="5" t="s">
        <v>1080</v>
      </c>
      <c r="P722" s="5" t="s">
        <v>1080</v>
      </c>
      <c r="Q722" s="5" t="s">
        <v>1080</v>
      </c>
      <c r="X722" s="71">
        <f t="shared" si="5"/>
        <v>0</v>
      </c>
      <c r="Y722" s="5" t="b">
        <v>0</v>
      </c>
    </row>
    <row r="723">
      <c r="B723" s="5" t="str">
        <f t="array" ref="B723">XLOOKUP(A723, CURSOS!A:A, CURSOS!B:B)</f>
        <v>#N/A</v>
      </c>
      <c r="C723" s="75" t="str">
        <f t="array" ref="C723">XLOOKUP(A723, CURSOS!A:A, CURSOS!C:C)</f>
        <v>#N/A</v>
      </c>
      <c r="D723" s="70" t="e">
        <v>#N/A</v>
      </c>
      <c r="E723" s="48"/>
      <c r="F723" s="48" t="str">
        <f t="array" ref="F723">XLOOKUP($D723,REGOLITOS!$A:$A,REGOLITOS!F:F)</f>
        <v>#N/A</v>
      </c>
      <c r="G723" s="48" t="str">
        <f t="array" ref="G723">XLOOKUP($D723,REGOLITOS!$A:$A,REGOLITOS!G:G)</f>
        <v>#N/A</v>
      </c>
      <c r="H723" s="48" t="str">
        <f t="array" ref="H723">XLOOKUP($D723,REGOLITOS!$A:$A,REGOLITOS!H:H)</f>
        <v>#N/A</v>
      </c>
      <c r="I723" s="48" t="str">
        <f t="array" ref="I723">XLOOKUP($D723,REGOLITOS!$A:$A,REGOLITOS!I:I)</f>
        <v>#N/A</v>
      </c>
      <c r="J723" s="48" t="str">
        <f t="array" ref="J723">XLOOKUP($D723,REGOLITOS!$A:$A,REGOLITOS!J:J)</f>
        <v>#N/A</v>
      </c>
      <c r="K723" s="48" t="str">
        <f t="array" ref="K723">XLOOKUP($D723,REGOLITOS!$A:$A,REGOLITOS!K:K)</f>
        <v>#N/A</v>
      </c>
      <c r="L723" s="76"/>
      <c r="M723" s="5" t="s">
        <v>1080</v>
      </c>
      <c r="N723" s="5" t="s">
        <v>1080</v>
      </c>
      <c r="O723" s="5" t="s">
        <v>1080</v>
      </c>
      <c r="P723" s="5" t="s">
        <v>1080</v>
      </c>
      <c r="Q723" s="5" t="s">
        <v>1080</v>
      </c>
      <c r="X723" s="71">
        <f t="shared" si="5"/>
        <v>0</v>
      </c>
      <c r="Y723" s="5" t="b">
        <v>0</v>
      </c>
    </row>
    <row r="724">
      <c r="B724" s="5" t="str">
        <f t="array" ref="B724">XLOOKUP(A724, CURSOS!A:A, CURSOS!B:B)</f>
        <v>#N/A</v>
      </c>
      <c r="C724" s="75" t="str">
        <f t="array" ref="C724">XLOOKUP(A724, CURSOS!A:A, CURSOS!C:C)</f>
        <v>#N/A</v>
      </c>
      <c r="D724" s="70" t="e">
        <v>#N/A</v>
      </c>
      <c r="E724" s="48"/>
      <c r="F724" s="48" t="str">
        <f t="array" ref="F724">XLOOKUP($D724,REGOLITOS!$A:$A,REGOLITOS!F:F)</f>
        <v>#N/A</v>
      </c>
      <c r="G724" s="48" t="str">
        <f t="array" ref="G724">XLOOKUP($D724,REGOLITOS!$A:$A,REGOLITOS!G:G)</f>
        <v>#N/A</v>
      </c>
      <c r="H724" s="48" t="str">
        <f t="array" ref="H724">XLOOKUP($D724,REGOLITOS!$A:$A,REGOLITOS!H:H)</f>
        <v>#N/A</v>
      </c>
      <c r="I724" s="48" t="str">
        <f t="array" ref="I724">XLOOKUP($D724,REGOLITOS!$A:$A,REGOLITOS!I:I)</f>
        <v>#N/A</v>
      </c>
      <c r="J724" s="48" t="str">
        <f t="array" ref="J724">XLOOKUP($D724,REGOLITOS!$A:$A,REGOLITOS!J:J)</f>
        <v>#N/A</v>
      </c>
      <c r="K724" s="48" t="str">
        <f t="array" ref="K724">XLOOKUP($D724,REGOLITOS!$A:$A,REGOLITOS!K:K)</f>
        <v>#N/A</v>
      </c>
      <c r="L724" s="76"/>
      <c r="M724" s="5" t="s">
        <v>1080</v>
      </c>
      <c r="N724" s="5" t="s">
        <v>1080</v>
      </c>
      <c r="O724" s="5" t="s">
        <v>1080</v>
      </c>
      <c r="P724" s="5" t="s">
        <v>1080</v>
      </c>
      <c r="Q724" s="5" t="s">
        <v>1080</v>
      </c>
      <c r="X724" s="71">
        <f t="shared" si="5"/>
        <v>0</v>
      </c>
      <c r="Y724" s="5" t="b">
        <v>0</v>
      </c>
    </row>
    <row r="725">
      <c r="B725" s="5" t="str">
        <f t="array" ref="B725">XLOOKUP(A725, CURSOS!A:A, CURSOS!B:B)</f>
        <v>#N/A</v>
      </c>
      <c r="C725" s="75" t="str">
        <f t="array" ref="C725">XLOOKUP(A725, CURSOS!A:A, CURSOS!C:C)</f>
        <v>#N/A</v>
      </c>
      <c r="D725" s="70" t="e">
        <v>#N/A</v>
      </c>
      <c r="E725" s="48"/>
      <c r="F725" s="48" t="str">
        <f t="array" ref="F725">XLOOKUP($D725,REGOLITOS!$A:$A,REGOLITOS!F:F)</f>
        <v>#N/A</v>
      </c>
      <c r="G725" s="48" t="str">
        <f t="array" ref="G725">XLOOKUP($D725,REGOLITOS!$A:$A,REGOLITOS!G:G)</f>
        <v>#N/A</v>
      </c>
      <c r="H725" s="48" t="str">
        <f t="array" ref="H725">XLOOKUP($D725,REGOLITOS!$A:$A,REGOLITOS!H:H)</f>
        <v>#N/A</v>
      </c>
      <c r="I725" s="48" t="str">
        <f t="array" ref="I725">XLOOKUP($D725,REGOLITOS!$A:$A,REGOLITOS!I:I)</f>
        <v>#N/A</v>
      </c>
      <c r="J725" s="48" t="str">
        <f t="array" ref="J725">XLOOKUP($D725,REGOLITOS!$A:$A,REGOLITOS!J:J)</f>
        <v>#N/A</v>
      </c>
      <c r="K725" s="48" t="str">
        <f t="array" ref="K725">XLOOKUP($D725,REGOLITOS!$A:$A,REGOLITOS!K:K)</f>
        <v>#N/A</v>
      </c>
      <c r="L725" s="76"/>
      <c r="M725" s="5" t="s">
        <v>1080</v>
      </c>
      <c r="N725" s="5" t="s">
        <v>1080</v>
      </c>
      <c r="O725" s="5" t="s">
        <v>1080</v>
      </c>
      <c r="P725" s="5" t="s">
        <v>1080</v>
      </c>
      <c r="Q725" s="5" t="s">
        <v>1080</v>
      </c>
      <c r="X725" s="71">
        <f t="shared" si="5"/>
        <v>0</v>
      </c>
      <c r="Y725" s="5" t="b">
        <v>0</v>
      </c>
    </row>
    <row r="726">
      <c r="B726" s="5" t="str">
        <f t="array" ref="B726">XLOOKUP(A726, CURSOS!A:A, CURSOS!B:B)</f>
        <v>#N/A</v>
      </c>
      <c r="C726" s="75" t="str">
        <f t="array" ref="C726">XLOOKUP(A726, CURSOS!A:A, CURSOS!C:C)</f>
        <v>#N/A</v>
      </c>
      <c r="D726" s="70" t="e">
        <v>#N/A</v>
      </c>
      <c r="E726" s="48"/>
      <c r="F726" s="48" t="str">
        <f t="array" ref="F726">XLOOKUP($D726,REGOLITOS!$A:$A,REGOLITOS!F:F)</f>
        <v>#N/A</v>
      </c>
      <c r="G726" s="48" t="str">
        <f t="array" ref="G726">XLOOKUP($D726,REGOLITOS!$A:$A,REGOLITOS!G:G)</f>
        <v>#N/A</v>
      </c>
      <c r="H726" s="48" t="str">
        <f t="array" ref="H726">XLOOKUP($D726,REGOLITOS!$A:$A,REGOLITOS!H:H)</f>
        <v>#N/A</v>
      </c>
      <c r="I726" s="48" t="str">
        <f t="array" ref="I726">XLOOKUP($D726,REGOLITOS!$A:$A,REGOLITOS!I:I)</f>
        <v>#N/A</v>
      </c>
      <c r="J726" s="48" t="str">
        <f t="array" ref="J726">XLOOKUP($D726,REGOLITOS!$A:$A,REGOLITOS!J:J)</f>
        <v>#N/A</v>
      </c>
      <c r="K726" s="48" t="str">
        <f t="array" ref="K726">XLOOKUP($D726,REGOLITOS!$A:$A,REGOLITOS!K:K)</f>
        <v>#N/A</v>
      </c>
      <c r="L726" s="76"/>
      <c r="M726" s="5" t="s">
        <v>1080</v>
      </c>
      <c r="N726" s="5" t="s">
        <v>1080</v>
      </c>
      <c r="O726" s="5" t="s">
        <v>1080</v>
      </c>
      <c r="P726" s="5" t="s">
        <v>1080</v>
      </c>
      <c r="Q726" s="5" t="s">
        <v>1080</v>
      </c>
      <c r="X726" s="71">
        <f t="shared" si="5"/>
        <v>0</v>
      </c>
      <c r="Y726" s="5" t="b">
        <v>0</v>
      </c>
    </row>
    <row r="727">
      <c r="B727" s="5" t="str">
        <f t="array" ref="B727">XLOOKUP(A727, CURSOS!A:A, CURSOS!B:B)</f>
        <v>#N/A</v>
      </c>
      <c r="C727" s="75" t="str">
        <f t="array" ref="C727">XLOOKUP(A727, CURSOS!A:A, CURSOS!C:C)</f>
        <v>#N/A</v>
      </c>
      <c r="D727" s="70" t="e">
        <v>#N/A</v>
      </c>
      <c r="E727" s="48"/>
      <c r="F727" s="48" t="str">
        <f t="array" ref="F727">XLOOKUP($D727,REGOLITOS!$A:$A,REGOLITOS!F:F)</f>
        <v>#N/A</v>
      </c>
      <c r="G727" s="48" t="str">
        <f t="array" ref="G727">XLOOKUP($D727,REGOLITOS!$A:$A,REGOLITOS!G:G)</f>
        <v>#N/A</v>
      </c>
      <c r="H727" s="48" t="str">
        <f t="array" ref="H727">XLOOKUP($D727,REGOLITOS!$A:$A,REGOLITOS!H:H)</f>
        <v>#N/A</v>
      </c>
      <c r="I727" s="48" t="str">
        <f t="array" ref="I727">XLOOKUP($D727,REGOLITOS!$A:$A,REGOLITOS!I:I)</f>
        <v>#N/A</v>
      </c>
      <c r="J727" s="48" t="str">
        <f t="array" ref="J727">XLOOKUP($D727,REGOLITOS!$A:$A,REGOLITOS!J:J)</f>
        <v>#N/A</v>
      </c>
      <c r="K727" s="48" t="str">
        <f t="array" ref="K727">XLOOKUP($D727,REGOLITOS!$A:$A,REGOLITOS!K:K)</f>
        <v>#N/A</v>
      </c>
      <c r="L727" s="76"/>
      <c r="M727" s="5" t="s">
        <v>1080</v>
      </c>
      <c r="N727" s="5" t="s">
        <v>1080</v>
      </c>
      <c r="O727" s="5" t="s">
        <v>1080</v>
      </c>
      <c r="P727" s="5" t="s">
        <v>1080</v>
      </c>
      <c r="Q727" s="5" t="s">
        <v>1080</v>
      </c>
      <c r="X727" s="71">
        <f t="shared" si="5"/>
        <v>0</v>
      </c>
      <c r="Y727" s="5" t="b">
        <v>0</v>
      </c>
    </row>
    <row r="728">
      <c r="B728" s="5" t="str">
        <f t="array" ref="B728">XLOOKUP(A728, CURSOS!A:A, CURSOS!B:B)</f>
        <v>#N/A</v>
      </c>
      <c r="C728" s="75" t="str">
        <f t="array" ref="C728">XLOOKUP(A728, CURSOS!A:A, CURSOS!C:C)</f>
        <v>#N/A</v>
      </c>
      <c r="D728" s="70" t="e">
        <v>#N/A</v>
      </c>
      <c r="E728" s="48"/>
      <c r="F728" s="48" t="str">
        <f t="array" ref="F728">XLOOKUP($D728,REGOLITOS!$A:$A,REGOLITOS!F:F)</f>
        <v>#N/A</v>
      </c>
      <c r="G728" s="48" t="str">
        <f t="array" ref="G728">XLOOKUP($D728,REGOLITOS!$A:$A,REGOLITOS!G:G)</f>
        <v>#N/A</v>
      </c>
      <c r="H728" s="48" t="str">
        <f t="array" ref="H728">XLOOKUP($D728,REGOLITOS!$A:$A,REGOLITOS!H:H)</f>
        <v>#N/A</v>
      </c>
      <c r="I728" s="48" t="str">
        <f t="array" ref="I728">XLOOKUP($D728,REGOLITOS!$A:$A,REGOLITOS!I:I)</f>
        <v>#N/A</v>
      </c>
      <c r="J728" s="48" t="str">
        <f t="array" ref="J728">XLOOKUP($D728,REGOLITOS!$A:$A,REGOLITOS!J:J)</f>
        <v>#N/A</v>
      </c>
      <c r="K728" s="48" t="str">
        <f t="array" ref="K728">XLOOKUP($D728,REGOLITOS!$A:$A,REGOLITOS!K:K)</f>
        <v>#N/A</v>
      </c>
      <c r="L728" s="76"/>
      <c r="M728" s="5" t="s">
        <v>1080</v>
      </c>
      <c r="N728" s="5" t="s">
        <v>1080</v>
      </c>
      <c r="O728" s="5" t="s">
        <v>1080</v>
      </c>
      <c r="P728" s="5" t="s">
        <v>1080</v>
      </c>
      <c r="Q728" s="5" t="s">
        <v>1080</v>
      </c>
      <c r="X728" s="71">
        <f t="shared" si="5"/>
        <v>0</v>
      </c>
      <c r="Y728" s="5" t="b">
        <v>0</v>
      </c>
    </row>
    <row r="729">
      <c r="B729" s="5" t="str">
        <f t="array" ref="B729">XLOOKUP(A729, CURSOS!A:A, CURSOS!B:B)</f>
        <v>#N/A</v>
      </c>
      <c r="C729" s="75" t="str">
        <f t="array" ref="C729">XLOOKUP(A729, CURSOS!A:A, CURSOS!C:C)</f>
        <v>#N/A</v>
      </c>
      <c r="D729" s="70" t="e">
        <v>#N/A</v>
      </c>
      <c r="E729" s="48"/>
      <c r="F729" s="48" t="str">
        <f t="array" ref="F729">XLOOKUP($D729,REGOLITOS!$A:$A,REGOLITOS!F:F)</f>
        <v>#N/A</v>
      </c>
      <c r="G729" s="48" t="str">
        <f t="array" ref="G729">XLOOKUP($D729,REGOLITOS!$A:$A,REGOLITOS!G:G)</f>
        <v>#N/A</v>
      </c>
      <c r="H729" s="48" t="str">
        <f t="array" ref="H729">XLOOKUP($D729,REGOLITOS!$A:$A,REGOLITOS!H:H)</f>
        <v>#N/A</v>
      </c>
      <c r="I729" s="48" t="str">
        <f t="array" ref="I729">XLOOKUP($D729,REGOLITOS!$A:$A,REGOLITOS!I:I)</f>
        <v>#N/A</v>
      </c>
      <c r="J729" s="48" t="str">
        <f t="array" ref="J729">XLOOKUP($D729,REGOLITOS!$A:$A,REGOLITOS!J:J)</f>
        <v>#N/A</v>
      </c>
      <c r="K729" s="48" t="str">
        <f t="array" ref="K729">XLOOKUP($D729,REGOLITOS!$A:$A,REGOLITOS!K:K)</f>
        <v>#N/A</v>
      </c>
      <c r="L729" s="76"/>
      <c r="M729" s="5" t="s">
        <v>1080</v>
      </c>
      <c r="N729" s="5" t="s">
        <v>1080</v>
      </c>
      <c r="O729" s="5" t="s">
        <v>1080</v>
      </c>
      <c r="P729" s="5" t="s">
        <v>1080</v>
      </c>
      <c r="Q729" s="5" t="s">
        <v>1080</v>
      </c>
      <c r="X729" s="71">
        <f t="shared" si="5"/>
        <v>0</v>
      </c>
      <c r="Y729" s="5" t="b">
        <v>0</v>
      </c>
    </row>
    <row r="730">
      <c r="B730" s="5" t="str">
        <f t="array" ref="B730">XLOOKUP(A730, CURSOS!A:A, CURSOS!B:B)</f>
        <v>#N/A</v>
      </c>
      <c r="C730" s="75" t="str">
        <f t="array" ref="C730">XLOOKUP(A730, CURSOS!A:A, CURSOS!C:C)</f>
        <v>#N/A</v>
      </c>
      <c r="D730" s="70" t="e">
        <v>#N/A</v>
      </c>
      <c r="E730" s="48"/>
      <c r="F730" s="48" t="str">
        <f t="array" ref="F730">XLOOKUP($D730,REGOLITOS!$A:$A,REGOLITOS!F:F)</f>
        <v>#N/A</v>
      </c>
      <c r="G730" s="48" t="str">
        <f t="array" ref="G730">XLOOKUP($D730,REGOLITOS!$A:$A,REGOLITOS!G:G)</f>
        <v>#N/A</v>
      </c>
      <c r="H730" s="48" t="str">
        <f t="array" ref="H730">XLOOKUP($D730,REGOLITOS!$A:$A,REGOLITOS!H:H)</f>
        <v>#N/A</v>
      </c>
      <c r="I730" s="48" t="str">
        <f t="array" ref="I730">XLOOKUP($D730,REGOLITOS!$A:$A,REGOLITOS!I:I)</f>
        <v>#N/A</v>
      </c>
      <c r="J730" s="48" t="str">
        <f t="array" ref="J730">XLOOKUP($D730,REGOLITOS!$A:$A,REGOLITOS!J:J)</f>
        <v>#N/A</v>
      </c>
      <c r="K730" s="48" t="str">
        <f t="array" ref="K730">XLOOKUP($D730,REGOLITOS!$A:$A,REGOLITOS!K:K)</f>
        <v>#N/A</v>
      </c>
      <c r="L730" s="76"/>
      <c r="M730" s="5" t="s">
        <v>1080</v>
      </c>
      <c r="N730" s="5" t="s">
        <v>1080</v>
      </c>
      <c r="O730" s="5" t="s">
        <v>1080</v>
      </c>
      <c r="P730" s="5" t="s">
        <v>1080</v>
      </c>
      <c r="Q730" s="5" t="s">
        <v>1080</v>
      </c>
      <c r="X730" s="71">
        <f t="shared" si="5"/>
        <v>0</v>
      </c>
      <c r="Y730" s="5" t="b">
        <v>0</v>
      </c>
    </row>
    <row r="731">
      <c r="B731" s="5" t="str">
        <f t="array" ref="B731">XLOOKUP(A731, CURSOS!A:A, CURSOS!B:B)</f>
        <v>#N/A</v>
      </c>
      <c r="C731" s="75" t="str">
        <f t="array" ref="C731">XLOOKUP(A731, CURSOS!A:A, CURSOS!C:C)</f>
        <v>#N/A</v>
      </c>
      <c r="D731" s="70" t="e">
        <v>#N/A</v>
      </c>
      <c r="E731" s="48"/>
      <c r="F731" s="48" t="str">
        <f t="array" ref="F731">XLOOKUP($D731,REGOLITOS!$A:$A,REGOLITOS!F:F)</f>
        <v>#N/A</v>
      </c>
      <c r="G731" s="48" t="str">
        <f t="array" ref="G731">XLOOKUP($D731,REGOLITOS!$A:$A,REGOLITOS!G:G)</f>
        <v>#N/A</v>
      </c>
      <c r="H731" s="48" t="str">
        <f t="array" ref="H731">XLOOKUP($D731,REGOLITOS!$A:$A,REGOLITOS!H:H)</f>
        <v>#N/A</v>
      </c>
      <c r="I731" s="48" t="str">
        <f t="array" ref="I731">XLOOKUP($D731,REGOLITOS!$A:$A,REGOLITOS!I:I)</f>
        <v>#N/A</v>
      </c>
      <c r="J731" s="48" t="str">
        <f t="array" ref="J731">XLOOKUP($D731,REGOLITOS!$A:$A,REGOLITOS!J:J)</f>
        <v>#N/A</v>
      </c>
      <c r="K731" s="48" t="str">
        <f t="array" ref="K731">XLOOKUP($D731,REGOLITOS!$A:$A,REGOLITOS!K:K)</f>
        <v>#N/A</v>
      </c>
      <c r="L731" s="76"/>
      <c r="M731" s="5" t="s">
        <v>1080</v>
      </c>
      <c r="N731" s="5" t="s">
        <v>1080</v>
      </c>
      <c r="O731" s="5" t="s">
        <v>1080</v>
      </c>
      <c r="P731" s="5" t="s">
        <v>1080</v>
      </c>
      <c r="Q731" s="5" t="s">
        <v>1080</v>
      </c>
      <c r="X731" s="71">
        <f t="shared" si="5"/>
        <v>0</v>
      </c>
      <c r="Y731" s="5" t="b">
        <v>0</v>
      </c>
    </row>
    <row r="732">
      <c r="B732" s="5" t="str">
        <f t="array" ref="B732">XLOOKUP(A732, CURSOS!A:A, CURSOS!B:B)</f>
        <v>#N/A</v>
      </c>
      <c r="C732" s="75" t="str">
        <f t="array" ref="C732">XLOOKUP(A732, CURSOS!A:A, CURSOS!C:C)</f>
        <v>#N/A</v>
      </c>
      <c r="D732" s="70" t="e">
        <v>#N/A</v>
      </c>
      <c r="E732" s="48"/>
      <c r="F732" s="48" t="str">
        <f t="array" ref="F732">XLOOKUP($D732,REGOLITOS!$A:$A,REGOLITOS!F:F)</f>
        <v>#N/A</v>
      </c>
      <c r="G732" s="48" t="str">
        <f t="array" ref="G732">XLOOKUP($D732,REGOLITOS!$A:$A,REGOLITOS!G:G)</f>
        <v>#N/A</v>
      </c>
      <c r="H732" s="48" t="str">
        <f t="array" ref="H732">XLOOKUP($D732,REGOLITOS!$A:$A,REGOLITOS!H:H)</f>
        <v>#N/A</v>
      </c>
      <c r="I732" s="48" t="str">
        <f t="array" ref="I732">XLOOKUP($D732,REGOLITOS!$A:$A,REGOLITOS!I:I)</f>
        <v>#N/A</v>
      </c>
      <c r="J732" s="48" t="str">
        <f t="array" ref="J732">XLOOKUP($D732,REGOLITOS!$A:$A,REGOLITOS!J:J)</f>
        <v>#N/A</v>
      </c>
      <c r="K732" s="48" t="str">
        <f t="array" ref="K732">XLOOKUP($D732,REGOLITOS!$A:$A,REGOLITOS!K:K)</f>
        <v>#N/A</v>
      </c>
      <c r="L732" s="76"/>
      <c r="M732" s="5" t="s">
        <v>1080</v>
      </c>
      <c r="N732" s="5" t="s">
        <v>1080</v>
      </c>
      <c r="O732" s="5" t="s">
        <v>1080</v>
      </c>
      <c r="P732" s="5" t="s">
        <v>1080</v>
      </c>
      <c r="Q732" s="5" t="s">
        <v>1080</v>
      </c>
      <c r="X732" s="71">
        <f t="shared" si="5"/>
        <v>0</v>
      </c>
      <c r="Y732" s="5" t="b">
        <v>0</v>
      </c>
    </row>
    <row r="733">
      <c r="B733" s="5" t="str">
        <f t="array" ref="B733">XLOOKUP(A733, CURSOS!A:A, CURSOS!B:B)</f>
        <v>#N/A</v>
      </c>
      <c r="C733" s="75" t="str">
        <f t="array" ref="C733">XLOOKUP(A733, CURSOS!A:A, CURSOS!C:C)</f>
        <v>#N/A</v>
      </c>
      <c r="D733" s="70" t="e">
        <v>#N/A</v>
      </c>
      <c r="E733" s="48"/>
      <c r="F733" s="48" t="str">
        <f t="array" ref="F733">XLOOKUP($D733,REGOLITOS!$A:$A,REGOLITOS!F:F)</f>
        <v>#N/A</v>
      </c>
      <c r="G733" s="48" t="str">
        <f t="array" ref="G733">XLOOKUP($D733,REGOLITOS!$A:$A,REGOLITOS!G:G)</f>
        <v>#N/A</v>
      </c>
      <c r="H733" s="48" t="str">
        <f t="array" ref="H733">XLOOKUP($D733,REGOLITOS!$A:$A,REGOLITOS!H:H)</f>
        <v>#N/A</v>
      </c>
      <c r="I733" s="48" t="str">
        <f t="array" ref="I733">XLOOKUP($D733,REGOLITOS!$A:$A,REGOLITOS!I:I)</f>
        <v>#N/A</v>
      </c>
      <c r="J733" s="48" t="str">
        <f t="array" ref="J733">XLOOKUP($D733,REGOLITOS!$A:$A,REGOLITOS!J:J)</f>
        <v>#N/A</v>
      </c>
      <c r="K733" s="48" t="str">
        <f t="array" ref="K733">XLOOKUP($D733,REGOLITOS!$A:$A,REGOLITOS!K:K)</f>
        <v>#N/A</v>
      </c>
      <c r="L733" s="76"/>
      <c r="M733" s="5" t="s">
        <v>1080</v>
      </c>
      <c r="N733" s="5" t="s">
        <v>1080</v>
      </c>
      <c r="O733" s="5" t="s">
        <v>1080</v>
      </c>
      <c r="P733" s="5" t="s">
        <v>1080</v>
      </c>
      <c r="Q733" s="5" t="s">
        <v>1080</v>
      </c>
      <c r="X733" s="71">
        <f t="shared" si="5"/>
        <v>0</v>
      </c>
      <c r="Y733" s="5" t="b">
        <v>0</v>
      </c>
    </row>
    <row r="734">
      <c r="B734" s="5" t="str">
        <f t="array" ref="B734">XLOOKUP(A734, CURSOS!A:A, CURSOS!B:B)</f>
        <v>#N/A</v>
      </c>
      <c r="C734" s="75" t="str">
        <f t="array" ref="C734">XLOOKUP(A734, CURSOS!A:A, CURSOS!C:C)</f>
        <v>#N/A</v>
      </c>
      <c r="D734" s="70" t="e">
        <v>#N/A</v>
      </c>
      <c r="E734" s="48"/>
      <c r="F734" s="48" t="str">
        <f t="array" ref="F734">XLOOKUP($D734,REGOLITOS!$A:$A,REGOLITOS!F:F)</f>
        <v>#N/A</v>
      </c>
      <c r="G734" s="48" t="str">
        <f t="array" ref="G734">XLOOKUP($D734,REGOLITOS!$A:$A,REGOLITOS!G:G)</f>
        <v>#N/A</v>
      </c>
      <c r="H734" s="48" t="str">
        <f t="array" ref="H734">XLOOKUP($D734,REGOLITOS!$A:$A,REGOLITOS!H:H)</f>
        <v>#N/A</v>
      </c>
      <c r="I734" s="48" t="str">
        <f t="array" ref="I734">XLOOKUP($D734,REGOLITOS!$A:$A,REGOLITOS!I:I)</f>
        <v>#N/A</v>
      </c>
      <c r="J734" s="48" t="str">
        <f t="array" ref="J734">XLOOKUP($D734,REGOLITOS!$A:$A,REGOLITOS!J:J)</f>
        <v>#N/A</v>
      </c>
      <c r="K734" s="48" t="str">
        <f t="array" ref="K734">XLOOKUP($D734,REGOLITOS!$A:$A,REGOLITOS!K:K)</f>
        <v>#N/A</v>
      </c>
      <c r="L734" s="76"/>
      <c r="M734" s="5" t="s">
        <v>1080</v>
      </c>
      <c r="N734" s="5" t="s">
        <v>1080</v>
      </c>
      <c r="O734" s="5" t="s">
        <v>1080</v>
      </c>
      <c r="P734" s="5" t="s">
        <v>1080</v>
      </c>
      <c r="Q734" s="5" t="s">
        <v>1080</v>
      </c>
      <c r="X734" s="71">
        <f t="shared" si="5"/>
        <v>0</v>
      </c>
      <c r="Y734" s="5" t="b">
        <v>0</v>
      </c>
    </row>
    <row r="735">
      <c r="B735" s="5" t="str">
        <f t="array" ref="B735">XLOOKUP(A735, CURSOS!A:A, CURSOS!B:B)</f>
        <v>#N/A</v>
      </c>
      <c r="C735" s="75" t="str">
        <f t="array" ref="C735">XLOOKUP(A735, CURSOS!A:A, CURSOS!C:C)</f>
        <v>#N/A</v>
      </c>
      <c r="D735" s="70" t="e">
        <v>#N/A</v>
      </c>
      <c r="E735" s="48"/>
      <c r="F735" s="48" t="str">
        <f t="array" ref="F735">XLOOKUP($D735,REGOLITOS!$A:$A,REGOLITOS!F:F)</f>
        <v>#N/A</v>
      </c>
      <c r="G735" s="48" t="str">
        <f t="array" ref="G735">XLOOKUP($D735,REGOLITOS!$A:$A,REGOLITOS!G:G)</f>
        <v>#N/A</v>
      </c>
      <c r="H735" s="48" t="str">
        <f t="array" ref="H735">XLOOKUP($D735,REGOLITOS!$A:$A,REGOLITOS!H:H)</f>
        <v>#N/A</v>
      </c>
      <c r="I735" s="48" t="str">
        <f t="array" ref="I735">XLOOKUP($D735,REGOLITOS!$A:$A,REGOLITOS!I:I)</f>
        <v>#N/A</v>
      </c>
      <c r="J735" s="48" t="str">
        <f t="array" ref="J735">XLOOKUP($D735,REGOLITOS!$A:$A,REGOLITOS!J:J)</f>
        <v>#N/A</v>
      </c>
      <c r="K735" s="48" t="str">
        <f t="array" ref="K735">XLOOKUP($D735,REGOLITOS!$A:$A,REGOLITOS!K:K)</f>
        <v>#N/A</v>
      </c>
      <c r="L735" s="76"/>
      <c r="M735" s="5" t="s">
        <v>1080</v>
      </c>
      <c r="N735" s="5" t="s">
        <v>1080</v>
      </c>
      <c r="O735" s="5" t="s">
        <v>1080</v>
      </c>
      <c r="P735" s="5" t="s">
        <v>1080</v>
      </c>
      <c r="Q735" s="5" t="s">
        <v>1080</v>
      </c>
      <c r="X735" s="71">
        <f t="shared" si="5"/>
        <v>0</v>
      </c>
      <c r="Y735" s="5" t="b">
        <v>0</v>
      </c>
    </row>
    <row r="736">
      <c r="B736" s="5" t="str">
        <f t="array" ref="B736">XLOOKUP(A736, CURSOS!A:A, CURSOS!B:B)</f>
        <v>#N/A</v>
      </c>
      <c r="C736" s="75" t="str">
        <f t="array" ref="C736">XLOOKUP(A736, CURSOS!A:A, CURSOS!C:C)</f>
        <v>#N/A</v>
      </c>
      <c r="D736" s="70" t="e">
        <v>#N/A</v>
      </c>
      <c r="E736" s="48"/>
      <c r="F736" s="48" t="str">
        <f t="array" ref="F736">XLOOKUP($D736,REGOLITOS!$A:$A,REGOLITOS!F:F)</f>
        <v>#N/A</v>
      </c>
      <c r="G736" s="48" t="str">
        <f t="array" ref="G736">XLOOKUP($D736,REGOLITOS!$A:$A,REGOLITOS!G:G)</f>
        <v>#N/A</v>
      </c>
      <c r="H736" s="48" t="str">
        <f t="array" ref="H736">XLOOKUP($D736,REGOLITOS!$A:$A,REGOLITOS!H:H)</f>
        <v>#N/A</v>
      </c>
      <c r="I736" s="48" t="str">
        <f t="array" ref="I736">XLOOKUP($D736,REGOLITOS!$A:$A,REGOLITOS!I:I)</f>
        <v>#N/A</v>
      </c>
      <c r="J736" s="48" t="str">
        <f t="array" ref="J736">XLOOKUP($D736,REGOLITOS!$A:$A,REGOLITOS!J:J)</f>
        <v>#N/A</v>
      </c>
      <c r="K736" s="48" t="str">
        <f t="array" ref="K736">XLOOKUP($D736,REGOLITOS!$A:$A,REGOLITOS!K:K)</f>
        <v>#N/A</v>
      </c>
      <c r="L736" s="76"/>
      <c r="M736" s="5" t="s">
        <v>1080</v>
      </c>
      <c r="N736" s="5" t="s">
        <v>1080</v>
      </c>
      <c r="O736" s="5" t="s">
        <v>1080</v>
      </c>
      <c r="P736" s="5" t="s">
        <v>1080</v>
      </c>
      <c r="Q736" s="5" t="s">
        <v>1080</v>
      </c>
      <c r="X736" s="71">
        <f t="shared" si="5"/>
        <v>0</v>
      </c>
      <c r="Y736" s="5" t="b">
        <v>0</v>
      </c>
    </row>
    <row r="737">
      <c r="B737" s="5" t="str">
        <f t="array" ref="B737">XLOOKUP(A737, CURSOS!A:A, CURSOS!B:B)</f>
        <v>#N/A</v>
      </c>
      <c r="C737" s="75" t="str">
        <f t="array" ref="C737">XLOOKUP(A737, CURSOS!A:A, CURSOS!C:C)</f>
        <v>#N/A</v>
      </c>
      <c r="D737" s="70" t="e">
        <v>#N/A</v>
      </c>
      <c r="E737" s="48"/>
      <c r="F737" s="48" t="str">
        <f t="array" ref="F737">XLOOKUP($D737,REGOLITOS!$A:$A,REGOLITOS!F:F)</f>
        <v>#N/A</v>
      </c>
      <c r="G737" s="48" t="str">
        <f t="array" ref="G737">XLOOKUP($D737,REGOLITOS!$A:$A,REGOLITOS!G:G)</f>
        <v>#N/A</v>
      </c>
      <c r="H737" s="48" t="str">
        <f t="array" ref="H737">XLOOKUP($D737,REGOLITOS!$A:$A,REGOLITOS!H:H)</f>
        <v>#N/A</v>
      </c>
      <c r="I737" s="48" t="str">
        <f t="array" ref="I737">XLOOKUP($D737,REGOLITOS!$A:$A,REGOLITOS!I:I)</f>
        <v>#N/A</v>
      </c>
      <c r="J737" s="48" t="str">
        <f t="array" ref="J737">XLOOKUP($D737,REGOLITOS!$A:$A,REGOLITOS!J:J)</f>
        <v>#N/A</v>
      </c>
      <c r="K737" s="48" t="str">
        <f t="array" ref="K737">XLOOKUP($D737,REGOLITOS!$A:$A,REGOLITOS!K:K)</f>
        <v>#N/A</v>
      </c>
      <c r="L737" s="76"/>
      <c r="M737" s="5" t="s">
        <v>1080</v>
      </c>
      <c r="N737" s="5" t="s">
        <v>1080</v>
      </c>
      <c r="O737" s="5" t="s">
        <v>1080</v>
      </c>
      <c r="P737" s="5" t="s">
        <v>1080</v>
      </c>
      <c r="Q737" s="5" t="s">
        <v>1080</v>
      </c>
      <c r="X737" s="71">
        <f t="shared" si="5"/>
        <v>0</v>
      </c>
      <c r="Y737" s="5" t="b">
        <v>0</v>
      </c>
    </row>
    <row r="738">
      <c r="B738" s="5" t="str">
        <f t="array" ref="B738">XLOOKUP(A738, CURSOS!A:A, CURSOS!B:B)</f>
        <v>#N/A</v>
      </c>
      <c r="C738" s="75" t="str">
        <f t="array" ref="C738">XLOOKUP(A738, CURSOS!A:A, CURSOS!C:C)</f>
        <v>#N/A</v>
      </c>
      <c r="D738" s="70" t="e">
        <v>#N/A</v>
      </c>
      <c r="E738" s="48"/>
      <c r="F738" s="48" t="str">
        <f t="array" ref="F738">XLOOKUP($D738,REGOLITOS!$A:$A,REGOLITOS!F:F)</f>
        <v>#N/A</v>
      </c>
      <c r="G738" s="48" t="str">
        <f t="array" ref="G738">XLOOKUP($D738,REGOLITOS!$A:$A,REGOLITOS!G:G)</f>
        <v>#N/A</v>
      </c>
      <c r="H738" s="48" t="str">
        <f t="array" ref="H738">XLOOKUP($D738,REGOLITOS!$A:$A,REGOLITOS!H:H)</f>
        <v>#N/A</v>
      </c>
      <c r="I738" s="48" t="str">
        <f t="array" ref="I738">XLOOKUP($D738,REGOLITOS!$A:$A,REGOLITOS!I:I)</f>
        <v>#N/A</v>
      </c>
      <c r="J738" s="48" t="str">
        <f t="array" ref="J738">XLOOKUP($D738,REGOLITOS!$A:$A,REGOLITOS!J:J)</f>
        <v>#N/A</v>
      </c>
      <c r="K738" s="48" t="str">
        <f t="array" ref="K738">XLOOKUP($D738,REGOLITOS!$A:$A,REGOLITOS!K:K)</f>
        <v>#N/A</v>
      </c>
      <c r="L738" s="76"/>
      <c r="M738" s="5" t="s">
        <v>1080</v>
      </c>
      <c r="N738" s="5" t="s">
        <v>1080</v>
      </c>
      <c r="O738" s="5" t="s">
        <v>1080</v>
      </c>
      <c r="P738" s="5" t="s">
        <v>1080</v>
      </c>
      <c r="Q738" s="5" t="s">
        <v>1080</v>
      </c>
      <c r="X738" s="71">
        <f t="shared" si="5"/>
        <v>0</v>
      </c>
      <c r="Y738" s="5" t="b">
        <v>0</v>
      </c>
    </row>
    <row r="739">
      <c r="B739" s="5" t="str">
        <f t="array" ref="B739">XLOOKUP(A739, CURSOS!A:A, CURSOS!B:B)</f>
        <v>#N/A</v>
      </c>
      <c r="C739" s="75" t="str">
        <f t="array" ref="C739">XLOOKUP(A739, CURSOS!A:A, CURSOS!C:C)</f>
        <v>#N/A</v>
      </c>
      <c r="D739" s="70" t="e">
        <v>#N/A</v>
      </c>
      <c r="E739" s="48"/>
      <c r="F739" s="48" t="str">
        <f t="array" ref="F739">XLOOKUP($D739,REGOLITOS!$A:$A,REGOLITOS!F:F)</f>
        <v>#N/A</v>
      </c>
      <c r="G739" s="48" t="str">
        <f t="array" ref="G739">XLOOKUP($D739,REGOLITOS!$A:$A,REGOLITOS!G:G)</f>
        <v>#N/A</v>
      </c>
      <c r="H739" s="48" t="str">
        <f t="array" ref="H739">XLOOKUP($D739,REGOLITOS!$A:$A,REGOLITOS!H:H)</f>
        <v>#N/A</v>
      </c>
      <c r="I739" s="48" t="str">
        <f t="array" ref="I739">XLOOKUP($D739,REGOLITOS!$A:$A,REGOLITOS!I:I)</f>
        <v>#N/A</v>
      </c>
      <c r="J739" s="48" t="str">
        <f t="array" ref="J739">XLOOKUP($D739,REGOLITOS!$A:$A,REGOLITOS!J:J)</f>
        <v>#N/A</v>
      </c>
      <c r="K739" s="48" t="str">
        <f t="array" ref="K739">XLOOKUP($D739,REGOLITOS!$A:$A,REGOLITOS!K:K)</f>
        <v>#N/A</v>
      </c>
      <c r="L739" s="76"/>
      <c r="M739" s="5" t="s">
        <v>1080</v>
      </c>
      <c r="N739" s="5" t="s">
        <v>1080</v>
      </c>
      <c r="O739" s="5" t="s">
        <v>1080</v>
      </c>
      <c r="P739" s="5" t="s">
        <v>1080</v>
      </c>
      <c r="Q739" s="5" t="s">
        <v>1080</v>
      </c>
      <c r="X739" s="71">
        <f t="shared" si="5"/>
        <v>0</v>
      </c>
      <c r="Y739" s="5" t="b">
        <v>0</v>
      </c>
    </row>
    <row r="740">
      <c r="B740" s="5" t="str">
        <f t="array" ref="B740">XLOOKUP(A740, CURSOS!A:A, CURSOS!B:B)</f>
        <v>#N/A</v>
      </c>
      <c r="C740" s="75" t="str">
        <f t="array" ref="C740">XLOOKUP(A740, CURSOS!A:A, CURSOS!C:C)</f>
        <v>#N/A</v>
      </c>
      <c r="D740" s="70" t="e">
        <v>#N/A</v>
      </c>
      <c r="E740" s="48"/>
      <c r="F740" s="48" t="str">
        <f t="array" ref="F740">XLOOKUP($D740,REGOLITOS!$A:$A,REGOLITOS!F:F)</f>
        <v>#N/A</v>
      </c>
      <c r="G740" s="48" t="str">
        <f t="array" ref="G740">XLOOKUP($D740,REGOLITOS!$A:$A,REGOLITOS!G:G)</f>
        <v>#N/A</v>
      </c>
      <c r="H740" s="48" t="str">
        <f t="array" ref="H740">XLOOKUP($D740,REGOLITOS!$A:$A,REGOLITOS!H:H)</f>
        <v>#N/A</v>
      </c>
      <c r="I740" s="48" t="str">
        <f t="array" ref="I740">XLOOKUP($D740,REGOLITOS!$A:$A,REGOLITOS!I:I)</f>
        <v>#N/A</v>
      </c>
      <c r="J740" s="48" t="str">
        <f t="array" ref="J740">XLOOKUP($D740,REGOLITOS!$A:$A,REGOLITOS!J:J)</f>
        <v>#N/A</v>
      </c>
      <c r="K740" s="48" t="str">
        <f t="array" ref="K740">XLOOKUP($D740,REGOLITOS!$A:$A,REGOLITOS!K:K)</f>
        <v>#N/A</v>
      </c>
      <c r="L740" s="76"/>
      <c r="M740" s="5" t="s">
        <v>1080</v>
      </c>
      <c r="N740" s="5" t="s">
        <v>1080</v>
      </c>
      <c r="O740" s="5" t="s">
        <v>1080</v>
      </c>
      <c r="P740" s="5" t="s">
        <v>1080</v>
      </c>
      <c r="Q740" s="5" t="s">
        <v>1080</v>
      </c>
      <c r="X740" s="71">
        <f t="shared" si="5"/>
        <v>0</v>
      </c>
      <c r="Y740" s="5" t="b">
        <v>0</v>
      </c>
    </row>
    <row r="741">
      <c r="B741" s="5" t="str">
        <f t="array" ref="B741">XLOOKUP(A741, CURSOS!A:A, CURSOS!B:B)</f>
        <v>#N/A</v>
      </c>
      <c r="C741" s="75" t="str">
        <f t="array" ref="C741">XLOOKUP(A741, CURSOS!A:A, CURSOS!C:C)</f>
        <v>#N/A</v>
      </c>
      <c r="D741" s="70" t="e">
        <v>#N/A</v>
      </c>
      <c r="E741" s="48"/>
      <c r="F741" s="48" t="str">
        <f t="array" ref="F741">XLOOKUP($D741,REGOLITOS!$A:$A,REGOLITOS!F:F)</f>
        <v>#N/A</v>
      </c>
      <c r="G741" s="48" t="str">
        <f t="array" ref="G741">XLOOKUP($D741,REGOLITOS!$A:$A,REGOLITOS!G:G)</f>
        <v>#N/A</v>
      </c>
      <c r="H741" s="48" t="str">
        <f t="array" ref="H741">XLOOKUP($D741,REGOLITOS!$A:$A,REGOLITOS!H:H)</f>
        <v>#N/A</v>
      </c>
      <c r="I741" s="48" t="str">
        <f t="array" ref="I741">XLOOKUP($D741,REGOLITOS!$A:$A,REGOLITOS!I:I)</f>
        <v>#N/A</v>
      </c>
      <c r="J741" s="48" t="str">
        <f t="array" ref="J741">XLOOKUP($D741,REGOLITOS!$A:$A,REGOLITOS!J:J)</f>
        <v>#N/A</v>
      </c>
      <c r="K741" s="48" t="str">
        <f t="array" ref="K741">XLOOKUP($D741,REGOLITOS!$A:$A,REGOLITOS!K:K)</f>
        <v>#N/A</v>
      </c>
      <c r="L741" s="76"/>
      <c r="M741" s="5" t="s">
        <v>1080</v>
      </c>
      <c r="N741" s="5" t="s">
        <v>1080</v>
      </c>
      <c r="O741" s="5" t="s">
        <v>1080</v>
      </c>
      <c r="P741" s="5" t="s">
        <v>1080</v>
      </c>
      <c r="Q741" s="5" t="s">
        <v>1080</v>
      </c>
      <c r="X741" s="71">
        <f t="shared" si="5"/>
        <v>0</v>
      </c>
      <c r="Y741" s="5" t="b">
        <v>0</v>
      </c>
    </row>
    <row r="742">
      <c r="B742" s="5" t="str">
        <f t="array" ref="B742">XLOOKUP(A742, CURSOS!A:A, CURSOS!B:B)</f>
        <v>#N/A</v>
      </c>
      <c r="C742" s="75" t="str">
        <f t="array" ref="C742">XLOOKUP(A742, CURSOS!A:A, CURSOS!C:C)</f>
        <v>#N/A</v>
      </c>
      <c r="D742" s="70" t="e">
        <v>#N/A</v>
      </c>
      <c r="E742" s="48"/>
      <c r="F742" s="48" t="str">
        <f t="array" ref="F742">XLOOKUP($D742,REGOLITOS!$A:$A,REGOLITOS!F:F)</f>
        <v>#N/A</v>
      </c>
      <c r="G742" s="48" t="str">
        <f t="array" ref="G742">XLOOKUP($D742,REGOLITOS!$A:$A,REGOLITOS!G:G)</f>
        <v>#N/A</v>
      </c>
      <c r="H742" s="48" t="str">
        <f t="array" ref="H742">XLOOKUP($D742,REGOLITOS!$A:$A,REGOLITOS!H:H)</f>
        <v>#N/A</v>
      </c>
      <c r="I742" s="48" t="str">
        <f t="array" ref="I742">XLOOKUP($D742,REGOLITOS!$A:$A,REGOLITOS!I:I)</f>
        <v>#N/A</v>
      </c>
      <c r="J742" s="48" t="str">
        <f t="array" ref="J742">XLOOKUP($D742,REGOLITOS!$A:$A,REGOLITOS!J:J)</f>
        <v>#N/A</v>
      </c>
      <c r="K742" s="48" t="str">
        <f t="array" ref="K742">XLOOKUP($D742,REGOLITOS!$A:$A,REGOLITOS!K:K)</f>
        <v>#N/A</v>
      </c>
      <c r="L742" s="76"/>
      <c r="M742" s="5" t="s">
        <v>1080</v>
      </c>
      <c r="N742" s="5" t="s">
        <v>1080</v>
      </c>
      <c r="O742" s="5" t="s">
        <v>1080</v>
      </c>
      <c r="P742" s="5" t="s">
        <v>1080</v>
      </c>
      <c r="Q742" s="5" t="s">
        <v>1080</v>
      </c>
      <c r="X742" s="71">
        <f t="shared" si="5"/>
        <v>0</v>
      </c>
      <c r="Y742" s="5" t="b">
        <v>0</v>
      </c>
    </row>
    <row r="743">
      <c r="B743" s="5" t="str">
        <f t="array" ref="B743">XLOOKUP(A743, CURSOS!A:A, CURSOS!B:B)</f>
        <v>#N/A</v>
      </c>
      <c r="C743" s="75" t="str">
        <f t="array" ref="C743">XLOOKUP(A743, CURSOS!A:A, CURSOS!C:C)</f>
        <v>#N/A</v>
      </c>
      <c r="D743" s="70" t="e">
        <v>#N/A</v>
      </c>
      <c r="E743" s="48"/>
      <c r="F743" s="48" t="str">
        <f t="array" ref="F743">XLOOKUP($D743,REGOLITOS!$A:$A,REGOLITOS!F:F)</f>
        <v>#N/A</v>
      </c>
      <c r="G743" s="48" t="str">
        <f t="array" ref="G743">XLOOKUP($D743,REGOLITOS!$A:$A,REGOLITOS!G:G)</f>
        <v>#N/A</v>
      </c>
      <c r="H743" s="48" t="str">
        <f t="array" ref="H743">XLOOKUP($D743,REGOLITOS!$A:$A,REGOLITOS!H:H)</f>
        <v>#N/A</v>
      </c>
      <c r="I743" s="48" t="str">
        <f t="array" ref="I743">XLOOKUP($D743,REGOLITOS!$A:$A,REGOLITOS!I:I)</f>
        <v>#N/A</v>
      </c>
      <c r="J743" s="48" t="str">
        <f t="array" ref="J743">XLOOKUP($D743,REGOLITOS!$A:$A,REGOLITOS!J:J)</f>
        <v>#N/A</v>
      </c>
      <c r="K743" s="48" t="str">
        <f t="array" ref="K743">XLOOKUP($D743,REGOLITOS!$A:$A,REGOLITOS!K:K)</f>
        <v>#N/A</v>
      </c>
      <c r="L743" s="76"/>
      <c r="M743" s="5" t="s">
        <v>1080</v>
      </c>
      <c r="N743" s="5" t="s">
        <v>1080</v>
      </c>
      <c r="O743" s="5" t="s">
        <v>1080</v>
      </c>
      <c r="P743" s="5" t="s">
        <v>1080</v>
      </c>
      <c r="Q743" s="5" t="s">
        <v>1080</v>
      </c>
      <c r="X743" s="71">
        <f t="shared" si="5"/>
        <v>0</v>
      </c>
      <c r="Y743" s="5" t="b">
        <v>0</v>
      </c>
    </row>
    <row r="744">
      <c r="B744" s="5" t="str">
        <f t="array" ref="B744">XLOOKUP(A744, CURSOS!A:A, CURSOS!B:B)</f>
        <v>#N/A</v>
      </c>
      <c r="C744" s="75" t="str">
        <f t="array" ref="C744">XLOOKUP(A744, CURSOS!A:A, CURSOS!C:C)</f>
        <v>#N/A</v>
      </c>
      <c r="D744" s="70" t="e">
        <v>#N/A</v>
      </c>
      <c r="E744" s="48"/>
      <c r="F744" s="48" t="str">
        <f t="array" ref="F744">XLOOKUP($D744,REGOLITOS!$A:$A,REGOLITOS!F:F)</f>
        <v>#N/A</v>
      </c>
      <c r="G744" s="48" t="str">
        <f t="array" ref="G744">XLOOKUP($D744,REGOLITOS!$A:$A,REGOLITOS!G:G)</f>
        <v>#N/A</v>
      </c>
      <c r="H744" s="48" t="str">
        <f t="array" ref="H744">XLOOKUP($D744,REGOLITOS!$A:$A,REGOLITOS!H:H)</f>
        <v>#N/A</v>
      </c>
      <c r="I744" s="48" t="str">
        <f t="array" ref="I744">XLOOKUP($D744,REGOLITOS!$A:$A,REGOLITOS!I:I)</f>
        <v>#N/A</v>
      </c>
      <c r="J744" s="48" t="str">
        <f t="array" ref="J744">XLOOKUP($D744,REGOLITOS!$A:$A,REGOLITOS!J:J)</f>
        <v>#N/A</v>
      </c>
      <c r="K744" s="48" t="str">
        <f t="array" ref="K744">XLOOKUP($D744,REGOLITOS!$A:$A,REGOLITOS!K:K)</f>
        <v>#N/A</v>
      </c>
      <c r="L744" s="76"/>
      <c r="M744" s="5" t="s">
        <v>1080</v>
      </c>
      <c r="N744" s="5" t="s">
        <v>1080</v>
      </c>
      <c r="O744" s="5" t="s">
        <v>1080</v>
      </c>
      <c r="P744" s="5" t="s">
        <v>1080</v>
      </c>
      <c r="Q744" s="5" t="s">
        <v>1080</v>
      </c>
      <c r="X744" s="71">
        <f t="shared" si="5"/>
        <v>0</v>
      </c>
      <c r="Y744" s="5" t="b">
        <v>0</v>
      </c>
    </row>
    <row r="745">
      <c r="B745" s="5" t="str">
        <f t="array" ref="B745">XLOOKUP(A745, CURSOS!A:A, CURSOS!B:B)</f>
        <v>#N/A</v>
      </c>
      <c r="C745" s="75" t="str">
        <f t="array" ref="C745">XLOOKUP(A745, CURSOS!A:A, CURSOS!C:C)</f>
        <v>#N/A</v>
      </c>
      <c r="D745" s="70" t="e">
        <v>#N/A</v>
      </c>
      <c r="E745" s="48"/>
      <c r="F745" s="48" t="str">
        <f t="array" ref="F745">XLOOKUP($D745,REGOLITOS!$A:$A,REGOLITOS!F:F)</f>
        <v>#N/A</v>
      </c>
      <c r="G745" s="48" t="str">
        <f t="array" ref="G745">XLOOKUP($D745,REGOLITOS!$A:$A,REGOLITOS!G:G)</f>
        <v>#N/A</v>
      </c>
      <c r="H745" s="48" t="str">
        <f t="array" ref="H745">XLOOKUP($D745,REGOLITOS!$A:$A,REGOLITOS!H:H)</f>
        <v>#N/A</v>
      </c>
      <c r="I745" s="48" t="str">
        <f t="array" ref="I745">XLOOKUP($D745,REGOLITOS!$A:$A,REGOLITOS!I:I)</f>
        <v>#N/A</v>
      </c>
      <c r="J745" s="48" t="str">
        <f t="array" ref="J745">XLOOKUP($D745,REGOLITOS!$A:$A,REGOLITOS!J:J)</f>
        <v>#N/A</v>
      </c>
      <c r="K745" s="48" t="str">
        <f t="array" ref="K745">XLOOKUP($D745,REGOLITOS!$A:$A,REGOLITOS!K:K)</f>
        <v>#N/A</v>
      </c>
      <c r="L745" s="76"/>
      <c r="M745" s="5" t="s">
        <v>1080</v>
      </c>
      <c r="N745" s="5" t="s">
        <v>1080</v>
      </c>
      <c r="O745" s="5" t="s">
        <v>1080</v>
      </c>
      <c r="P745" s="5" t="s">
        <v>1080</v>
      </c>
      <c r="Q745" s="5" t="s">
        <v>1080</v>
      </c>
      <c r="X745" s="71">
        <f t="shared" si="5"/>
        <v>0</v>
      </c>
      <c r="Y745" s="5" t="b">
        <v>0</v>
      </c>
    </row>
    <row r="746">
      <c r="B746" s="5" t="str">
        <f t="array" ref="B746">XLOOKUP(A746, CURSOS!A:A, CURSOS!B:B)</f>
        <v>#N/A</v>
      </c>
      <c r="C746" s="75" t="str">
        <f t="array" ref="C746">XLOOKUP(A746, CURSOS!A:A, CURSOS!C:C)</f>
        <v>#N/A</v>
      </c>
      <c r="D746" s="70" t="e">
        <v>#N/A</v>
      </c>
      <c r="E746" s="48"/>
      <c r="F746" s="48" t="str">
        <f t="array" ref="F746">XLOOKUP($D746,REGOLITOS!$A:$A,REGOLITOS!F:F)</f>
        <v>#N/A</v>
      </c>
      <c r="G746" s="48" t="str">
        <f t="array" ref="G746">XLOOKUP($D746,REGOLITOS!$A:$A,REGOLITOS!G:G)</f>
        <v>#N/A</v>
      </c>
      <c r="H746" s="48" t="str">
        <f t="array" ref="H746">XLOOKUP($D746,REGOLITOS!$A:$A,REGOLITOS!H:H)</f>
        <v>#N/A</v>
      </c>
      <c r="I746" s="48" t="str">
        <f t="array" ref="I746">XLOOKUP($D746,REGOLITOS!$A:$A,REGOLITOS!I:I)</f>
        <v>#N/A</v>
      </c>
      <c r="J746" s="48" t="str">
        <f t="array" ref="J746">XLOOKUP($D746,REGOLITOS!$A:$A,REGOLITOS!J:J)</f>
        <v>#N/A</v>
      </c>
      <c r="K746" s="48" t="str">
        <f t="array" ref="K746">XLOOKUP($D746,REGOLITOS!$A:$A,REGOLITOS!K:K)</f>
        <v>#N/A</v>
      </c>
      <c r="L746" s="76"/>
      <c r="M746" s="5" t="s">
        <v>1080</v>
      </c>
      <c r="N746" s="5" t="s">
        <v>1080</v>
      </c>
      <c r="O746" s="5" t="s">
        <v>1080</v>
      </c>
      <c r="P746" s="5" t="s">
        <v>1080</v>
      </c>
      <c r="Q746" s="5" t="s">
        <v>1080</v>
      </c>
      <c r="X746" s="71">
        <f t="shared" si="5"/>
        <v>0</v>
      </c>
      <c r="Y746" s="5" t="b">
        <v>0</v>
      </c>
    </row>
    <row r="747">
      <c r="B747" s="5" t="str">
        <f t="array" ref="B747">XLOOKUP(A747, CURSOS!A:A, CURSOS!B:B)</f>
        <v>#N/A</v>
      </c>
      <c r="C747" s="75" t="str">
        <f t="array" ref="C747">XLOOKUP(A747, CURSOS!A:A, CURSOS!C:C)</f>
        <v>#N/A</v>
      </c>
      <c r="D747" s="70" t="e">
        <v>#N/A</v>
      </c>
      <c r="E747" s="48"/>
      <c r="F747" s="48" t="str">
        <f t="array" ref="F747">XLOOKUP($D747,REGOLITOS!$A:$A,REGOLITOS!F:F)</f>
        <v>#N/A</v>
      </c>
      <c r="G747" s="48" t="str">
        <f t="array" ref="G747">XLOOKUP($D747,REGOLITOS!$A:$A,REGOLITOS!G:G)</f>
        <v>#N/A</v>
      </c>
      <c r="H747" s="48" t="str">
        <f t="array" ref="H747">XLOOKUP($D747,REGOLITOS!$A:$A,REGOLITOS!H:H)</f>
        <v>#N/A</v>
      </c>
      <c r="I747" s="48" t="str">
        <f t="array" ref="I747">XLOOKUP($D747,REGOLITOS!$A:$A,REGOLITOS!I:I)</f>
        <v>#N/A</v>
      </c>
      <c r="J747" s="48" t="str">
        <f t="array" ref="J747">XLOOKUP($D747,REGOLITOS!$A:$A,REGOLITOS!J:J)</f>
        <v>#N/A</v>
      </c>
      <c r="K747" s="48" t="str">
        <f t="array" ref="K747">XLOOKUP($D747,REGOLITOS!$A:$A,REGOLITOS!K:K)</f>
        <v>#N/A</v>
      </c>
      <c r="L747" s="76"/>
      <c r="M747" s="5" t="s">
        <v>1080</v>
      </c>
      <c r="N747" s="5" t="s">
        <v>1080</v>
      </c>
      <c r="O747" s="5" t="s">
        <v>1080</v>
      </c>
      <c r="P747" s="5" t="s">
        <v>1080</v>
      </c>
      <c r="Q747" s="5" t="s">
        <v>1080</v>
      </c>
      <c r="X747" s="71">
        <f t="shared" si="5"/>
        <v>0</v>
      </c>
      <c r="Y747" s="5" t="b">
        <v>0</v>
      </c>
    </row>
    <row r="748">
      <c r="B748" s="5" t="str">
        <f t="array" ref="B748">XLOOKUP(A748, CURSOS!A:A, CURSOS!B:B)</f>
        <v>#N/A</v>
      </c>
      <c r="C748" s="75" t="str">
        <f t="array" ref="C748">XLOOKUP(A748, CURSOS!A:A, CURSOS!C:C)</f>
        <v>#N/A</v>
      </c>
      <c r="D748" s="70" t="e">
        <v>#N/A</v>
      </c>
      <c r="E748" s="48"/>
      <c r="F748" s="48" t="str">
        <f t="array" ref="F748">XLOOKUP($D748,REGOLITOS!$A:$A,REGOLITOS!F:F)</f>
        <v>#N/A</v>
      </c>
      <c r="G748" s="48" t="str">
        <f t="array" ref="G748">XLOOKUP($D748,REGOLITOS!$A:$A,REGOLITOS!G:G)</f>
        <v>#N/A</v>
      </c>
      <c r="H748" s="48" t="str">
        <f t="array" ref="H748">XLOOKUP($D748,REGOLITOS!$A:$A,REGOLITOS!H:H)</f>
        <v>#N/A</v>
      </c>
      <c r="I748" s="48" t="str">
        <f t="array" ref="I748">XLOOKUP($D748,REGOLITOS!$A:$A,REGOLITOS!I:I)</f>
        <v>#N/A</v>
      </c>
      <c r="J748" s="48" t="str">
        <f t="array" ref="J748">XLOOKUP($D748,REGOLITOS!$A:$A,REGOLITOS!J:J)</f>
        <v>#N/A</v>
      </c>
      <c r="K748" s="48" t="str">
        <f t="array" ref="K748">XLOOKUP($D748,REGOLITOS!$A:$A,REGOLITOS!K:K)</f>
        <v>#N/A</v>
      </c>
      <c r="L748" s="76"/>
      <c r="M748" s="5" t="s">
        <v>1080</v>
      </c>
      <c r="N748" s="5" t="s">
        <v>1080</v>
      </c>
      <c r="O748" s="5" t="s">
        <v>1080</v>
      </c>
      <c r="P748" s="5" t="s">
        <v>1080</v>
      </c>
      <c r="Q748" s="5" t="s">
        <v>1080</v>
      </c>
      <c r="X748" s="71">
        <f t="shared" si="5"/>
        <v>0</v>
      </c>
      <c r="Y748" s="5" t="b">
        <v>0</v>
      </c>
    </row>
    <row r="749">
      <c r="B749" s="5" t="str">
        <f t="array" ref="B749">XLOOKUP(A749, CURSOS!A:A, CURSOS!B:B)</f>
        <v>#N/A</v>
      </c>
      <c r="C749" s="75" t="str">
        <f t="array" ref="C749">XLOOKUP(A749, CURSOS!A:A, CURSOS!C:C)</f>
        <v>#N/A</v>
      </c>
      <c r="D749" s="70" t="e">
        <v>#N/A</v>
      </c>
      <c r="E749" s="48"/>
      <c r="F749" s="48" t="str">
        <f t="array" ref="F749">XLOOKUP($D749,REGOLITOS!$A:$A,REGOLITOS!F:F)</f>
        <v>#N/A</v>
      </c>
      <c r="G749" s="48" t="str">
        <f t="array" ref="G749">XLOOKUP($D749,REGOLITOS!$A:$A,REGOLITOS!G:G)</f>
        <v>#N/A</v>
      </c>
      <c r="H749" s="48" t="str">
        <f t="array" ref="H749">XLOOKUP($D749,REGOLITOS!$A:$A,REGOLITOS!H:H)</f>
        <v>#N/A</v>
      </c>
      <c r="I749" s="48" t="str">
        <f t="array" ref="I749">XLOOKUP($D749,REGOLITOS!$A:$A,REGOLITOS!I:I)</f>
        <v>#N/A</v>
      </c>
      <c r="J749" s="48" t="str">
        <f t="array" ref="J749">XLOOKUP($D749,REGOLITOS!$A:$A,REGOLITOS!J:J)</f>
        <v>#N/A</v>
      </c>
      <c r="K749" s="48" t="str">
        <f t="array" ref="K749">XLOOKUP($D749,REGOLITOS!$A:$A,REGOLITOS!K:K)</f>
        <v>#N/A</v>
      </c>
      <c r="L749" s="76"/>
      <c r="M749" s="5" t="s">
        <v>1080</v>
      </c>
      <c r="N749" s="5" t="s">
        <v>1080</v>
      </c>
      <c r="O749" s="5" t="s">
        <v>1080</v>
      </c>
      <c r="P749" s="5" t="s">
        <v>1080</v>
      </c>
      <c r="Q749" s="5" t="s">
        <v>1080</v>
      </c>
      <c r="X749" s="71">
        <f t="shared" si="5"/>
        <v>0</v>
      </c>
      <c r="Y749" s="5" t="b">
        <v>0</v>
      </c>
    </row>
    <row r="750">
      <c r="B750" s="5" t="str">
        <f t="array" ref="B750">XLOOKUP(A750, CURSOS!A:A, CURSOS!B:B)</f>
        <v>#N/A</v>
      </c>
      <c r="C750" s="75" t="str">
        <f t="array" ref="C750">XLOOKUP(A750, CURSOS!A:A, CURSOS!C:C)</f>
        <v>#N/A</v>
      </c>
      <c r="D750" s="70" t="e">
        <v>#N/A</v>
      </c>
      <c r="E750" s="48"/>
      <c r="F750" s="48" t="str">
        <f t="array" ref="F750">XLOOKUP($D750,REGOLITOS!$A:$A,REGOLITOS!F:F)</f>
        <v>#N/A</v>
      </c>
      <c r="G750" s="48" t="str">
        <f t="array" ref="G750">XLOOKUP($D750,REGOLITOS!$A:$A,REGOLITOS!G:G)</f>
        <v>#N/A</v>
      </c>
      <c r="H750" s="48" t="str">
        <f t="array" ref="H750">XLOOKUP($D750,REGOLITOS!$A:$A,REGOLITOS!H:H)</f>
        <v>#N/A</v>
      </c>
      <c r="I750" s="48" t="str">
        <f t="array" ref="I750">XLOOKUP($D750,REGOLITOS!$A:$A,REGOLITOS!I:I)</f>
        <v>#N/A</v>
      </c>
      <c r="J750" s="48" t="str">
        <f t="array" ref="J750">XLOOKUP($D750,REGOLITOS!$A:$A,REGOLITOS!J:J)</f>
        <v>#N/A</v>
      </c>
      <c r="K750" s="48" t="str">
        <f t="array" ref="K750">XLOOKUP($D750,REGOLITOS!$A:$A,REGOLITOS!K:K)</f>
        <v>#N/A</v>
      </c>
      <c r="L750" s="76"/>
      <c r="M750" s="5" t="s">
        <v>1080</v>
      </c>
      <c r="N750" s="5" t="s">
        <v>1080</v>
      </c>
      <c r="O750" s="5" t="s">
        <v>1080</v>
      </c>
      <c r="P750" s="5" t="s">
        <v>1080</v>
      </c>
      <c r="Q750" s="5" t="s">
        <v>1080</v>
      </c>
      <c r="X750" s="71">
        <f t="shared" si="5"/>
        <v>0</v>
      </c>
      <c r="Y750" s="5" t="b">
        <v>0</v>
      </c>
    </row>
    <row r="751">
      <c r="B751" s="5" t="str">
        <f t="array" ref="B751">XLOOKUP(A751, CURSOS!A:A, CURSOS!B:B)</f>
        <v>#N/A</v>
      </c>
      <c r="C751" s="75" t="str">
        <f t="array" ref="C751">XLOOKUP(A751, CURSOS!A:A, CURSOS!C:C)</f>
        <v>#N/A</v>
      </c>
      <c r="D751" s="70" t="e">
        <v>#N/A</v>
      </c>
      <c r="E751" s="48"/>
      <c r="F751" s="48" t="str">
        <f t="array" ref="F751">XLOOKUP($D751,REGOLITOS!$A:$A,REGOLITOS!F:F)</f>
        <v>#N/A</v>
      </c>
      <c r="G751" s="48" t="str">
        <f t="array" ref="G751">XLOOKUP($D751,REGOLITOS!$A:$A,REGOLITOS!G:G)</f>
        <v>#N/A</v>
      </c>
      <c r="H751" s="48" t="str">
        <f t="array" ref="H751">XLOOKUP($D751,REGOLITOS!$A:$A,REGOLITOS!H:H)</f>
        <v>#N/A</v>
      </c>
      <c r="I751" s="48" t="str">
        <f t="array" ref="I751">XLOOKUP($D751,REGOLITOS!$A:$A,REGOLITOS!I:I)</f>
        <v>#N/A</v>
      </c>
      <c r="J751" s="48" t="str">
        <f t="array" ref="J751">XLOOKUP($D751,REGOLITOS!$A:$A,REGOLITOS!J:J)</f>
        <v>#N/A</v>
      </c>
      <c r="K751" s="48" t="str">
        <f t="array" ref="K751">XLOOKUP($D751,REGOLITOS!$A:$A,REGOLITOS!K:K)</f>
        <v>#N/A</v>
      </c>
      <c r="L751" s="76"/>
      <c r="M751" s="5" t="s">
        <v>1080</v>
      </c>
      <c r="N751" s="5" t="s">
        <v>1080</v>
      </c>
      <c r="O751" s="5" t="s">
        <v>1080</v>
      </c>
      <c r="P751" s="5" t="s">
        <v>1080</v>
      </c>
      <c r="Q751" s="5" t="s">
        <v>1080</v>
      </c>
      <c r="X751" s="71">
        <f t="shared" si="5"/>
        <v>0</v>
      </c>
      <c r="Y751" s="5" t="b">
        <v>0</v>
      </c>
    </row>
    <row r="752">
      <c r="B752" s="5" t="str">
        <f t="array" ref="B752">XLOOKUP(A752, CURSOS!A:A, CURSOS!B:B)</f>
        <v>#N/A</v>
      </c>
      <c r="C752" s="75" t="str">
        <f t="array" ref="C752">XLOOKUP(A752, CURSOS!A:A, CURSOS!C:C)</f>
        <v>#N/A</v>
      </c>
      <c r="D752" s="70" t="e">
        <v>#N/A</v>
      </c>
      <c r="E752" s="48"/>
      <c r="F752" s="48" t="str">
        <f t="array" ref="F752">XLOOKUP($D752,REGOLITOS!$A:$A,REGOLITOS!F:F)</f>
        <v>#N/A</v>
      </c>
      <c r="G752" s="48" t="str">
        <f t="array" ref="G752">XLOOKUP($D752,REGOLITOS!$A:$A,REGOLITOS!G:G)</f>
        <v>#N/A</v>
      </c>
      <c r="H752" s="48" t="str">
        <f t="array" ref="H752">XLOOKUP($D752,REGOLITOS!$A:$A,REGOLITOS!H:H)</f>
        <v>#N/A</v>
      </c>
      <c r="I752" s="48" t="str">
        <f t="array" ref="I752">XLOOKUP($D752,REGOLITOS!$A:$A,REGOLITOS!I:I)</f>
        <v>#N/A</v>
      </c>
      <c r="J752" s="48" t="str">
        <f t="array" ref="J752">XLOOKUP($D752,REGOLITOS!$A:$A,REGOLITOS!J:J)</f>
        <v>#N/A</v>
      </c>
      <c r="K752" s="48" t="str">
        <f t="array" ref="K752">XLOOKUP($D752,REGOLITOS!$A:$A,REGOLITOS!K:K)</f>
        <v>#N/A</v>
      </c>
      <c r="L752" s="76"/>
      <c r="M752" s="5" t="s">
        <v>1080</v>
      </c>
      <c r="N752" s="5" t="s">
        <v>1080</v>
      </c>
      <c r="O752" s="5" t="s">
        <v>1080</v>
      </c>
      <c r="P752" s="5" t="s">
        <v>1080</v>
      </c>
      <c r="Q752" s="5" t="s">
        <v>1080</v>
      </c>
      <c r="X752" s="71">
        <f t="shared" si="5"/>
        <v>0</v>
      </c>
      <c r="Y752" s="5" t="b">
        <v>0</v>
      </c>
    </row>
    <row r="753">
      <c r="B753" s="5" t="str">
        <f t="array" ref="B753">XLOOKUP(A753, CURSOS!A:A, CURSOS!B:B)</f>
        <v>#N/A</v>
      </c>
      <c r="C753" s="75" t="str">
        <f t="array" ref="C753">XLOOKUP(A753, CURSOS!A:A, CURSOS!C:C)</f>
        <v>#N/A</v>
      </c>
      <c r="D753" s="70" t="e">
        <v>#N/A</v>
      </c>
      <c r="E753" s="48"/>
      <c r="F753" s="48" t="str">
        <f t="array" ref="F753">XLOOKUP($D753,REGOLITOS!$A:$A,REGOLITOS!F:F)</f>
        <v>#N/A</v>
      </c>
      <c r="G753" s="48" t="str">
        <f t="array" ref="G753">XLOOKUP($D753,REGOLITOS!$A:$A,REGOLITOS!G:G)</f>
        <v>#N/A</v>
      </c>
      <c r="H753" s="48" t="str">
        <f t="array" ref="H753">XLOOKUP($D753,REGOLITOS!$A:$A,REGOLITOS!H:H)</f>
        <v>#N/A</v>
      </c>
      <c r="I753" s="48" t="str">
        <f t="array" ref="I753">XLOOKUP($D753,REGOLITOS!$A:$A,REGOLITOS!I:I)</f>
        <v>#N/A</v>
      </c>
      <c r="J753" s="48" t="str">
        <f t="array" ref="J753">XLOOKUP($D753,REGOLITOS!$A:$A,REGOLITOS!J:J)</f>
        <v>#N/A</v>
      </c>
      <c r="K753" s="48" t="str">
        <f t="array" ref="K753">XLOOKUP($D753,REGOLITOS!$A:$A,REGOLITOS!K:K)</f>
        <v>#N/A</v>
      </c>
      <c r="L753" s="76"/>
      <c r="M753" s="5" t="s">
        <v>1080</v>
      </c>
      <c r="N753" s="5" t="s">
        <v>1080</v>
      </c>
      <c r="O753" s="5" t="s">
        <v>1080</v>
      </c>
      <c r="P753" s="5" t="s">
        <v>1080</v>
      </c>
      <c r="Q753" s="5" t="s">
        <v>1080</v>
      </c>
      <c r="X753" s="71">
        <f t="shared" si="5"/>
        <v>0</v>
      </c>
      <c r="Y753" s="5" t="b">
        <v>0</v>
      </c>
    </row>
    <row r="754">
      <c r="B754" s="5" t="str">
        <f t="array" ref="B754">XLOOKUP(A754, CURSOS!A:A, CURSOS!B:B)</f>
        <v>#N/A</v>
      </c>
      <c r="C754" s="75" t="str">
        <f t="array" ref="C754">XLOOKUP(A754, CURSOS!A:A, CURSOS!C:C)</f>
        <v>#N/A</v>
      </c>
      <c r="D754" s="70" t="e">
        <v>#N/A</v>
      </c>
      <c r="E754" s="48"/>
      <c r="F754" s="48" t="str">
        <f t="array" ref="F754">XLOOKUP($D754,REGOLITOS!$A:$A,REGOLITOS!F:F)</f>
        <v>#N/A</v>
      </c>
      <c r="G754" s="48" t="str">
        <f t="array" ref="G754">XLOOKUP($D754,REGOLITOS!$A:$A,REGOLITOS!G:G)</f>
        <v>#N/A</v>
      </c>
      <c r="H754" s="48" t="str">
        <f t="array" ref="H754">XLOOKUP($D754,REGOLITOS!$A:$A,REGOLITOS!H:H)</f>
        <v>#N/A</v>
      </c>
      <c r="I754" s="48" t="str">
        <f t="array" ref="I754">XLOOKUP($D754,REGOLITOS!$A:$A,REGOLITOS!I:I)</f>
        <v>#N/A</v>
      </c>
      <c r="J754" s="48" t="str">
        <f t="array" ref="J754">XLOOKUP($D754,REGOLITOS!$A:$A,REGOLITOS!J:J)</f>
        <v>#N/A</v>
      </c>
      <c r="K754" s="48" t="str">
        <f t="array" ref="K754">XLOOKUP($D754,REGOLITOS!$A:$A,REGOLITOS!K:K)</f>
        <v>#N/A</v>
      </c>
      <c r="L754" s="76"/>
      <c r="M754" s="5" t="s">
        <v>1080</v>
      </c>
      <c r="N754" s="5" t="s">
        <v>1080</v>
      </c>
      <c r="O754" s="5" t="s">
        <v>1080</v>
      </c>
      <c r="P754" s="5" t="s">
        <v>1080</v>
      </c>
      <c r="Q754" s="5" t="s">
        <v>1080</v>
      </c>
      <c r="X754" s="71">
        <f t="shared" si="5"/>
        <v>0</v>
      </c>
      <c r="Y754" s="5" t="b">
        <v>0</v>
      </c>
    </row>
    <row r="755">
      <c r="B755" s="5" t="str">
        <f t="array" ref="B755">XLOOKUP(A755, CURSOS!A:A, CURSOS!B:B)</f>
        <v>#N/A</v>
      </c>
      <c r="C755" s="75" t="str">
        <f t="array" ref="C755">XLOOKUP(A755, CURSOS!A:A, CURSOS!C:C)</f>
        <v>#N/A</v>
      </c>
      <c r="D755" s="70" t="e">
        <v>#N/A</v>
      </c>
      <c r="E755" s="48"/>
      <c r="F755" s="48" t="str">
        <f t="array" ref="F755">XLOOKUP($D755,REGOLITOS!$A:$A,REGOLITOS!F:F)</f>
        <v>#N/A</v>
      </c>
      <c r="G755" s="48" t="str">
        <f t="array" ref="G755">XLOOKUP($D755,REGOLITOS!$A:$A,REGOLITOS!G:G)</f>
        <v>#N/A</v>
      </c>
      <c r="H755" s="48" t="str">
        <f t="array" ref="H755">XLOOKUP($D755,REGOLITOS!$A:$A,REGOLITOS!H:H)</f>
        <v>#N/A</v>
      </c>
      <c r="I755" s="48" t="str">
        <f t="array" ref="I755">XLOOKUP($D755,REGOLITOS!$A:$A,REGOLITOS!I:I)</f>
        <v>#N/A</v>
      </c>
      <c r="J755" s="48" t="str">
        <f t="array" ref="J755">XLOOKUP($D755,REGOLITOS!$A:$A,REGOLITOS!J:J)</f>
        <v>#N/A</v>
      </c>
      <c r="K755" s="48" t="str">
        <f t="array" ref="K755">XLOOKUP($D755,REGOLITOS!$A:$A,REGOLITOS!K:K)</f>
        <v>#N/A</v>
      </c>
      <c r="L755" s="76"/>
      <c r="M755" s="5" t="s">
        <v>1080</v>
      </c>
      <c r="N755" s="5" t="s">
        <v>1080</v>
      </c>
      <c r="O755" s="5" t="s">
        <v>1080</v>
      </c>
      <c r="P755" s="5" t="s">
        <v>1080</v>
      </c>
      <c r="Q755" s="5" t="s">
        <v>1080</v>
      </c>
      <c r="X755" s="71">
        <f t="shared" si="5"/>
        <v>0</v>
      </c>
      <c r="Y755" s="5" t="b">
        <v>0</v>
      </c>
    </row>
    <row r="756">
      <c r="B756" s="5" t="str">
        <f t="array" ref="B756">XLOOKUP(A756, CURSOS!A:A, CURSOS!B:B)</f>
        <v>#N/A</v>
      </c>
      <c r="C756" s="75" t="str">
        <f t="array" ref="C756">XLOOKUP(A756, CURSOS!A:A, CURSOS!C:C)</f>
        <v>#N/A</v>
      </c>
      <c r="D756" s="70" t="e">
        <v>#N/A</v>
      </c>
      <c r="E756" s="48"/>
      <c r="F756" s="48" t="str">
        <f t="array" ref="F756">XLOOKUP($D756,REGOLITOS!$A:$A,REGOLITOS!F:F)</f>
        <v>#N/A</v>
      </c>
      <c r="G756" s="48" t="str">
        <f t="array" ref="G756">XLOOKUP($D756,REGOLITOS!$A:$A,REGOLITOS!G:G)</f>
        <v>#N/A</v>
      </c>
      <c r="H756" s="48" t="str">
        <f t="array" ref="H756">XLOOKUP($D756,REGOLITOS!$A:$A,REGOLITOS!H:H)</f>
        <v>#N/A</v>
      </c>
      <c r="I756" s="48" t="str">
        <f t="array" ref="I756">XLOOKUP($D756,REGOLITOS!$A:$A,REGOLITOS!I:I)</f>
        <v>#N/A</v>
      </c>
      <c r="J756" s="48" t="str">
        <f t="array" ref="J756">XLOOKUP($D756,REGOLITOS!$A:$A,REGOLITOS!J:J)</f>
        <v>#N/A</v>
      </c>
      <c r="K756" s="48" t="str">
        <f t="array" ref="K756">XLOOKUP($D756,REGOLITOS!$A:$A,REGOLITOS!K:K)</f>
        <v>#N/A</v>
      </c>
      <c r="L756" s="76"/>
      <c r="M756" s="5" t="s">
        <v>1080</v>
      </c>
      <c r="N756" s="5" t="s">
        <v>1080</v>
      </c>
      <c r="O756" s="5" t="s">
        <v>1080</v>
      </c>
      <c r="P756" s="5" t="s">
        <v>1080</v>
      </c>
      <c r="Q756" s="5" t="s">
        <v>1080</v>
      </c>
      <c r="X756" s="71">
        <f t="shared" si="5"/>
        <v>0</v>
      </c>
      <c r="Y756" s="5" t="b">
        <v>0</v>
      </c>
    </row>
    <row r="757">
      <c r="B757" s="5" t="str">
        <f t="array" ref="B757">XLOOKUP(A757, CURSOS!A:A, CURSOS!B:B)</f>
        <v>#N/A</v>
      </c>
      <c r="C757" s="75" t="str">
        <f t="array" ref="C757">XLOOKUP(A757, CURSOS!A:A, CURSOS!C:C)</f>
        <v>#N/A</v>
      </c>
      <c r="D757" s="70" t="e">
        <v>#N/A</v>
      </c>
      <c r="E757" s="48"/>
      <c r="F757" s="48" t="str">
        <f t="array" ref="F757">XLOOKUP($D757,REGOLITOS!$A:$A,REGOLITOS!F:F)</f>
        <v>#N/A</v>
      </c>
      <c r="G757" s="48" t="str">
        <f t="array" ref="G757">XLOOKUP($D757,REGOLITOS!$A:$A,REGOLITOS!G:G)</f>
        <v>#N/A</v>
      </c>
      <c r="H757" s="48" t="str">
        <f t="array" ref="H757">XLOOKUP($D757,REGOLITOS!$A:$A,REGOLITOS!H:H)</f>
        <v>#N/A</v>
      </c>
      <c r="I757" s="48" t="str">
        <f t="array" ref="I757">XLOOKUP($D757,REGOLITOS!$A:$A,REGOLITOS!I:I)</f>
        <v>#N/A</v>
      </c>
      <c r="J757" s="48" t="str">
        <f t="array" ref="J757">XLOOKUP($D757,REGOLITOS!$A:$A,REGOLITOS!J:J)</f>
        <v>#N/A</v>
      </c>
      <c r="K757" s="48" t="str">
        <f t="array" ref="K757">XLOOKUP($D757,REGOLITOS!$A:$A,REGOLITOS!K:K)</f>
        <v>#N/A</v>
      </c>
      <c r="L757" s="76"/>
      <c r="M757" s="5" t="s">
        <v>1080</v>
      </c>
      <c r="N757" s="5" t="s">
        <v>1080</v>
      </c>
      <c r="O757" s="5" t="s">
        <v>1080</v>
      </c>
      <c r="P757" s="5" t="s">
        <v>1080</v>
      </c>
      <c r="Q757" s="5" t="s">
        <v>1080</v>
      </c>
      <c r="X757" s="71">
        <f t="shared" si="5"/>
        <v>0</v>
      </c>
      <c r="Y757" s="5" t="b">
        <v>0</v>
      </c>
    </row>
    <row r="758">
      <c r="B758" s="5" t="str">
        <f t="array" ref="B758">XLOOKUP(A758, CURSOS!A:A, CURSOS!B:B)</f>
        <v>#N/A</v>
      </c>
      <c r="C758" s="75" t="str">
        <f t="array" ref="C758">XLOOKUP(A758, CURSOS!A:A, CURSOS!C:C)</f>
        <v>#N/A</v>
      </c>
      <c r="D758" s="70" t="e">
        <v>#N/A</v>
      </c>
      <c r="E758" s="48"/>
      <c r="F758" s="48" t="str">
        <f t="array" ref="F758">XLOOKUP($D758,REGOLITOS!$A:$A,REGOLITOS!F:F)</f>
        <v>#N/A</v>
      </c>
      <c r="G758" s="48" t="str">
        <f t="array" ref="G758">XLOOKUP($D758,REGOLITOS!$A:$A,REGOLITOS!G:G)</f>
        <v>#N/A</v>
      </c>
      <c r="H758" s="48" t="str">
        <f t="array" ref="H758">XLOOKUP($D758,REGOLITOS!$A:$A,REGOLITOS!H:H)</f>
        <v>#N/A</v>
      </c>
      <c r="I758" s="48" t="str">
        <f t="array" ref="I758">XLOOKUP($D758,REGOLITOS!$A:$A,REGOLITOS!I:I)</f>
        <v>#N/A</v>
      </c>
      <c r="J758" s="48" t="str">
        <f t="array" ref="J758">XLOOKUP($D758,REGOLITOS!$A:$A,REGOLITOS!J:J)</f>
        <v>#N/A</v>
      </c>
      <c r="K758" s="48" t="str">
        <f t="array" ref="K758">XLOOKUP($D758,REGOLITOS!$A:$A,REGOLITOS!K:K)</f>
        <v>#N/A</v>
      </c>
      <c r="L758" s="76"/>
      <c r="M758" s="5" t="s">
        <v>1080</v>
      </c>
      <c r="N758" s="5" t="s">
        <v>1080</v>
      </c>
      <c r="O758" s="5" t="s">
        <v>1080</v>
      </c>
      <c r="P758" s="5" t="s">
        <v>1080</v>
      </c>
      <c r="Q758" s="5" t="s">
        <v>1080</v>
      </c>
      <c r="X758" s="71">
        <f t="shared" si="5"/>
        <v>0</v>
      </c>
      <c r="Y758" s="5" t="b">
        <v>0</v>
      </c>
    </row>
    <row r="759">
      <c r="B759" s="5" t="str">
        <f t="array" ref="B759">XLOOKUP(A759, CURSOS!A:A, CURSOS!B:B)</f>
        <v>#N/A</v>
      </c>
      <c r="C759" s="75" t="str">
        <f t="array" ref="C759">XLOOKUP(A759, CURSOS!A:A, CURSOS!C:C)</f>
        <v>#N/A</v>
      </c>
      <c r="D759" s="70" t="e">
        <v>#N/A</v>
      </c>
      <c r="E759" s="48"/>
      <c r="F759" s="48" t="str">
        <f t="array" ref="F759">XLOOKUP($D759,REGOLITOS!$A:$A,REGOLITOS!F:F)</f>
        <v>#N/A</v>
      </c>
      <c r="G759" s="48" t="str">
        <f t="array" ref="G759">XLOOKUP($D759,REGOLITOS!$A:$A,REGOLITOS!G:G)</f>
        <v>#N/A</v>
      </c>
      <c r="H759" s="48" t="str">
        <f t="array" ref="H759">XLOOKUP($D759,REGOLITOS!$A:$A,REGOLITOS!H:H)</f>
        <v>#N/A</v>
      </c>
      <c r="I759" s="48" t="str">
        <f t="array" ref="I759">XLOOKUP($D759,REGOLITOS!$A:$A,REGOLITOS!I:I)</f>
        <v>#N/A</v>
      </c>
      <c r="J759" s="48" t="str">
        <f t="array" ref="J759">XLOOKUP($D759,REGOLITOS!$A:$A,REGOLITOS!J:J)</f>
        <v>#N/A</v>
      </c>
      <c r="K759" s="48" t="str">
        <f t="array" ref="K759">XLOOKUP($D759,REGOLITOS!$A:$A,REGOLITOS!K:K)</f>
        <v>#N/A</v>
      </c>
      <c r="L759" s="76"/>
      <c r="M759" s="5" t="s">
        <v>1080</v>
      </c>
      <c r="N759" s="5" t="s">
        <v>1080</v>
      </c>
      <c r="O759" s="5" t="s">
        <v>1080</v>
      </c>
      <c r="P759" s="5" t="s">
        <v>1080</v>
      </c>
      <c r="Q759" s="5" t="s">
        <v>1080</v>
      </c>
      <c r="X759" s="71">
        <f t="shared" si="5"/>
        <v>0</v>
      </c>
      <c r="Y759" s="5" t="b">
        <v>0</v>
      </c>
    </row>
    <row r="760">
      <c r="B760" s="5" t="str">
        <f t="array" ref="B760">XLOOKUP(A760, CURSOS!A:A, CURSOS!B:B)</f>
        <v>#N/A</v>
      </c>
      <c r="C760" s="75" t="str">
        <f t="array" ref="C760">XLOOKUP(A760, CURSOS!A:A, CURSOS!C:C)</f>
        <v>#N/A</v>
      </c>
      <c r="D760" s="70" t="e">
        <v>#N/A</v>
      </c>
      <c r="E760" s="48"/>
      <c r="F760" s="48" t="str">
        <f t="array" ref="F760">XLOOKUP($D760,REGOLITOS!$A:$A,REGOLITOS!F:F)</f>
        <v>#N/A</v>
      </c>
      <c r="G760" s="48" t="str">
        <f t="array" ref="G760">XLOOKUP($D760,REGOLITOS!$A:$A,REGOLITOS!G:G)</f>
        <v>#N/A</v>
      </c>
      <c r="H760" s="48" t="str">
        <f t="array" ref="H760">XLOOKUP($D760,REGOLITOS!$A:$A,REGOLITOS!H:H)</f>
        <v>#N/A</v>
      </c>
      <c r="I760" s="48" t="str">
        <f t="array" ref="I760">XLOOKUP($D760,REGOLITOS!$A:$A,REGOLITOS!I:I)</f>
        <v>#N/A</v>
      </c>
      <c r="J760" s="48" t="str">
        <f t="array" ref="J760">XLOOKUP($D760,REGOLITOS!$A:$A,REGOLITOS!J:J)</f>
        <v>#N/A</v>
      </c>
      <c r="K760" s="48" t="str">
        <f t="array" ref="K760">XLOOKUP($D760,REGOLITOS!$A:$A,REGOLITOS!K:K)</f>
        <v>#N/A</v>
      </c>
      <c r="L760" s="76"/>
      <c r="M760" s="5" t="s">
        <v>1080</v>
      </c>
      <c r="N760" s="5" t="s">
        <v>1080</v>
      </c>
      <c r="O760" s="5" t="s">
        <v>1080</v>
      </c>
      <c r="P760" s="5" t="s">
        <v>1080</v>
      </c>
      <c r="Q760" s="5" t="s">
        <v>1080</v>
      </c>
      <c r="X760" s="71">
        <f t="shared" si="5"/>
        <v>0</v>
      </c>
      <c r="Y760" s="5" t="b">
        <v>0</v>
      </c>
    </row>
    <row r="761">
      <c r="B761" s="5" t="str">
        <f t="array" ref="B761">XLOOKUP(A761, CURSOS!A:A, CURSOS!B:B)</f>
        <v>#N/A</v>
      </c>
      <c r="C761" s="75" t="str">
        <f t="array" ref="C761">XLOOKUP(A761, CURSOS!A:A, CURSOS!C:C)</f>
        <v>#N/A</v>
      </c>
      <c r="D761" s="70" t="e">
        <v>#N/A</v>
      </c>
      <c r="E761" s="48"/>
      <c r="F761" s="48" t="str">
        <f t="array" ref="F761">XLOOKUP($D761,REGOLITOS!$A:$A,REGOLITOS!F:F)</f>
        <v>#N/A</v>
      </c>
      <c r="G761" s="48" t="str">
        <f t="array" ref="G761">XLOOKUP($D761,REGOLITOS!$A:$A,REGOLITOS!G:G)</f>
        <v>#N/A</v>
      </c>
      <c r="H761" s="48" t="str">
        <f t="array" ref="H761">XLOOKUP($D761,REGOLITOS!$A:$A,REGOLITOS!H:H)</f>
        <v>#N/A</v>
      </c>
      <c r="I761" s="48" t="str">
        <f t="array" ref="I761">XLOOKUP($D761,REGOLITOS!$A:$A,REGOLITOS!I:I)</f>
        <v>#N/A</v>
      </c>
      <c r="J761" s="48" t="str">
        <f t="array" ref="J761">XLOOKUP($D761,REGOLITOS!$A:$A,REGOLITOS!J:J)</f>
        <v>#N/A</v>
      </c>
      <c r="K761" s="48" t="str">
        <f t="array" ref="K761">XLOOKUP($D761,REGOLITOS!$A:$A,REGOLITOS!K:K)</f>
        <v>#N/A</v>
      </c>
      <c r="L761" s="76"/>
      <c r="M761" s="5" t="s">
        <v>1080</v>
      </c>
      <c r="N761" s="5" t="s">
        <v>1080</v>
      </c>
      <c r="O761" s="5" t="s">
        <v>1080</v>
      </c>
      <c r="P761" s="5" t="s">
        <v>1080</v>
      </c>
      <c r="Q761" s="5" t="s">
        <v>1080</v>
      </c>
      <c r="X761" s="71">
        <f t="shared" si="5"/>
        <v>0</v>
      </c>
      <c r="Y761" s="5" t="b">
        <v>0</v>
      </c>
    </row>
    <row r="762">
      <c r="B762" s="5" t="str">
        <f t="array" ref="B762">XLOOKUP(A762, CURSOS!A:A, CURSOS!B:B)</f>
        <v>#N/A</v>
      </c>
      <c r="C762" s="75" t="str">
        <f t="array" ref="C762">XLOOKUP(A762, CURSOS!A:A, CURSOS!C:C)</f>
        <v>#N/A</v>
      </c>
      <c r="D762" s="70" t="e">
        <v>#N/A</v>
      </c>
      <c r="E762" s="48"/>
      <c r="F762" s="48" t="str">
        <f t="array" ref="F762">XLOOKUP($D762,REGOLITOS!$A:$A,REGOLITOS!F:F)</f>
        <v>#N/A</v>
      </c>
      <c r="G762" s="48" t="str">
        <f t="array" ref="G762">XLOOKUP($D762,REGOLITOS!$A:$A,REGOLITOS!G:G)</f>
        <v>#N/A</v>
      </c>
      <c r="H762" s="48" t="str">
        <f t="array" ref="H762">XLOOKUP($D762,REGOLITOS!$A:$A,REGOLITOS!H:H)</f>
        <v>#N/A</v>
      </c>
      <c r="I762" s="48" t="str">
        <f t="array" ref="I762">XLOOKUP($D762,REGOLITOS!$A:$A,REGOLITOS!I:I)</f>
        <v>#N/A</v>
      </c>
      <c r="J762" s="48" t="str">
        <f t="array" ref="J762">XLOOKUP($D762,REGOLITOS!$A:$A,REGOLITOS!J:J)</f>
        <v>#N/A</v>
      </c>
      <c r="K762" s="48" t="str">
        <f t="array" ref="K762">XLOOKUP($D762,REGOLITOS!$A:$A,REGOLITOS!K:K)</f>
        <v>#N/A</v>
      </c>
      <c r="L762" s="76"/>
      <c r="M762" s="5" t="s">
        <v>1080</v>
      </c>
      <c r="N762" s="5" t="s">
        <v>1080</v>
      </c>
      <c r="O762" s="5" t="s">
        <v>1080</v>
      </c>
      <c r="P762" s="5" t="s">
        <v>1080</v>
      </c>
      <c r="Q762" s="5" t="s">
        <v>1080</v>
      </c>
      <c r="X762" s="71">
        <f t="shared" si="5"/>
        <v>0</v>
      </c>
      <c r="Y762" s="5" t="b">
        <v>0</v>
      </c>
    </row>
    <row r="763">
      <c r="B763" s="5" t="str">
        <f t="array" ref="B763">XLOOKUP(A763, CURSOS!A:A, CURSOS!B:B)</f>
        <v>#N/A</v>
      </c>
      <c r="C763" s="75" t="str">
        <f t="array" ref="C763">XLOOKUP(A763, CURSOS!A:A, CURSOS!C:C)</f>
        <v>#N/A</v>
      </c>
      <c r="D763" s="70" t="e">
        <v>#N/A</v>
      </c>
      <c r="E763" s="48"/>
      <c r="F763" s="48" t="str">
        <f t="array" ref="F763">XLOOKUP($D763,REGOLITOS!$A:$A,REGOLITOS!F:F)</f>
        <v>#N/A</v>
      </c>
      <c r="G763" s="48" t="str">
        <f t="array" ref="G763">XLOOKUP($D763,REGOLITOS!$A:$A,REGOLITOS!G:G)</f>
        <v>#N/A</v>
      </c>
      <c r="H763" s="48" t="str">
        <f t="array" ref="H763">XLOOKUP($D763,REGOLITOS!$A:$A,REGOLITOS!H:H)</f>
        <v>#N/A</v>
      </c>
      <c r="I763" s="48" t="str">
        <f t="array" ref="I763">XLOOKUP($D763,REGOLITOS!$A:$A,REGOLITOS!I:I)</f>
        <v>#N/A</v>
      </c>
      <c r="J763" s="48" t="str">
        <f t="array" ref="J763">XLOOKUP($D763,REGOLITOS!$A:$A,REGOLITOS!J:J)</f>
        <v>#N/A</v>
      </c>
      <c r="K763" s="48" t="str">
        <f t="array" ref="K763">XLOOKUP($D763,REGOLITOS!$A:$A,REGOLITOS!K:K)</f>
        <v>#N/A</v>
      </c>
      <c r="L763" s="76"/>
      <c r="M763" s="5" t="s">
        <v>1080</v>
      </c>
      <c r="N763" s="5" t="s">
        <v>1080</v>
      </c>
      <c r="O763" s="5" t="s">
        <v>1080</v>
      </c>
      <c r="P763" s="5" t="s">
        <v>1080</v>
      </c>
      <c r="Q763" s="5" t="s">
        <v>1080</v>
      </c>
      <c r="X763" s="71">
        <f t="shared" si="5"/>
        <v>0</v>
      </c>
      <c r="Y763" s="5" t="b">
        <v>0</v>
      </c>
    </row>
    <row r="764">
      <c r="B764" s="5" t="str">
        <f t="array" ref="B764">XLOOKUP(A764, CURSOS!A:A, CURSOS!B:B)</f>
        <v>#N/A</v>
      </c>
      <c r="C764" s="75" t="str">
        <f t="array" ref="C764">XLOOKUP(A764, CURSOS!A:A, CURSOS!C:C)</f>
        <v>#N/A</v>
      </c>
      <c r="D764" s="70" t="e">
        <v>#N/A</v>
      </c>
      <c r="E764" s="48"/>
      <c r="F764" s="48" t="str">
        <f t="array" ref="F764">XLOOKUP($D764,REGOLITOS!$A:$A,REGOLITOS!F:F)</f>
        <v>#N/A</v>
      </c>
      <c r="G764" s="48" t="str">
        <f t="array" ref="G764">XLOOKUP($D764,REGOLITOS!$A:$A,REGOLITOS!G:G)</f>
        <v>#N/A</v>
      </c>
      <c r="H764" s="48" t="str">
        <f t="array" ref="H764">XLOOKUP($D764,REGOLITOS!$A:$A,REGOLITOS!H:H)</f>
        <v>#N/A</v>
      </c>
      <c r="I764" s="48" t="str">
        <f t="array" ref="I764">XLOOKUP($D764,REGOLITOS!$A:$A,REGOLITOS!I:I)</f>
        <v>#N/A</v>
      </c>
      <c r="J764" s="48" t="str">
        <f t="array" ref="J764">XLOOKUP($D764,REGOLITOS!$A:$A,REGOLITOS!J:J)</f>
        <v>#N/A</v>
      </c>
      <c r="K764" s="48" t="str">
        <f t="array" ref="K764">XLOOKUP($D764,REGOLITOS!$A:$A,REGOLITOS!K:K)</f>
        <v>#N/A</v>
      </c>
      <c r="L764" s="76"/>
      <c r="M764" s="5" t="s">
        <v>1080</v>
      </c>
      <c r="N764" s="5" t="s">
        <v>1080</v>
      </c>
      <c r="O764" s="5" t="s">
        <v>1080</v>
      </c>
      <c r="P764" s="5" t="s">
        <v>1080</v>
      </c>
      <c r="Q764" s="5" t="s">
        <v>1080</v>
      </c>
      <c r="X764" s="71">
        <f t="shared" si="5"/>
        <v>0</v>
      </c>
      <c r="Y764" s="5" t="b">
        <v>0</v>
      </c>
    </row>
    <row r="765">
      <c r="B765" s="5" t="str">
        <f t="array" ref="B765">XLOOKUP(A765, CURSOS!A:A, CURSOS!B:B)</f>
        <v>#N/A</v>
      </c>
      <c r="C765" s="75" t="str">
        <f t="array" ref="C765">XLOOKUP(A765, CURSOS!A:A, CURSOS!C:C)</f>
        <v>#N/A</v>
      </c>
      <c r="D765" s="70" t="e">
        <v>#N/A</v>
      </c>
      <c r="E765" s="48"/>
      <c r="F765" s="48" t="str">
        <f t="array" ref="F765">XLOOKUP($D765,REGOLITOS!$A:$A,REGOLITOS!F:F)</f>
        <v>#N/A</v>
      </c>
      <c r="G765" s="48" t="str">
        <f t="array" ref="G765">XLOOKUP($D765,REGOLITOS!$A:$A,REGOLITOS!G:G)</f>
        <v>#N/A</v>
      </c>
      <c r="H765" s="48" t="str">
        <f t="array" ref="H765">XLOOKUP($D765,REGOLITOS!$A:$A,REGOLITOS!H:H)</f>
        <v>#N/A</v>
      </c>
      <c r="I765" s="48" t="str">
        <f t="array" ref="I765">XLOOKUP($D765,REGOLITOS!$A:$A,REGOLITOS!I:I)</f>
        <v>#N/A</v>
      </c>
      <c r="J765" s="48" t="str">
        <f t="array" ref="J765">XLOOKUP($D765,REGOLITOS!$A:$A,REGOLITOS!J:J)</f>
        <v>#N/A</v>
      </c>
      <c r="K765" s="48" t="str">
        <f t="array" ref="K765">XLOOKUP($D765,REGOLITOS!$A:$A,REGOLITOS!K:K)</f>
        <v>#N/A</v>
      </c>
      <c r="L765" s="76"/>
      <c r="M765" s="5" t="s">
        <v>1080</v>
      </c>
      <c r="N765" s="5" t="s">
        <v>1080</v>
      </c>
      <c r="O765" s="5" t="s">
        <v>1080</v>
      </c>
      <c r="P765" s="5" t="s">
        <v>1080</v>
      </c>
      <c r="Q765" s="5" t="s">
        <v>1080</v>
      </c>
      <c r="X765" s="71">
        <f t="shared" si="5"/>
        <v>0</v>
      </c>
      <c r="Y765" s="5" t="b">
        <v>0</v>
      </c>
    </row>
    <row r="766">
      <c r="B766" s="5" t="str">
        <f t="array" ref="B766">XLOOKUP(A766, CURSOS!A:A, CURSOS!B:B)</f>
        <v>#N/A</v>
      </c>
      <c r="C766" s="75" t="str">
        <f t="array" ref="C766">XLOOKUP(A766, CURSOS!A:A, CURSOS!C:C)</f>
        <v>#N/A</v>
      </c>
      <c r="D766" s="70" t="e">
        <v>#N/A</v>
      </c>
      <c r="E766" s="48"/>
      <c r="F766" s="48" t="str">
        <f t="array" ref="F766">XLOOKUP($D766,REGOLITOS!$A:$A,REGOLITOS!F:F)</f>
        <v>#N/A</v>
      </c>
      <c r="G766" s="48" t="str">
        <f t="array" ref="G766">XLOOKUP($D766,REGOLITOS!$A:$A,REGOLITOS!G:G)</f>
        <v>#N/A</v>
      </c>
      <c r="H766" s="48" t="str">
        <f t="array" ref="H766">XLOOKUP($D766,REGOLITOS!$A:$A,REGOLITOS!H:H)</f>
        <v>#N/A</v>
      </c>
      <c r="I766" s="48" t="str">
        <f t="array" ref="I766">XLOOKUP($D766,REGOLITOS!$A:$A,REGOLITOS!I:I)</f>
        <v>#N/A</v>
      </c>
      <c r="J766" s="48" t="str">
        <f t="array" ref="J766">XLOOKUP($D766,REGOLITOS!$A:$A,REGOLITOS!J:J)</f>
        <v>#N/A</v>
      </c>
      <c r="K766" s="48" t="str">
        <f t="array" ref="K766">XLOOKUP($D766,REGOLITOS!$A:$A,REGOLITOS!K:K)</f>
        <v>#N/A</v>
      </c>
      <c r="L766" s="76"/>
      <c r="M766" s="5" t="s">
        <v>1080</v>
      </c>
      <c r="N766" s="5" t="s">
        <v>1080</v>
      </c>
      <c r="O766" s="5" t="s">
        <v>1080</v>
      </c>
      <c r="P766" s="5" t="s">
        <v>1080</v>
      </c>
      <c r="Q766" s="5" t="s">
        <v>1080</v>
      </c>
      <c r="X766" s="71">
        <f t="shared" si="5"/>
        <v>0</v>
      </c>
      <c r="Y766" s="5" t="b">
        <v>0</v>
      </c>
    </row>
    <row r="767">
      <c r="B767" s="5" t="str">
        <f t="array" ref="B767">XLOOKUP(A767, CURSOS!A:A, CURSOS!B:B)</f>
        <v>#N/A</v>
      </c>
      <c r="C767" s="75" t="str">
        <f t="array" ref="C767">XLOOKUP(A767, CURSOS!A:A, CURSOS!C:C)</f>
        <v>#N/A</v>
      </c>
      <c r="D767" s="70" t="e">
        <v>#N/A</v>
      </c>
      <c r="E767" s="48"/>
      <c r="F767" s="48" t="str">
        <f t="array" ref="F767">XLOOKUP($D767,REGOLITOS!$A:$A,REGOLITOS!F:F)</f>
        <v>#N/A</v>
      </c>
      <c r="G767" s="48" t="str">
        <f t="array" ref="G767">XLOOKUP($D767,REGOLITOS!$A:$A,REGOLITOS!G:G)</f>
        <v>#N/A</v>
      </c>
      <c r="H767" s="48" t="str">
        <f t="array" ref="H767">XLOOKUP($D767,REGOLITOS!$A:$A,REGOLITOS!H:H)</f>
        <v>#N/A</v>
      </c>
      <c r="I767" s="48" t="str">
        <f t="array" ref="I767">XLOOKUP($D767,REGOLITOS!$A:$A,REGOLITOS!I:I)</f>
        <v>#N/A</v>
      </c>
      <c r="J767" s="48" t="str">
        <f t="array" ref="J767">XLOOKUP($D767,REGOLITOS!$A:$A,REGOLITOS!J:J)</f>
        <v>#N/A</v>
      </c>
      <c r="K767" s="48" t="str">
        <f t="array" ref="K767">XLOOKUP($D767,REGOLITOS!$A:$A,REGOLITOS!K:K)</f>
        <v>#N/A</v>
      </c>
      <c r="L767" s="76"/>
      <c r="M767" s="5" t="s">
        <v>1080</v>
      </c>
      <c r="N767" s="5" t="s">
        <v>1080</v>
      </c>
      <c r="O767" s="5" t="s">
        <v>1080</v>
      </c>
      <c r="P767" s="5" t="s">
        <v>1080</v>
      </c>
      <c r="Q767" s="5" t="s">
        <v>1080</v>
      </c>
      <c r="X767" s="71">
        <f t="shared" si="5"/>
        <v>0</v>
      </c>
      <c r="Y767" s="5" t="b">
        <v>0</v>
      </c>
    </row>
    <row r="768">
      <c r="B768" s="5" t="str">
        <f t="array" ref="B768">XLOOKUP(A768, CURSOS!A:A, CURSOS!B:B)</f>
        <v>#N/A</v>
      </c>
      <c r="C768" s="75" t="str">
        <f t="array" ref="C768">XLOOKUP(A768, CURSOS!A:A, CURSOS!C:C)</f>
        <v>#N/A</v>
      </c>
      <c r="D768" s="70" t="e">
        <v>#N/A</v>
      </c>
      <c r="E768" s="48"/>
      <c r="F768" s="48" t="str">
        <f t="array" ref="F768">XLOOKUP($D768,REGOLITOS!$A:$A,REGOLITOS!F:F)</f>
        <v>#N/A</v>
      </c>
      <c r="G768" s="48" t="str">
        <f t="array" ref="G768">XLOOKUP($D768,REGOLITOS!$A:$A,REGOLITOS!G:G)</f>
        <v>#N/A</v>
      </c>
      <c r="H768" s="48" t="str">
        <f t="array" ref="H768">XLOOKUP($D768,REGOLITOS!$A:$A,REGOLITOS!H:H)</f>
        <v>#N/A</v>
      </c>
      <c r="I768" s="48" t="str">
        <f t="array" ref="I768">XLOOKUP($D768,REGOLITOS!$A:$A,REGOLITOS!I:I)</f>
        <v>#N/A</v>
      </c>
      <c r="J768" s="48" t="str">
        <f t="array" ref="J768">XLOOKUP($D768,REGOLITOS!$A:$A,REGOLITOS!J:J)</f>
        <v>#N/A</v>
      </c>
      <c r="K768" s="48" t="str">
        <f t="array" ref="K768">XLOOKUP($D768,REGOLITOS!$A:$A,REGOLITOS!K:K)</f>
        <v>#N/A</v>
      </c>
      <c r="L768" s="76"/>
      <c r="M768" s="5" t="s">
        <v>1080</v>
      </c>
      <c r="N768" s="5" t="s">
        <v>1080</v>
      </c>
      <c r="O768" s="5" t="s">
        <v>1080</v>
      </c>
      <c r="P768" s="5" t="s">
        <v>1080</v>
      </c>
      <c r="Q768" s="5" t="s">
        <v>1080</v>
      </c>
      <c r="X768" s="71">
        <f t="shared" si="5"/>
        <v>0</v>
      </c>
      <c r="Y768" s="5" t="b">
        <v>0</v>
      </c>
    </row>
    <row r="769">
      <c r="B769" s="5" t="str">
        <f t="array" ref="B769">XLOOKUP(A769, CURSOS!A:A, CURSOS!B:B)</f>
        <v>#N/A</v>
      </c>
      <c r="C769" s="75" t="str">
        <f t="array" ref="C769">XLOOKUP(A769, CURSOS!A:A, CURSOS!C:C)</f>
        <v>#N/A</v>
      </c>
      <c r="D769" s="70" t="e">
        <v>#N/A</v>
      </c>
      <c r="E769" s="48"/>
      <c r="F769" s="48" t="str">
        <f t="array" ref="F769">XLOOKUP($D769,REGOLITOS!$A:$A,REGOLITOS!F:F)</f>
        <v>#N/A</v>
      </c>
      <c r="G769" s="48" t="str">
        <f t="array" ref="G769">XLOOKUP($D769,REGOLITOS!$A:$A,REGOLITOS!G:G)</f>
        <v>#N/A</v>
      </c>
      <c r="H769" s="48" t="str">
        <f t="array" ref="H769">XLOOKUP($D769,REGOLITOS!$A:$A,REGOLITOS!H:H)</f>
        <v>#N/A</v>
      </c>
      <c r="I769" s="48" t="str">
        <f t="array" ref="I769">XLOOKUP($D769,REGOLITOS!$A:$A,REGOLITOS!I:I)</f>
        <v>#N/A</v>
      </c>
      <c r="J769" s="48" t="str">
        <f t="array" ref="J769">XLOOKUP($D769,REGOLITOS!$A:$A,REGOLITOS!J:J)</f>
        <v>#N/A</v>
      </c>
      <c r="K769" s="48" t="str">
        <f t="array" ref="K769">XLOOKUP($D769,REGOLITOS!$A:$A,REGOLITOS!K:K)</f>
        <v>#N/A</v>
      </c>
      <c r="L769" s="76"/>
      <c r="M769" s="5" t="s">
        <v>1080</v>
      </c>
      <c r="N769" s="5" t="s">
        <v>1080</v>
      </c>
      <c r="O769" s="5" t="s">
        <v>1080</v>
      </c>
      <c r="P769" s="5" t="s">
        <v>1080</v>
      </c>
      <c r="Q769" s="5" t="s">
        <v>1080</v>
      </c>
      <c r="X769" s="71">
        <f t="shared" si="5"/>
        <v>0</v>
      </c>
      <c r="Y769" s="5" t="b">
        <v>0</v>
      </c>
    </row>
    <row r="770">
      <c r="B770" s="5" t="str">
        <f t="array" ref="B770">XLOOKUP(A770, CURSOS!A:A, CURSOS!B:B)</f>
        <v>#N/A</v>
      </c>
      <c r="C770" s="75" t="str">
        <f t="array" ref="C770">XLOOKUP(A770, CURSOS!A:A, CURSOS!C:C)</f>
        <v>#N/A</v>
      </c>
      <c r="D770" s="70" t="e">
        <v>#N/A</v>
      </c>
      <c r="E770" s="48"/>
      <c r="F770" s="48" t="str">
        <f t="array" ref="F770">XLOOKUP($D770,REGOLITOS!$A:$A,REGOLITOS!F:F)</f>
        <v>#N/A</v>
      </c>
      <c r="G770" s="48" t="str">
        <f t="array" ref="G770">XLOOKUP($D770,REGOLITOS!$A:$A,REGOLITOS!G:G)</f>
        <v>#N/A</v>
      </c>
      <c r="H770" s="48" t="str">
        <f t="array" ref="H770">XLOOKUP($D770,REGOLITOS!$A:$A,REGOLITOS!H:H)</f>
        <v>#N/A</v>
      </c>
      <c r="I770" s="48" t="str">
        <f t="array" ref="I770">XLOOKUP($D770,REGOLITOS!$A:$A,REGOLITOS!I:I)</f>
        <v>#N/A</v>
      </c>
      <c r="J770" s="48" t="str">
        <f t="array" ref="J770">XLOOKUP($D770,REGOLITOS!$A:$A,REGOLITOS!J:J)</f>
        <v>#N/A</v>
      </c>
      <c r="K770" s="48" t="str">
        <f t="array" ref="K770">XLOOKUP($D770,REGOLITOS!$A:$A,REGOLITOS!K:K)</f>
        <v>#N/A</v>
      </c>
      <c r="L770" s="76"/>
      <c r="M770" s="5" t="s">
        <v>1080</v>
      </c>
      <c r="N770" s="5" t="s">
        <v>1080</v>
      </c>
      <c r="O770" s="5" t="s">
        <v>1080</v>
      </c>
      <c r="P770" s="5" t="s">
        <v>1080</v>
      </c>
      <c r="Q770" s="5" t="s">
        <v>1080</v>
      </c>
      <c r="X770" s="71">
        <f t="shared" si="5"/>
        <v>0</v>
      </c>
      <c r="Y770" s="5" t="b">
        <v>0</v>
      </c>
    </row>
    <row r="771">
      <c r="B771" s="5" t="str">
        <f t="array" ref="B771">XLOOKUP(A771, CURSOS!A:A, CURSOS!B:B)</f>
        <v>#N/A</v>
      </c>
      <c r="C771" s="75" t="str">
        <f t="array" ref="C771">XLOOKUP(A771, CURSOS!A:A, CURSOS!C:C)</f>
        <v>#N/A</v>
      </c>
      <c r="D771" s="70" t="e">
        <v>#N/A</v>
      </c>
      <c r="E771" s="48"/>
      <c r="F771" s="48" t="str">
        <f t="array" ref="F771">XLOOKUP($D771,REGOLITOS!$A:$A,REGOLITOS!F:F)</f>
        <v>#N/A</v>
      </c>
      <c r="G771" s="48" t="str">
        <f t="array" ref="G771">XLOOKUP($D771,REGOLITOS!$A:$A,REGOLITOS!G:G)</f>
        <v>#N/A</v>
      </c>
      <c r="H771" s="48" t="str">
        <f t="array" ref="H771">XLOOKUP($D771,REGOLITOS!$A:$A,REGOLITOS!H:H)</f>
        <v>#N/A</v>
      </c>
      <c r="I771" s="48" t="str">
        <f t="array" ref="I771">XLOOKUP($D771,REGOLITOS!$A:$A,REGOLITOS!I:I)</f>
        <v>#N/A</v>
      </c>
      <c r="J771" s="48" t="str">
        <f t="array" ref="J771">XLOOKUP($D771,REGOLITOS!$A:$A,REGOLITOS!J:J)</f>
        <v>#N/A</v>
      </c>
      <c r="K771" s="48" t="str">
        <f t="array" ref="K771">XLOOKUP($D771,REGOLITOS!$A:$A,REGOLITOS!K:K)</f>
        <v>#N/A</v>
      </c>
      <c r="L771" s="76"/>
      <c r="M771" s="5" t="s">
        <v>1080</v>
      </c>
      <c r="N771" s="5" t="s">
        <v>1080</v>
      </c>
      <c r="O771" s="5" t="s">
        <v>1080</v>
      </c>
      <c r="P771" s="5" t="s">
        <v>1080</v>
      </c>
      <c r="Q771" s="5" t="s">
        <v>1080</v>
      </c>
      <c r="X771" s="71">
        <f t="shared" si="5"/>
        <v>0</v>
      </c>
      <c r="Y771" s="5" t="b">
        <v>0</v>
      </c>
    </row>
    <row r="772">
      <c r="B772" s="5" t="str">
        <f t="array" ref="B772">XLOOKUP(A772, CURSOS!A:A, CURSOS!B:B)</f>
        <v>#N/A</v>
      </c>
      <c r="C772" s="75" t="str">
        <f t="array" ref="C772">XLOOKUP(A772, CURSOS!A:A, CURSOS!C:C)</f>
        <v>#N/A</v>
      </c>
      <c r="D772" s="70" t="e">
        <v>#N/A</v>
      </c>
      <c r="E772" s="48"/>
      <c r="F772" s="48" t="str">
        <f t="array" ref="F772">XLOOKUP($D772,REGOLITOS!$A:$A,REGOLITOS!F:F)</f>
        <v>#N/A</v>
      </c>
      <c r="G772" s="48" t="str">
        <f t="array" ref="G772">XLOOKUP($D772,REGOLITOS!$A:$A,REGOLITOS!G:G)</f>
        <v>#N/A</v>
      </c>
      <c r="H772" s="48" t="str">
        <f t="array" ref="H772">XLOOKUP($D772,REGOLITOS!$A:$A,REGOLITOS!H:H)</f>
        <v>#N/A</v>
      </c>
      <c r="I772" s="48" t="str">
        <f t="array" ref="I772">XLOOKUP($D772,REGOLITOS!$A:$A,REGOLITOS!I:I)</f>
        <v>#N/A</v>
      </c>
      <c r="J772" s="48" t="str">
        <f t="array" ref="J772">XLOOKUP($D772,REGOLITOS!$A:$A,REGOLITOS!J:J)</f>
        <v>#N/A</v>
      </c>
      <c r="K772" s="48" t="str">
        <f t="array" ref="K772">XLOOKUP($D772,REGOLITOS!$A:$A,REGOLITOS!K:K)</f>
        <v>#N/A</v>
      </c>
      <c r="L772" s="76"/>
      <c r="M772" s="5" t="s">
        <v>1080</v>
      </c>
      <c r="N772" s="5" t="s">
        <v>1080</v>
      </c>
      <c r="O772" s="5" t="s">
        <v>1080</v>
      </c>
      <c r="P772" s="5" t="s">
        <v>1080</v>
      </c>
      <c r="Q772" s="5" t="s">
        <v>1080</v>
      </c>
      <c r="X772" s="71">
        <f t="shared" si="5"/>
        <v>0</v>
      </c>
      <c r="Y772" s="5" t="b">
        <v>0</v>
      </c>
    </row>
    <row r="773">
      <c r="B773" s="5" t="str">
        <f t="array" ref="B773">XLOOKUP(A773, CURSOS!A:A, CURSOS!B:B)</f>
        <v>#N/A</v>
      </c>
      <c r="C773" s="75" t="str">
        <f t="array" ref="C773">XLOOKUP(A773, CURSOS!A:A, CURSOS!C:C)</f>
        <v>#N/A</v>
      </c>
      <c r="D773" s="70" t="e">
        <v>#N/A</v>
      </c>
      <c r="E773" s="48"/>
      <c r="F773" s="48" t="str">
        <f t="array" ref="F773">XLOOKUP($D773,REGOLITOS!$A:$A,REGOLITOS!F:F)</f>
        <v>#N/A</v>
      </c>
      <c r="G773" s="48" t="str">
        <f t="array" ref="G773">XLOOKUP($D773,REGOLITOS!$A:$A,REGOLITOS!G:G)</f>
        <v>#N/A</v>
      </c>
      <c r="H773" s="48" t="str">
        <f t="array" ref="H773">XLOOKUP($D773,REGOLITOS!$A:$A,REGOLITOS!H:H)</f>
        <v>#N/A</v>
      </c>
      <c r="I773" s="48" t="str">
        <f t="array" ref="I773">XLOOKUP($D773,REGOLITOS!$A:$A,REGOLITOS!I:I)</f>
        <v>#N/A</v>
      </c>
      <c r="J773" s="48" t="str">
        <f t="array" ref="J773">XLOOKUP($D773,REGOLITOS!$A:$A,REGOLITOS!J:J)</f>
        <v>#N/A</v>
      </c>
      <c r="K773" s="48" t="str">
        <f t="array" ref="K773">XLOOKUP($D773,REGOLITOS!$A:$A,REGOLITOS!K:K)</f>
        <v>#N/A</v>
      </c>
      <c r="L773" s="76"/>
      <c r="M773" s="5" t="s">
        <v>1080</v>
      </c>
      <c r="N773" s="5" t="s">
        <v>1080</v>
      </c>
      <c r="O773" s="5" t="s">
        <v>1080</v>
      </c>
      <c r="P773" s="5" t="s">
        <v>1080</v>
      </c>
      <c r="Q773" s="5" t="s">
        <v>1080</v>
      </c>
      <c r="X773" s="71">
        <f t="shared" si="5"/>
        <v>0</v>
      </c>
      <c r="Y773" s="5" t="b">
        <v>0</v>
      </c>
    </row>
    <row r="774">
      <c r="B774" s="5" t="str">
        <f t="array" ref="B774">XLOOKUP(A774, CURSOS!A:A, CURSOS!B:B)</f>
        <v>#N/A</v>
      </c>
      <c r="C774" s="75" t="str">
        <f t="array" ref="C774">XLOOKUP(A774, CURSOS!A:A, CURSOS!C:C)</f>
        <v>#N/A</v>
      </c>
      <c r="D774" s="70" t="e">
        <v>#N/A</v>
      </c>
      <c r="E774" s="48"/>
      <c r="F774" s="48" t="str">
        <f t="array" ref="F774">XLOOKUP($D774,REGOLITOS!$A:$A,REGOLITOS!F:F)</f>
        <v>#N/A</v>
      </c>
      <c r="G774" s="48" t="str">
        <f t="array" ref="G774">XLOOKUP($D774,REGOLITOS!$A:$A,REGOLITOS!G:G)</f>
        <v>#N/A</v>
      </c>
      <c r="H774" s="48" t="str">
        <f t="array" ref="H774">XLOOKUP($D774,REGOLITOS!$A:$A,REGOLITOS!H:H)</f>
        <v>#N/A</v>
      </c>
      <c r="I774" s="48" t="str">
        <f t="array" ref="I774">XLOOKUP($D774,REGOLITOS!$A:$A,REGOLITOS!I:I)</f>
        <v>#N/A</v>
      </c>
      <c r="J774" s="48" t="str">
        <f t="array" ref="J774">XLOOKUP($D774,REGOLITOS!$A:$A,REGOLITOS!J:J)</f>
        <v>#N/A</v>
      </c>
      <c r="K774" s="48" t="str">
        <f t="array" ref="K774">XLOOKUP($D774,REGOLITOS!$A:$A,REGOLITOS!K:K)</f>
        <v>#N/A</v>
      </c>
      <c r="L774" s="76"/>
      <c r="M774" s="5" t="s">
        <v>1080</v>
      </c>
      <c r="N774" s="5" t="s">
        <v>1080</v>
      </c>
      <c r="O774" s="5" t="s">
        <v>1080</v>
      </c>
      <c r="P774" s="5" t="s">
        <v>1080</v>
      </c>
      <c r="Q774" s="5" t="s">
        <v>1080</v>
      </c>
      <c r="X774" s="71">
        <f t="shared" si="5"/>
        <v>0</v>
      </c>
      <c r="Y774" s="5" t="b">
        <v>0</v>
      </c>
    </row>
    <row r="775">
      <c r="B775" s="5" t="str">
        <f t="array" ref="B775">XLOOKUP(A775, CURSOS!A:A, CURSOS!B:B)</f>
        <v>#N/A</v>
      </c>
      <c r="C775" s="75" t="str">
        <f t="array" ref="C775">XLOOKUP(A775, CURSOS!A:A, CURSOS!C:C)</f>
        <v>#N/A</v>
      </c>
      <c r="D775" s="70" t="e">
        <v>#N/A</v>
      </c>
      <c r="E775" s="48"/>
      <c r="F775" s="48" t="str">
        <f t="array" ref="F775">XLOOKUP($D775,REGOLITOS!$A:$A,REGOLITOS!F:F)</f>
        <v>#N/A</v>
      </c>
      <c r="G775" s="48" t="str">
        <f t="array" ref="G775">XLOOKUP($D775,REGOLITOS!$A:$A,REGOLITOS!G:G)</f>
        <v>#N/A</v>
      </c>
      <c r="H775" s="48" t="str">
        <f t="array" ref="H775">XLOOKUP($D775,REGOLITOS!$A:$A,REGOLITOS!H:H)</f>
        <v>#N/A</v>
      </c>
      <c r="I775" s="48" t="str">
        <f t="array" ref="I775">XLOOKUP($D775,REGOLITOS!$A:$A,REGOLITOS!I:I)</f>
        <v>#N/A</v>
      </c>
      <c r="J775" s="48" t="str">
        <f t="array" ref="J775">XLOOKUP($D775,REGOLITOS!$A:$A,REGOLITOS!J:J)</f>
        <v>#N/A</v>
      </c>
      <c r="K775" s="48" t="str">
        <f t="array" ref="K775">XLOOKUP($D775,REGOLITOS!$A:$A,REGOLITOS!K:K)</f>
        <v>#N/A</v>
      </c>
      <c r="L775" s="76"/>
      <c r="M775" s="5" t="s">
        <v>1080</v>
      </c>
      <c r="N775" s="5" t="s">
        <v>1080</v>
      </c>
      <c r="O775" s="5" t="s">
        <v>1080</v>
      </c>
      <c r="P775" s="5" t="s">
        <v>1080</v>
      </c>
      <c r="Q775" s="5" t="s">
        <v>1080</v>
      </c>
      <c r="X775" s="71">
        <f t="shared" si="5"/>
        <v>0</v>
      </c>
      <c r="Y775" s="5" t="b">
        <v>0</v>
      </c>
    </row>
    <row r="776">
      <c r="B776" s="5" t="str">
        <f t="array" ref="B776">XLOOKUP(A776, CURSOS!A:A, CURSOS!B:B)</f>
        <v>#N/A</v>
      </c>
      <c r="C776" s="75" t="str">
        <f t="array" ref="C776">XLOOKUP(A776, CURSOS!A:A, CURSOS!C:C)</f>
        <v>#N/A</v>
      </c>
      <c r="D776" s="70" t="e">
        <v>#N/A</v>
      </c>
      <c r="E776" s="48"/>
      <c r="F776" s="48" t="str">
        <f t="array" ref="F776">XLOOKUP($D776,REGOLITOS!$A:$A,REGOLITOS!F:F)</f>
        <v>#N/A</v>
      </c>
      <c r="G776" s="48" t="str">
        <f t="array" ref="G776">XLOOKUP($D776,REGOLITOS!$A:$A,REGOLITOS!G:G)</f>
        <v>#N/A</v>
      </c>
      <c r="H776" s="48" t="str">
        <f t="array" ref="H776">XLOOKUP($D776,REGOLITOS!$A:$A,REGOLITOS!H:H)</f>
        <v>#N/A</v>
      </c>
      <c r="I776" s="48" t="str">
        <f t="array" ref="I776">XLOOKUP($D776,REGOLITOS!$A:$A,REGOLITOS!I:I)</f>
        <v>#N/A</v>
      </c>
      <c r="J776" s="48" t="str">
        <f t="array" ref="J776">XLOOKUP($D776,REGOLITOS!$A:$A,REGOLITOS!J:J)</f>
        <v>#N/A</v>
      </c>
      <c r="K776" s="48" t="str">
        <f t="array" ref="K776">XLOOKUP($D776,REGOLITOS!$A:$A,REGOLITOS!K:K)</f>
        <v>#N/A</v>
      </c>
      <c r="L776" s="76"/>
      <c r="M776" s="5" t="s">
        <v>1080</v>
      </c>
      <c r="N776" s="5" t="s">
        <v>1080</v>
      </c>
      <c r="O776" s="5" t="s">
        <v>1080</v>
      </c>
      <c r="P776" s="5" t="s">
        <v>1080</v>
      </c>
      <c r="Q776" s="5" t="s">
        <v>1080</v>
      </c>
      <c r="X776" s="71">
        <f t="shared" si="5"/>
        <v>0</v>
      </c>
      <c r="Y776" s="5" t="b">
        <v>0</v>
      </c>
    </row>
    <row r="777">
      <c r="B777" s="5" t="str">
        <f t="array" ref="B777">XLOOKUP(A777, CURSOS!A:A, CURSOS!B:B)</f>
        <v>#N/A</v>
      </c>
      <c r="C777" s="75" t="str">
        <f t="array" ref="C777">XLOOKUP(A777, CURSOS!A:A, CURSOS!C:C)</f>
        <v>#N/A</v>
      </c>
      <c r="D777" s="70" t="e">
        <v>#N/A</v>
      </c>
      <c r="E777" s="48"/>
      <c r="F777" s="48" t="str">
        <f t="array" ref="F777">XLOOKUP($D777,REGOLITOS!$A:$A,REGOLITOS!F:F)</f>
        <v>#N/A</v>
      </c>
      <c r="G777" s="48" t="str">
        <f t="array" ref="G777">XLOOKUP($D777,REGOLITOS!$A:$A,REGOLITOS!G:G)</f>
        <v>#N/A</v>
      </c>
      <c r="H777" s="48" t="str">
        <f t="array" ref="H777">XLOOKUP($D777,REGOLITOS!$A:$A,REGOLITOS!H:H)</f>
        <v>#N/A</v>
      </c>
      <c r="I777" s="48" t="str">
        <f t="array" ref="I777">XLOOKUP($D777,REGOLITOS!$A:$A,REGOLITOS!I:I)</f>
        <v>#N/A</v>
      </c>
      <c r="J777" s="48" t="str">
        <f t="array" ref="J777">XLOOKUP($D777,REGOLITOS!$A:$A,REGOLITOS!J:J)</f>
        <v>#N/A</v>
      </c>
      <c r="K777" s="48" t="str">
        <f t="array" ref="K777">XLOOKUP($D777,REGOLITOS!$A:$A,REGOLITOS!K:K)</f>
        <v>#N/A</v>
      </c>
      <c r="L777" s="76"/>
      <c r="M777" s="5" t="s">
        <v>1080</v>
      </c>
      <c r="N777" s="5" t="s">
        <v>1080</v>
      </c>
      <c r="O777" s="5" t="s">
        <v>1080</v>
      </c>
      <c r="P777" s="5" t="s">
        <v>1080</v>
      </c>
      <c r="Q777" s="5" t="s">
        <v>1080</v>
      </c>
      <c r="X777" s="71">
        <f t="shared" si="5"/>
        <v>0</v>
      </c>
      <c r="Y777" s="5" t="b">
        <v>0</v>
      </c>
    </row>
    <row r="778">
      <c r="B778" s="5" t="str">
        <f t="array" ref="B778">XLOOKUP(A778, CURSOS!A:A, CURSOS!B:B)</f>
        <v>#N/A</v>
      </c>
      <c r="C778" s="75" t="str">
        <f t="array" ref="C778">XLOOKUP(A778, CURSOS!A:A, CURSOS!C:C)</f>
        <v>#N/A</v>
      </c>
      <c r="D778" s="70" t="e">
        <v>#N/A</v>
      </c>
      <c r="E778" s="48"/>
      <c r="F778" s="48" t="str">
        <f t="array" ref="F778">XLOOKUP($D778,REGOLITOS!$A:$A,REGOLITOS!F:F)</f>
        <v>#N/A</v>
      </c>
      <c r="G778" s="48" t="str">
        <f t="array" ref="G778">XLOOKUP($D778,REGOLITOS!$A:$A,REGOLITOS!G:G)</f>
        <v>#N/A</v>
      </c>
      <c r="H778" s="48" t="str">
        <f t="array" ref="H778">XLOOKUP($D778,REGOLITOS!$A:$A,REGOLITOS!H:H)</f>
        <v>#N/A</v>
      </c>
      <c r="I778" s="48" t="str">
        <f t="array" ref="I778">XLOOKUP($D778,REGOLITOS!$A:$A,REGOLITOS!I:I)</f>
        <v>#N/A</v>
      </c>
      <c r="J778" s="48" t="str">
        <f t="array" ref="J778">XLOOKUP($D778,REGOLITOS!$A:$A,REGOLITOS!J:J)</f>
        <v>#N/A</v>
      </c>
      <c r="K778" s="48" t="str">
        <f t="array" ref="K778">XLOOKUP($D778,REGOLITOS!$A:$A,REGOLITOS!K:K)</f>
        <v>#N/A</v>
      </c>
      <c r="L778" s="76"/>
      <c r="M778" s="5" t="s">
        <v>1080</v>
      </c>
      <c r="N778" s="5" t="s">
        <v>1080</v>
      </c>
      <c r="O778" s="5" t="s">
        <v>1080</v>
      </c>
      <c r="P778" s="5" t="s">
        <v>1080</v>
      </c>
      <c r="Q778" s="5" t="s">
        <v>1080</v>
      </c>
      <c r="X778" s="71">
        <f t="shared" si="5"/>
        <v>0</v>
      </c>
      <c r="Y778" s="5" t="b">
        <v>0</v>
      </c>
    </row>
    <row r="779">
      <c r="B779" s="5" t="str">
        <f t="array" ref="B779">XLOOKUP(A779, CURSOS!A:A, CURSOS!B:B)</f>
        <v>#N/A</v>
      </c>
      <c r="C779" s="75" t="str">
        <f t="array" ref="C779">XLOOKUP(A779, CURSOS!A:A, CURSOS!C:C)</f>
        <v>#N/A</v>
      </c>
      <c r="D779" s="70" t="e">
        <v>#N/A</v>
      </c>
      <c r="E779" s="48"/>
      <c r="F779" s="48" t="str">
        <f t="array" ref="F779">XLOOKUP($D779,REGOLITOS!$A:$A,REGOLITOS!F:F)</f>
        <v>#N/A</v>
      </c>
      <c r="G779" s="48" t="str">
        <f t="array" ref="G779">XLOOKUP($D779,REGOLITOS!$A:$A,REGOLITOS!G:G)</f>
        <v>#N/A</v>
      </c>
      <c r="H779" s="48" t="str">
        <f t="array" ref="H779">XLOOKUP($D779,REGOLITOS!$A:$A,REGOLITOS!H:H)</f>
        <v>#N/A</v>
      </c>
      <c r="I779" s="48" t="str">
        <f t="array" ref="I779">XLOOKUP($D779,REGOLITOS!$A:$A,REGOLITOS!I:I)</f>
        <v>#N/A</v>
      </c>
      <c r="J779" s="48" t="str">
        <f t="array" ref="J779">XLOOKUP($D779,REGOLITOS!$A:$A,REGOLITOS!J:J)</f>
        <v>#N/A</v>
      </c>
      <c r="K779" s="48" t="str">
        <f t="array" ref="K779">XLOOKUP($D779,REGOLITOS!$A:$A,REGOLITOS!K:K)</f>
        <v>#N/A</v>
      </c>
      <c r="L779" s="76"/>
      <c r="M779" s="5" t="s">
        <v>1080</v>
      </c>
      <c r="N779" s="5" t="s">
        <v>1080</v>
      </c>
      <c r="O779" s="5" t="s">
        <v>1080</v>
      </c>
      <c r="P779" s="5" t="s">
        <v>1080</v>
      </c>
      <c r="Q779" s="5" t="s">
        <v>1080</v>
      </c>
      <c r="X779" s="71">
        <f t="shared" si="5"/>
        <v>0</v>
      </c>
      <c r="Y779" s="5" t="b">
        <v>0</v>
      </c>
    </row>
    <row r="780">
      <c r="B780" s="5" t="str">
        <f t="array" ref="B780">XLOOKUP(A780, CURSOS!A:A, CURSOS!B:B)</f>
        <v>#N/A</v>
      </c>
      <c r="C780" s="75" t="str">
        <f t="array" ref="C780">XLOOKUP(A780, CURSOS!A:A, CURSOS!C:C)</f>
        <v>#N/A</v>
      </c>
      <c r="D780" s="70" t="e">
        <v>#N/A</v>
      </c>
      <c r="E780" s="48"/>
      <c r="F780" s="48" t="str">
        <f t="array" ref="F780">XLOOKUP($D780,REGOLITOS!$A:$A,REGOLITOS!F:F)</f>
        <v>#N/A</v>
      </c>
      <c r="G780" s="48" t="str">
        <f t="array" ref="G780">XLOOKUP($D780,REGOLITOS!$A:$A,REGOLITOS!G:G)</f>
        <v>#N/A</v>
      </c>
      <c r="H780" s="48" t="str">
        <f t="array" ref="H780">XLOOKUP($D780,REGOLITOS!$A:$A,REGOLITOS!H:H)</f>
        <v>#N/A</v>
      </c>
      <c r="I780" s="48" t="str">
        <f t="array" ref="I780">XLOOKUP($D780,REGOLITOS!$A:$A,REGOLITOS!I:I)</f>
        <v>#N/A</v>
      </c>
      <c r="J780" s="48" t="str">
        <f t="array" ref="J780">XLOOKUP($D780,REGOLITOS!$A:$A,REGOLITOS!J:J)</f>
        <v>#N/A</v>
      </c>
      <c r="K780" s="48" t="str">
        <f t="array" ref="K780">XLOOKUP($D780,REGOLITOS!$A:$A,REGOLITOS!K:K)</f>
        <v>#N/A</v>
      </c>
      <c r="L780" s="76"/>
      <c r="M780" s="5" t="s">
        <v>1080</v>
      </c>
      <c r="N780" s="5" t="s">
        <v>1080</v>
      </c>
      <c r="O780" s="5" t="s">
        <v>1080</v>
      </c>
      <c r="P780" s="5" t="s">
        <v>1080</v>
      </c>
      <c r="Q780" s="5" t="s">
        <v>1080</v>
      </c>
      <c r="X780" s="71">
        <f t="shared" si="5"/>
        <v>0</v>
      </c>
      <c r="Y780" s="5" t="b">
        <v>0</v>
      </c>
    </row>
    <row r="781">
      <c r="B781" s="5" t="str">
        <f t="array" ref="B781">XLOOKUP(A781, CURSOS!A:A, CURSOS!B:B)</f>
        <v>#N/A</v>
      </c>
      <c r="C781" s="75" t="str">
        <f t="array" ref="C781">XLOOKUP(A781, CURSOS!A:A, CURSOS!C:C)</f>
        <v>#N/A</v>
      </c>
      <c r="D781" s="70" t="e">
        <v>#N/A</v>
      </c>
      <c r="E781" s="48"/>
      <c r="F781" s="48" t="str">
        <f t="array" ref="F781">XLOOKUP($D781,REGOLITOS!$A:$A,REGOLITOS!F:F)</f>
        <v>#N/A</v>
      </c>
      <c r="G781" s="48" t="str">
        <f t="array" ref="G781">XLOOKUP($D781,REGOLITOS!$A:$A,REGOLITOS!G:G)</f>
        <v>#N/A</v>
      </c>
      <c r="H781" s="48" t="str">
        <f t="array" ref="H781">XLOOKUP($D781,REGOLITOS!$A:$A,REGOLITOS!H:H)</f>
        <v>#N/A</v>
      </c>
      <c r="I781" s="48" t="str">
        <f t="array" ref="I781">XLOOKUP($D781,REGOLITOS!$A:$A,REGOLITOS!I:I)</f>
        <v>#N/A</v>
      </c>
      <c r="J781" s="48" t="str">
        <f t="array" ref="J781">XLOOKUP($D781,REGOLITOS!$A:$A,REGOLITOS!J:J)</f>
        <v>#N/A</v>
      </c>
      <c r="K781" s="48" t="str">
        <f t="array" ref="K781">XLOOKUP($D781,REGOLITOS!$A:$A,REGOLITOS!K:K)</f>
        <v>#N/A</v>
      </c>
      <c r="L781" s="76"/>
      <c r="M781" s="5" t="s">
        <v>1080</v>
      </c>
      <c r="N781" s="5" t="s">
        <v>1080</v>
      </c>
      <c r="O781" s="5" t="s">
        <v>1080</v>
      </c>
      <c r="P781" s="5" t="s">
        <v>1080</v>
      </c>
      <c r="Q781" s="5" t="s">
        <v>1080</v>
      </c>
      <c r="X781" s="71">
        <f t="shared" si="5"/>
        <v>0</v>
      </c>
      <c r="Y781" s="5" t="b">
        <v>0</v>
      </c>
    </row>
    <row r="782">
      <c r="B782" s="5" t="str">
        <f t="array" ref="B782">XLOOKUP(A782, CURSOS!A:A, CURSOS!B:B)</f>
        <v>#N/A</v>
      </c>
      <c r="C782" s="75" t="str">
        <f t="array" ref="C782">XLOOKUP(A782, CURSOS!A:A, CURSOS!C:C)</f>
        <v>#N/A</v>
      </c>
      <c r="D782" s="70" t="e">
        <v>#N/A</v>
      </c>
      <c r="E782" s="48"/>
      <c r="F782" s="48" t="str">
        <f t="array" ref="F782">XLOOKUP($D782,REGOLITOS!$A:$A,REGOLITOS!F:F)</f>
        <v>#N/A</v>
      </c>
      <c r="G782" s="48" t="str">
        <f t="array" ref="G782">XLOOKUP($D782,REGOLITOS!$A:$A,REGOLITOS!G:G)</f>
        <v>#N/A</v>
      </c>
      <c r="H782" s="48" t="str">
        <f t="array" ref="H782">XLOOKUP($D782,REGOLITOS!$A:$A,REGOLITOS!H:H)</f>
        <v>#N/A</v>
      </c>
      <c r="I782" s="48" t="str">
        <f t="array" ref="I782">XLOOKUP($D782,REGOLITOS!$A:$A,REGOLITOS!I:I)</f>
        <v>#N/A</v>
      </c>
      <c r="J782" s="48" t="str">
        <f t="array" ref="J782">XLOOKUP($D782,REGOLITOS!$A:$A,REGOLITOS!J:J)</f>
        <v>#N/A</v>
      </c>
      <c r="K782" s="48" t="str">
        <f t="array" ref="K782">XLOOKUP($D782,REGOLITOS!$A:$A,REGOLITOS!K:K)</f>
        <v>#N/A</v>
      </c>
      <c r="L782" s="76"/>
      <c r="M782" s="5" t="s">
        <v>1080</v>
      </c>
      <c r="N782" s="5" t="s">
        <v>1080</v>
      </c>
      <c r="O782" s="5" t="s">
        <v>1080</v>
      </c>
      <c r="P782" s="5" t="s">
        <v>1080</v>
      </c>
      <c r="Q782" s="5" t="s">
        <v>1080</v>
      </c>
      <c r="X782" s="71">
        <f t="shared" si="5"/>
        <v>0</v>
      </c>
      <c r="Y782" s="5" t="b">
        <v>0</v>
      </c>
    </row>
    <row r="783">
      <c r="B783" s="5" t="str">
        <f t="array" ref="B783">XLOOKUP(A783, CURSOS!A:A, CURSOS!B:B)</f>
        <v>#N/A</v>
      </c>
      <c r="C783" s="75" t="str">
        <f t="array" ref="C783">XLOOKUP(A783, CURSOS!A:A, CURSOS!C:C)</f>
        <v>#N/A</v>
      </c>
      <c r="D783" s="70" t="e">
        <v>#N/A</v>
      </c>
      <c r="E783" s="48"/>
      <c r="F783" s="48" t="str">
        <f t="array" ref="F783">XLOOKUP($D783,REGOLITOS!$A:$A,REGOLITOS!F:F)</f>
        <v>#N/A</v>
      </c>
      <c r="G783" s="48" t="str">
        <f t="array" ref="G783">XLOOKUP($D783,REGOLITOS!$A:$A,REGOLITOS!G:G)</f>
        <v>#N/A</v>
      </c>
      <c r="H783" s="48" t="str">
        <f t="array" ref="H783">XLOOKUP($D783,REGOLITOS!$A:$A,REGOLITOS!H:H)</f>
        <v>#N/A</v>
      </c>
      <c r="I783" s="48" t="str">
        <f t="array" ref="I783">XLOOKUP($D783,REGOLITOS!$A:$A,REGOLITOS!I:I)</f>
        <v>#N/A</v>
      </c>
      <c r="J783" s="48" t="str">
        <f t="array" ref="J783">XLOOKUP($D783,REGOLITOS!$A:$A,REGOLITOS!J:J)</f>
        <v>#N/A</v>
      </c>
      <c r="K783" s="48" t="str">
        <f t="array" ref="K783">XLOOKUP($D783,REGOLITOS!$A:$A,REGOLITOS!K:K)</f>
        <v>#N/A</v>
      </c>
      <c r="L783" s="76"/>
      <c r="M783" s="5" t="s">
        <v>1080</v>
      </c>
      <c r="N783" s="5" t="s">
        <v>1080</v>
      </c>
      <c r="O783" s="5" t="s">
        <v>1080</v>
      </c>
      <c r="P783" s="5" t="s">
        <v>1080</v>
      </c>
      <c r="Q783" s="5" t="s">
        <v>1080</v>
      </c>
      <c r="X783" s="71">
        <f t="shared" si="5"/>
        <v>0</v>
      </c>
      <c r="Y783" s="5" t="b">
        <v>0</v>
      </c>
    </row>
    <row r="784">
      <c r="B784" s="5" t="str">
        <f t="array" ref="B784">XLOOKUP(A784, CURSOS!A:A, CURSOS!B:B)</f>
        <v>#N/A</v>
      </c>
      <c r="C784" s="75" t="str">
        <f t="array" ref="C784">XLOOKUP(A784, CURSOS!A:A, CURSOS!C:C)</f>
        <v>#N/A</v>
      </c>
      <c r="D784" s="70" t="e">
        <v>#N/A</v>
      </c>
      <c r="E784" s="48"/>
      <c r="F784" s="48" t="str">
        <f t="array" ref="F784">XLOOKUP($D784,REGOLITOS!$A:$A,REGOLITOS!F:F)</f>
        <v>#N/A</v>
      </c>
      <c r="G784" s="48" t="str">
        <f t="array" ref="G784">XLOOKUP($D784,REGOLITOS!$A:$A,REGOLITOS!G:G)</f>
        <v>#N/A</v>
      </c>
      <c r="H784" s="48" t="str">
        <f t="array" ref="H784">XLOOKUP($D784,REGOLITOS!$A:$A,REGOLITOS!H:H)</f>
        <v>#N/A</v>
      </c>
      <c r="I784" s="48" t="str">
        <f t="array" ref="I784">XLOOKUP($D784,REGOLITOS!$A:$A,REGOLITOS!I:I)</f>
        <v>#N/A</v>
      </c>
      <c r="J784" s="48" t="str">
        <f t="array" ref="J784">XLOOKUP($D784,REGOLITOS!$A:$A,REGOLITOS!J:J)</f>
        <v>#N/A</v>
      </c>
      <c r="K784" s="48" t="str">
        <f t="array" ref="K784">XLOOKUP($D784,REGOLITOS!$A:$A,REGOLITOS!K:K)</f>
        <v>#N/A</v>
      </c>
      <c r="L784" s="76"/>
      <c r="M784" s="5" t="s">
        <v>1080</v>
      </c>
      <c r="N784" s="5" t="s">
        <v>1080</v>
      </c>
      <c r="O784" s="5" t="s">
        <v>1080</v>
      </c>
      <c r="P784" s="5" t="s">
        <v>1080</v>
      </c>
      <c r="Q784" s="5" t="s">
        <v>1080</v>
      </c>
      <c r="X784" s="71">
        <f t="shared" si="5"/>
        <v>0</v>
      </c>
      <c r="Y784" s="5" t="b">
        <v>0</v>
      </c>
    </row>
    <row r="785">
      <c r="B785" s="5" t="str">
        <f t="array" ref="B785">XLOOKUP(A785, CURSOS!A:A, CURSOS!B:B)</f>
        <v>#N/A</v>
      </c>
      <c r="C785" s="75" t="str">
        <f t="array" ref="C785">XLOOKUP(A785, CURSOS!A:A, CURSOS!C:C)</f>
        <v>#N/A</v>
      </c>
      <c r="D785" s="70" t="e">
        <v>#N/A</v>
      </c>
      <c r="E785" s="48"/>
      <c r="F785" s="48" t="str">
        <f t="array" ref="F785">XLOOKUP($D785,REGOLITOS!$A:$A,REGOLITOS!F:F)</f>
        <v>#N/A</v>
      </c>
      <c r="G785" s="48" t="str">
        <f t="array" ref="G785">XLOOKUP($D785,REGOLITOS!$A:$A,REGOLITOS!G:G)</f>
        <v>#N/A</v>
      </c>
      <c r="H785" s="48" t="str">
        <f t="array" ref="H785">XLOOKUP($D785,REGOLITOS!$A:$A,REGOLITOS!H:H)</f>
        <v>#N/A</v>
      </c>
      <c r="I785" s="48" t="str">
        <f t="array" ref="I785">XLOOKUP($D785,REGOLITOS!$A:$A,REGOLITOS!I:I)</f>
        <v>#N/A</v>
      </c>
      <c r="J785" s="48" t="str">
        <f t="array" ref="J785">XLOOKUP($D785,REGOLITOS!$A:$A,REGOLITOS!J:J)</f>
        <v>#N/A</v>
      </c>
      <c r="K785" s="48" t="str">
        <f t="array" ref="K785">XLOOKUP($D785,REGOLITOS!$A:$A,REGOLITOS!K:K)</f>
        <v>#N/A</v>
      </c>
      <c r="L785" s="76"/>
      <c r="M785" s="5" t="s">
        <v>1080</v>
      </c>
      <c r="N785" s="5" t="s">
        <v>1080</v>
      </c>
      <c r="O785" s="5" t="s">
        <v>1080</v>
      </c>
      <c r="P785" s="5" t="s">
        <v>1080</v>
      </c>
      <c r="Q785" s="5" t="s">
        <v>1080</v>
      </c>
      <c r="X785" s="71">
        <f t="shared" si="5"/>
        <v>0</v>
      </c>
      <c r="Y785" s="5" t="b">
        <v>0</v>
      </c>
    </row>
    <row r="786">
      <c r="B786" s="5" t="str">
        <f t="array" ref="B786">XLOOKUP(A786, CURSOS!A:A, CURSOS!B:B)</f>
        <v>#N/A</v>
      </c>
      <c r="C786" s="75" t="str">
        <f t="array" ref="C786">XLOOKUP(A786, CURSOS!A:A, CURSOS!C:C)</f>
        <v>#N/A</v>
      </c>
      <c r="D786" s="70" t="e">
        <v>#N/A</v>
      </c>
      <c r="E786" s="48"/>
      <c r="F786" s="48" t="str">
        <f t="array" ref="F786">XLOOKUP($D786,REGOLITOS!$A:$A,REGOLITOS!F:F)</f>
        <v>#N/A</v>
      </c>
      <c r="G786" s="48" t="str">
        <f t="array" ref="G786">XLOOKUP($D786,REGOLITOS!$A:$A,REGOLITOS!G:G)</f>
        <v>#N/A</v>
      </c>
      <c r="H786" s="48" t="str">
        <f t="array" ref="H786">XLOOKUP($D786,REGOLITOS!$A:$A,REGOLITOS!H:H)</f>
        <v>#N/A</v>
      </c>
      <c r="I786" s="48" t="str">
        <f t="array" ref="I786">XLOOKUP($D786,REGOLITOS!$A:$A,REGOLITOS!I:I)</f>
        <v>#N/A</v>
      </c>
      <c r="J786" s="48" t="str">
        <f t="array" ref="J786">XLOOKUP($D786,REGOLITOS!$A:$A,REGOLITOS!J:J)</f>
        <v>#N/A</v>
      </c>
      <c r="K786" s="48" t="str">
        <f t="array" ref="K786">XLOOKUP($D786,REGOLITOS!$A:$A,REGOLITOS!K:K)</f>
        <v>#N/A</v>
      </c>
      <c r="L786" s="76"/>
      <c r="M786" s="5" t="s">
        <v>1080</v>
      </c>
      <c r="N786" s="5" t="s">
        <v>1080</v>
      </c>
      <c r="O786" s="5" t="s">
        <v>1080</v>
      </c>
      <c r="P786" s="5" t="s">
        <v>1080</v>
      </c>
      <c r="Q786" s="5" t="s">
        <v>1080</v>
      </c>
      <c r="X786" s="71">
        <f t="shared" si="5"/>
        <v>0</v>
      </c>
      <c r="Y786" s="5" t="b">
        <v>0</v>
      </c>
    </row>
    <row r="787">
      <c r="B787" s="5" t="str">
        <f t="array" ref="B787">XLOOKUP(A787, CURSOS!A:A, CURSOS!B:B)</f>
        <v>#N/A</v>
      </c>
      <c r="C787" s="75" t="str">
        <f t="array" ref="C787">XLOOKUP(A787, CURSOS!A:A, CURSOS!C:C)</f>
        <v>#N/A</v>
      </c>
      <c r="D787" s="70" t="e">
        <v>#N/A</v>
      </c>
      <c r="E787" s="48"/>
      <c r="F787" s="48" t="str">
        <f t="array" ref="F787">XLOOKUP($D787,REGOLITOS!$A:$A,REGOLITOS!F:F)</f>
        <v>#N/A</v>
      </c>
      <c r="G787" s="48" t="str">
        <f t="array" ref="G787">XLOOKUP($D787,REGOLITOS!$A:$A,REGOLITOS!G:G)</f>
        <v>#N/A</v>
      </c>
      <c r="H787" s="48" t="str">
        <f t="array" ref="H787">XLOOKUP($D787,REGOLITOS!$A:$A,REGOLITOS!H:H)</f>
        <v>#N/A</v>
      </c>
      <c r="I787" s="48" t="str">
        <f t="array" ref="I787">XLOOKUP($D787,REGOLITOS!$A:$A,REGOLITOS!I:I)</f>
        <v>#N/A</v>
      </c>
      <c r="J787" s="48" t="str">
        <f t="array" ref="J787">XLOOKUP($D787,REGOLITOS!$A:$A,REGOLITOS!J:J)</f>
        <v>#N/A</v>
      </c>
      <c r="K787" s="48" t="str">
        <f t="array" ref="K787">XLOOKUP($D787,REGOLITOS!$A:$A,REGOLITOS!K:K)</f>
        <v>#N/A</v>
      </c>
      <c r="L787" s="76"/>
      <c r="M787" s="5" t="s">
        <v>1080</v>
      </c>
      <c r="N787" s="5" t="s">
        <v>1080</v>
      </c>
      <c r="O787" s="5" t="s">
        <v>1080</v>
      </c>
      <c r="P787" s="5" t="s">
        <v>1080</v>
      </c>
      <c r="Q787" s="5" t="s">
        <v>1080</v>
      </c>
      <c r="X787" s="71">
        <f t="shared" si="5"/>
        <v>0</v>
      </c>
      <c r="Y787" s="5" t="b">
        <v>0</v>
      </c>
    </row>
    <row r="788">
      <c r="B788" s="5" t="str">
        <f t="array" ref="B788">XLOOKUP(A788, CURSOS!A:A, CURSOS!B:B)</f>
        <v>#N/A</v>
      </c>
      <c r="C788" s="75" t="str">
        <f t="array" ref="C788">XLOOKUP(A788, CURSOS!A:A, CURSOS!C:C)</f>
        <v>#N/A</v>
      </c>
      <c r="D788" s="70" t="e">
        <v>#N/A</v>
      </c>
      <c r="E788" s="48"/>
      <c r="F788" s="48" t="str">
        <f t="array" ref="F788">XLOOKUP($D788,REGOLITOS!$A:$A,REGOLITOS!F:F)</f>
        <v>#N/A</v>
      </c>
      <c r="G788" s="48" t="str">
        <f t="array" ref="G788">XLOOKUP($D788,REGOLITOS!$A:$A,REGOLITOS!G:G)</f>
        <v>#N/A</v>
      </c>
      <c r="H788" s="48" t="str">
        <f t="array" ref="H788">XLOOKUP($D788,REGOLITOS!$A:$A,REGOLITOS!H:H)</f>
        <v>#N/A</v>
      </c>
      <c r="I788" s="48" t="str">
        <f t="array" ref="I788">XLOOKUP($D788,REGOLITOS!$A:$A,REGOLITOS!I:I)</f>
        <v>#N/A</v>
      </c>
      <c r="J788" s="48" t="str">
        <f t="array" ref="J788">XLOOKUP($D788,REGOLITOS!$A:$A,REGOLITOS!J:J)</f>
        <v>#N/A</v>
      </c>
      <c r="K788" s="48" t="str">
        <f t="array" ref="K788">XLOOKUP($D788,REGOLITOS!$A:$A,REGOLITOS!K:K)</f>
        <v>#N/A</v>
      </c>
      <c r="L788" s="76"/>
      <c r="M788" s="5" t="s">
        <v>1080</v>
      </c>
      <c r="N788" s="5" t="s">
        <v>1080</v>
      </c>
      <c r="O788" s="5" t="s">
        <v>1080</v>
      </c>
      <c r="P788" s="5" t="s">
        <v>1080</v>
      </c>
      <c r="Q788" s="5" t="s">
        <v>1080</v>
      </c>
      <c r="X788" s="71">
        <f t="shared" si="5"/>
        <v>0</v>
      </c>
      <c r="Y788" s="5" t="b">
        <v>0</v>
      </c>
    </row>
    <row r="789">
      <c r="B789" s="5" t="str">
        <f t="array" ref="B789">XLOOKUP(A789, CURSOS!A:A, CURSOS!B:B)</f>
        <v>#N/A</v>
      </c>
      <c r="C789" s="75" t="str">
        <f t="array" ref="C789">XLOOKUP(A789, CURSOS!A:A, CURSOS!C:C)</f>
        <v>#N/A</v>
      </c>
      <c r="D789" s="70" t="e">
        <v>#N/A</v>
      </c>
      <c r="E789" s="48"/>
      <c r="F789" s="48" t="str">
        <f t="array" ref="F789">XLOOKUP($D789,REGOLITOS!$A:$A,REGOLITOS!F:F)</f>
        <v>#N/A</v>
      </c>
      <c r="G789" s="48" t="str">
        <f t="array" ref="G789">XLOOKUP($D789,REGOLITOS!$A:$A,REGOLITOS!G:G)</f>
        <v>#N/A</v>
      </c>
      <c r="H789" s="48" t="str">
        <f t="array" ref="H789">XLOOKUP($D789,REGOLITOS!$A:$A,REGOLITOS!H:H)</f>
        <v>#N/A</v>
      </c>
      <c r="I789" s="48" t="str">
        <f t="array" ref="I789">XLOOKUP($D789,REGOLITOS!$A:$A,REGOLITOS!I:I)</f>
        <v>#N/A</v>
      </c>
      <c r="J789" s="48" t="str">
        <f t="array" ref="J789">XLOOKUP($D789,REGOLITOS!$A:$A,REGOLITOS!J:J)</f>
        <v>#N/A</v>
      </c>
      <c r="K789" s="48" t="str">
        <f t="array" ref="K789">XLOOKUP($D789,REGOLITOS!$A:$A,REGOLITOS!K:K)</f>
        <v>#N/A</v>
      </c>
      <c r="L789" s="76"/>
      <c r="M789" s="5" t="s">
        <v>1080</v>
      </c>
      <c r="N789" s="5" t="s">
        <v>1080</v>
      </c>
      <c r="O789" s="5" t="s">
        <v>1080</v>
      </c>
      <c r="P789" s="5" t="s">
        <v>1080</v>
      </c>
      <c r="Q789" s="5" t="s">
        <v>1080</v>
      </c>
      <c r="X789" s="71">
        <f t="shared" si="5"/>
        <v>0</v>
      </c>
      <c r="Y789" s="5" t="b">
        <v>0</v>
      </c>
    </row>
    <row r="790">
      <c r="B790" s="5" t="str">
        <f t="array" ref="B790">XLOOKUP(A790, CURSOS!A:A, CURSOS!B:B)</f>
        <v>#N/A</v>
      </c>
      <c r="C790" s="75" t="str">
        <f t="array" ref="C790">XLOOKUP(A790, CURSOS!A:A, CURSOS!C:C)</f>
        <v>#N/A</v>
      </c>
      <c r="D790" s="70" t="e">
        <v>#N/A</v>
      </c>
      <c r="E790" s="48"/>
      <c r="F790" s="48" t="str">
        <f t="array" ref="F790">XLOOKUP($D790,REGOLITOS!$A:$A,REGOLITOS!F:F)</f>
        <v>#N/A</v>
      </c>
      <c r="G790" s="48" t="str">
        <f t="array" ref="G790">XLOOKUP($D790,REGOLITOS!$A:$A,REGOLITOS!G:G)</f>
        <v>#N/A</v>
      </c>
      <c r="H790" s="48" t="str">
        <f t="array" ref="H790">XLOOKUP($D790,REGOLITOS!$A:$A,REGOLITOS!H:H)</f>
        <v>#N/A</v>
      </c>
      <c r="I790" s="48" t="str">
        <f t="array" ref="I790">XLOOKUP($D790,REGOLITOS!$A:$A,REGOLITOS!I:I)</f>
        <v>#N/A</v>
      </c>
      <c r="J790" s="48" t="str">
        <f t="array" ref="J790">XLOOKUP($D790,REGOLITOS!$A:$A,REGOLITOS!J:J)</f>
        <v>#N/A</v>
      </c>
      <c r="K790" s="48" t="str">
        <f t="array" ref="K790">XLOOKUP($D790,REGOLITOS!$A:$A,REGOLITOS!K:K)</f>
        <v>#N/A</v>
      </c>
      <c r="L790" s="76"/>
      <c r="M790" s="5" t="s">
        <v>1080</v>
      </c>
      <c r="N790" s="5" t="s">
        <v>1080</v>
      </c>
      <c r="O790" s="5" t="s">
        <v>1080</v>
      </c>
      <c r="P790" s="5" t="s">
        <v>1080</v>
      </c>
      <c r="Q790" s="5" t="s">
        <v>1080</v>
      </c>
      <c r="X790" s="71">
        <f t="shared" si="5"/>
        <v>0</v>
      </c>
      <c r="Y790" s="5" t="b">
        <v>0</v>
      </c>
    </row>
    <row r="791">
      <c r="B791" s="5" t="str">
        <f t="array" ref="B791">XLOOKUP(A791, CURSOS!A:A, CURSOS!B:B)</f>
        <v>#N/A</v>
      </c>
      <c r="C791" s="75" t="str">
        <f t="array" ref="C791">XLOOKUP(A791, CURSOS!A:A, CURSOS!C:C)</f>
        <v>#N/A</v>
      </c>
      <c r="D791" s="70" t="e">
        <v>#N/A</v>
      </c>
      <c r="E791" s="48"/>
      <c r="F791" s="48" t="str">
        <f t="array" ref="F791">XLOOKUP($D791,REGOLITOS!$A:$A,REGOLITOS!F:F)</f>
        <v>#N/A</v>
      </c>
      <c r="G791" s="48" t="str">
        <f t="array" ref="G791">XLOOKUP($D791,REGOLITOS!$A:$A,REGOLITOS!G:G)</f>
        <v>#N/A</v>
      </c>
      <c r="H791" s="48" t="str">
        <f t="array" ref="H791">XLOOKUP($D791,REGOLITOS!$A:$A,REGOLITOS!H:H)</f>
        <v>#N/A</v>
      </c>
      <c r="I791" s="48" t="str">
        <f t="array" ref="I791">XLOOKUP($D791,REGOLITOS!$A:$A,REGOLITOS!I:I)</f>
        <v>#N/A</v>
      </c>
      <c r="J791" s="48" t="str">
        <f t="array" ref="J791">XLOOKUP($D791,REGOLITOS!$A:$A,REGOLITOS!J:J)</f>
        <v>#N/A</v>
      </c>
      <c r="K791" s="48" t="str">
        <f t="array" ref="K791">XLOOKUP($D791,REGOLITOS!$A:$A,REGOLITOS!K:K)</f>
        <v>#N/A</v>
      </c>
      <c r="L791" s="76"/>
      <c r="M791" s="5" t="s">
        <v>1080</v>
      </c>
      <c r="N791" s="5" t="s">
        <v>1080</v>
      </c>
      <c r="O791" s="5" t="s">
        <v>1080</v>
      </c>
      <c r="P791" s="5" t="s">
        <v>1080</v>
      </c>
      <c r="Q791" s="5" t="s">
        <v>1080</v>
      </c>
      <c r="X791" s="71">
        <f t="shared" si="5"/>
        <v>0</v>
      </c>
      <c r="Y791" s="5" t="b">
        <v>0</v>
      </c>
    </row>
    <row r="792">
      <c r="B792" s="5" t="str">
        <f t="array" ref="B792">XLOOKUP(A792, CURSOS!A:A, CURSOS!B:B)</f>
        <v>#N/A</v>
      </c>
      <c r="C792" s="75" t="str">
        <f t="array" ref="C792">XLOOKUP(A792, CURSOS!A:A, CURSOS!C:C)</f>
        <v>#N/A</v>
      </c>
      <c r="D792" s="70" t="e">
        <v>#N/A</v>
      </c>
      <c r="E792" s="48"/>
      <c r="F792" s="48" t="str">
        <f t="array" ref="F792">XLOOKUP($D792,REGOLITOS!$A:$A,REGOLITOS!F:F)</f>
        <v>#N/A</v>
      </c>
      <c r="G792" s="48" t="str">
        <f t="array" ref="G792">XLOOKUP($D792,REGOLITOS!$A:$A,REGOLITOS!G:G)</f>
        <v>#N/A</v>
      </c>
      <c r="H792" s="48" t="str">
        <f t="array" ref="H792">XLOOKUP($D792,REGOLITOS!$A:$A,REGOLITOS!H:H)</f>
        <v>#N/A</v>
      </c>
      <c r="I792" s="48" t="str">
        <f t="array" ref="I792">XLOOKUP($D792,REGOLITOS!$A:$A,REGOLITOS!I:I)</f>
        <v>#N/A</v>
      </c>
      <c r="J792" s="48" t="str">
        <f t="array" ref="J792">XLOOKUP($D792,REGOLITOS!$A:$A,REGOLITOS!J:J)</f>
        <v>#N/A</v>
      </c>
      <c r="K792" s="48" t="str">
        <f t="array" ref="K792">XLOOKUP($D792,REGOLITOS!$A:$A,REGOLITOS!K:K)</f>
        <v>#N/A</v>
      </c>
      <c r="L792" s="76"/>
      <c r="M792" s="5" t="s">
        <v>1080</v>
      </c>
      <c r="N792" s="5" t="s">
        <v>1080</v>
      </c>
      <c r="O792" s="5" t="s">
        <v>1080</v>
      </c>
      <c r="P792" s="5" t="s">
        <v>1080</v>
      </c>
      <c r="Q792" s="5" t="s">
        <v>1080</v>
      </c>
      <c r="X792" s="71">
        <f t="shared" si="5"/>
        <v>0</v>
      </c>
      <c r="Y792" s="5" t="b">
        <v>0</v>
      </c>
    </row>
    <row r="793">
      <c r="B793" s="5" t="str">
        <f t="array" ref="B793">XLOOKUP(A793, CURSOS!A:A, CURSOS!B:B)</f>
        <v>#N/A</v>
      </c>
      <c r="C793" s="75" t="str">
        <f t="array" ref="C793">XLOOKUP(A793, CURSOS!A:A, CURSOS!C:C)</f>
        <v>#N/A</v>
      </c>
      <c r="D793" s="70" t="e">
        <v>#N/A</v>
      </c>
      <c r="E793" s="48"/>
      <c r="F793" s="48" t="str">
        <f t="array" ref="F793">XLOOKUP($D793,REGOLITOS!$A:$A,REGOLITOS!F:F)</f>
        <v>#N/A</v>
      </c>
      <c r="G793" s="48" t="str">
        <f t="array" ref="G793">XLOOKUP($D793,REGOLITOS!$A:$A,REGOLITOS!G:G)</f>
        <v>#N/A</v>
      </c>
      <c r="H793" s="48" t="str">
        <f t="array" ref="H793">XLOOKUP($D793,REGOLITOS!$A:$A,REGOLITOS!H:H)</f>
        <v>#N/A</v>
      </c>
      <c r="I793" s="48" t="str">
        <f t="array" ref="I793">XLOOKUP($D793,REGOLITOS!$A:$A,REGOLITOS!I:I)</f>
        <v>#N/A</v>
      </c>
      <c r="J793" s="48" t="str">
        <f t="array" ref="J793">XLOOKUP($D793,REGOLITOS!$A:$A,REGOLITOS!J:J)</f>
        <v>#N/A</v>
      </c>
      <c r="K793" s="48" t="str">
        <f t="array" ref="K793">XLOOKUP($D793,REGOLITOS!$A:$A,REGOLITOS!K:K)</f>
        <v>#N/A</v>
      </c>
      <c r="L793" s="76"/>
      <c r="M793" s="5" t="s">
        <v>1080</v>
      </c>
      <c r="N793" s="5" t="s">
        <v>1080</v>
      </c>
      <c r="O793" s="5" t="s">
        <v>1080</v>
      </c>
      <c r="P793" s="5" t="s">
        <v>1080</v>
      </c>
      <c r="Q793" s="5" t="s">
        <v>1080</v>
      </c>
      <c r="X793" s="71">
        <f t="shared" si="5"/>
        <v>0</v>
      </c>
      <c r="Y793" s="5" t="b">
        <v>0</v>
      </c>
    </row>
    <row r="794">
      <c r="B794" s="5" t="str">
        <f t="array" ref="B794">XLOOKUP(A794, CURSOS!A:A, CURSOS!B:B)</f>
        <v>#N/A</v>
      </c>
      <c r="C794" s="75" t="str">
        <f t="array" ref="C794">XLOOKUP(A794, CURSOS!A:A, CURSOS!C:C)</f>
        <v>#N/A</v>
      </c>
      <c r="D794" s="70" t="e">
        <v>#N/A</v>
      </c>
      <c r="E794" s="48"/>
      <c r="F794" s="48" t="str">
        <f t="array" ref="F794">XLOOKUP($D794,REGOLITOS!$A:$A,REGOLITOS!F:F)</f>
        <v>#N/A</v>
      </c>
      <c r="G794" s="48" t="str">
        <f t="array" ref="G794">XLOOKUP($D794,REGOLITOS!$A:$A,REGOLITOS!G:G)</f>
        <v>#N/A</v>
      </c>
      <c r="H794" s="48" t="str">
        <f t="array" ref="H794">XLOOKUP($D794,REGOLITOS!$A:$A,REGOLITOS!H:H)</f>
        <v>#N/A</v>
      </c>
      <c r="I794" s="48" t="str">
        <f t="array" ref="I794">XLOOKUP($D794,REGOLITOS!$A:$A,REGOLITOS!I:I)</f>
        <v>#N/A</v>
      </c>
      <c r="J794" s="48" t="str">
        <f t="array" ref="J794">XLOOKUP($D794,REGOLITOS!$A:$A,REGOLITOS!J:J)</f>
        <v>#N/A</v>
      </c>
      <c r="K794" s="48" t="str">
        <f t="array" ref="K794">XLOOKUP($D794,REGOLITOS!$A:$A,REGOLITOS!K:K)</f>
        <v>#N/A</v>
      </c>
      <c r="L794" s="76"/>
      <c r="M794" s="5" t="s">
        <v>1080</v>
      </c>
      <c r="N794" s="5" t="s">
        <v>1080</v>
      </c>
      <c r="O794" s="5" t="s">
        <v>1080</v>
      </c>
      <c r="P794" s="5" t="s">
        <v>1080</v>
      </c>
      <c r="Q794" s="5" t="s">
        <v>1080</v>
      </c>
      <c r="X794" s="71">
        <f t="shared" si="5"/>
        <v>0</v>
      </c>
      <c r="Y794" s="5" t="b">
        <v>0</v>
      </c>
    </row>
    <row r="795">
      <c r="B795" s="5" t="str">
        <f t="array" ref="B795">XLOOKUP(A795, CURSOS!A:A, CURSOS!B:B)</f>
        <v>#N/A</v>
      </c>
      <c r="C795" s="75" t="str">
        <f t="array" ref="C795">XLOOKUP(A795, CURSOS!A:A, CURSOS!C:C)</f>
        <v>#N/A</v>
      </c>
      <c r="D795" s="70" t="e">
        <v>#N/A</v>
      </c>
      <c r="E795" s="48"/>
      <c r="F795" s="48" t="str">
        <f t="array" ref="F795">XLOOKUP($D795,REGOLITOS!$A:$A,REGOLITOS!F:F)</f>
        <v>#N/A</v>
      </c>
      <c r="G795" s="48" t="str">
        <f t="array" ref="G795">XLOOKUP($D795,REGOLITOS!$A:$A,REGOLITOS!G:G)</f>
        <v>#N/A</v>
      </c>
      <c r="H795" s="48" t="str">
        <f t="array" ref="H795">XLOOKUP($D795,REGOLITOS!$A:$A,REGOLITOS!H:H)</f>
        <v>#N/A</v>
      </c>
      <c r="I795" s="48" t="str">
        <f t="array" ref="I795">XLOOKUP($D795,REGOLITOS!$A:$A,REGOLITOS!I:I)</f>
        <v>#N/A</v>
      </c>
      <c r="J795" s="48" t="str">
        <f t="array" ref="J795">XLOOKUP($D795,REGOLITOS!$A:$A,REGOLITOS!J:J)</f>
        <v>#N/A</v>
      </c>
      <c r="K795" s="48" t="str">
        <f t="array" ref="K795">XLOOKUP($D795,REGOLITOS!$A:$A,REGOLITOS!K:K)</f>
        <v>#N/A</v>
      </c>
      <c r="L795" s="76"/>
      <c r="M795" s="5" t="s">
        <v>1080</v>
      </c>
      <c r="N795" s="5" t="s">
        <v>1080</v>
      </c>
      <c r="O795" s="5" t="s">
        <v>1080</v>
      </c>
      <c r="P795" s="5" t="s">
        <v>1080</v>
      </c>
      <c r="Q795" s="5" t="s">
        <v>1080</v>
      </c>
      <c r="X795" s="71">
        <f t="shared" si="5"/>
        <v>0</v>
      </c>
      <c r="Y795" s="5" t="b">
        <v>0</v>
      </c>
    </row>
    <row r="796">
      <c r="B796" s="5" t="str">
        <f t="array" ref="B796">XLOOKUP(A796, CURSOS!A:A, CURSOS!B:B)</f>
        <v>#N/A</v>
      </c>
      <c r="C796" s="75" t="str">
        <f t="array" ref="C796">XLOOKUP(A796, CURSOS!A:A, CURSOS!C:C)</f>
        <v>#N/A</v>
      </c>
      <c r="D796" s="70" t="e">
        <v>#N/A</v>
      </c>
      <c r="E796" s="48"/>
      <c r="F796" s="48" t="str">
        <f t="array" ref="F796">XLOOKUP($D796,REGOLITOS!$A:$A,REGOLITOS!F:F)</f>
        <v>#N/A</v>
      </c>
      <c r="G796" s="48" t="str">
        <f t="array" ref="G796">XLOOKUP($D796,REGOLITOS!$A:$A,REGOLITOS!G:G)</f>
        <v>#N/A</v>
      </c>
      <c r="H796" s="48" t="str">
        <f t="array" ref="H796">XLOOKUP($D796,REGOLITOS!$A:$A,REGOLITOS!H:H)</f>
        <v>#N/A</v>
      </c>
      <c r="I796" s="48" t="str">
        <f t="array" ref="I796">XLOOKUP($D796,REGOLITOS!$A:$A,REGOLITOS!I:I)</f>
        <v>#N/A</v>
      </c>
      <c r="J796" s="48" t="str">
        <f t="array" ref="J796">XLOOKUP($D796,REGOLITOS!$A:$A,REGOLITOS!J:J)</f>
        <v>#N/A</v>
      </c>
      <c r="K796" s="48" t="str">
        <f t="array" ref="K796">XLOOKUP($D796,REGOLITOS!$A:$A,REGOLITOS!K:K)</f>
        <v>#N/A</v>
      </c>
      <c r="L796" s="76"/>
      <c r="M796" s="5" t="s">
        <v>1080</v>
      </c>
      <c r="N796" s="5" t="s">
        <v>1080</v>
      </c>
      <c r="O796" s="5" t="s">
        <v>1080</v>
      </c>
      <c r="P796" s="5" t="s">
        <v>1080</v>
      </c>
      <c r="Q796" s="5" t="s">
        <v>1080</v>
      </c>
      <c r="X796" s="71">
        <f t="shared" si="5"/>
        <v>0</v>
      </c>
      <c r="Y796" s="5" t="b">
        <v>0</v>
      </c>
    </row>
    <row r="797">
      <c r="B797" s="5" t="str">
        <f t="array" ref="B797">XLOOKUP(A797, CURSOS!A:A, CURSOS!B:B)</f>
        <v>#N/A</v>
      </c>
      <c r="C797" s="75" t="str">
        <f t="array" ref="C797">XLOOKUP(A797, CURSOS!A:A, CURSOS!C:C)</f>
        <v>#N/A</v>
      </c>
      <c r="D797" s="70" t="e">
        <v>#N/A</v>
      </c>
      <c r="E797" s="48"/>
      <c r="F797" s="48" t="str">
        <f t="array" ref="F797">XLOOKUP($D797,REGOLITOS!$A:$A,REGOLITOS!F:F)</f>
        <v>#N/A</v>
      </c>
      <c r="G797" s="48" t="str">
        <f t="array" ref="G797">XLOOKUP($D797,REGOLITOS!$A:$A,REGOLITOS!G:G)</f>
        <v>#N/A</v>
      </c>
      <c r="H797" s="48" t="str">
        <f t="array" ref="H797">XLOOKUP($D797,REGOLITOS!$A:$A,REGOLITOS!H:H)</f>
        <v>#N/A</v>
      </c>
      <c r="I797" s="48" t="str">
        <f t="array" ref="I797">XLOOKUP($D797,REGOLITOS!$A:$A,REGOLITOS!I:I)</f>
        <v>#N/A</v>
      </c>
      <c r="J797" s="48" t="str">
        <f t="array" ref="J797">XLOOKUP($D797,REGOLITOS!$A:$A,REGOLITOS!J:J)</f>
        <v>#N/A</v>
      </c>
      <c r="K797" s="48" t="str">
        <f t="array" ref="K797">XLOOKUP($D797,REGOLITOS!$A:$A,REGOLITOS!K:K)</f>
        <v>#N/A</v>
      </c>
      <c r="L797" s="76"/>
      <c r="M797" s="5" t="s">
        <v>1080</v>
      </c>
      <c r="N797" s="5" t="s">
        <v>1080</v>
      </c>
      <c r="O797" s="5" t="s">
        <v>1080</v>
      </c>
      <c r="P797" s="5" t="s">
        <v>1080</v>
      </c>
      <c r="Q797" s="5" t="s">
        <v>1080</v>
      </c>
      <c r="X797" s="71">
        <f t="shared" si="5"/>
        <v>0</v>
      </c>
      <c r="Y797" s="5" t="b">
        <v>0</v>
      </c>
    </row>
    <row r="798">
      <c r="B798" s="5" t="str">
        <f t="array" ref="B798">XLOOKUP(A798, CURSOS!A:A, CURSOS!B:B)</f>
        <v>#N/A</v>
      </c>
      <c r="C798" s="75" t="str">
        <f t="array" ref="C798">XLOOKUP(A798, CURSOS!A:A, CURSOS!C:C)</f>
        <v>#N/A</v>
      </c>
      <c r="D798" s="70" t="e">
        <v>#N/A</v>
      </c>
      <c r="E798" s="48"/>
      <c r="F798" s="48" t="str">
        <f t="array" ref="F798">XLOOKUP($D798,REGOLITOS!$A:$A,REGOLITOS!F:F)</f>
        <v>#N/A</v>
      </c>
      <c r="G798" s="48" t="str">
        <f t="array" ref="G798">XLOOKUP($D798,REGOLITOS!$A:$A,REGOLITOS!G:G)</f>
        <v>#N/A</v>
      </c>
      <c r="H798" s="48" t="str">
        <f t="array" ref="H798">XLOOKUP($D798,REGOLITOS!$A:$A,REGOLITOS!H:H)</f>
        <v>#N/A</v>
      </c>
      <c r="I798" s="48" t="str">
        <f t="array" ref="I798">XLOOKUP($D798,REGOLITOS!$A:$A,REGOLITOS!I:I)</f>
        <v>#N/A</v>
      </c>
      <c r="J798" s="48" t="str">
        <f t="array" ref="J798">XLOOKUP($D798,REGOLITOS!$A:$A,REGOLITOS!J:J)</f>
        <v>#N/A</v>
      </c>
      <c r="K798" s="48" t="str">
        <f t="array" ref="K798">XLOOKUP($D798,REGOLITOS!$A:$A,REGOLITOS!K:K)</f>
        <v>#N/A</v>
      </c>
      <c r="L798" s="76"/>
      <c r="M798" s="5" t="s">
        <v>1080</v>
      </c>
      <c r="N798" s="5" t="s">
        <v>1080</v>
      </c>
      <c r="O798" s="5" t="s">
        <v>1080</v>
      </c>
      <c r="P798" s="5" t="s">
        <v>1080</v>
      </c>
      <c r="Q798" s="5" t="s">
        <v>1080</v>
      </c>
      <c r="X798" s="71">
        <f t="shared" si="5"/>
        <v>0</v>
      </c>
      <c r="Y798" s="5" t="b">
        <v>0</v>
      </c>
    </row>
    <row r="799">
      <c r="B799" s="5" t="str">
        <f t="array" ref="B799">XLOOKUP(A799, CURSOS!A:A, CURSOS!B:B)</f>
        <v>#N/A</v>
      </c>
      <c r="C799" s="75" t="str">
        <f t="array" ref="C799">XLOOKUP(A799, CURSOS!A:A, CURSOS!C:C)</f>
        <v>#N/A</v>
      </c>
      <c r="D799" s="70" t="e">
        <v>#N/A</v>
      </c>
      <c r="E799" s="48"/>
      <c r="F799" s="48" t="str">
        <f t="array" ref="F799">XLOOKUP($D799,REGOLITOS!$A:$A,REGOLITOS!F:F)</f>
        <v>#N/A</v>
      </c>
      <c r="G799" s="48" t="str">
        <f t="array" ref="G799">XLOOKUP($D799,REGOLITOS!$A:$A,REGOLITOS!G:G)</f>
        <v>#N/A</v>
      </c>
      <c r="H799" s="48" t="str">
        <f t="array" ref="H799">XLOOKUP($D799,REGOLITOS!$A:$A,REGOLITOS!H:H)</f>
        <v>#N/A</v>
      </c>
      <c r="I799" s="48" t="str">
        <f t="array" ref="I799">XLOOKUP($D799,REGOLITOS!$A:$A,REGOLITOS!I:I)</f>
        <v>#N/A</v>
      </c>
      <c r="J799" s="48" t="str">
        <f t="array" ref="J799">XLOOKUP($D799,REGOLITOS!$A:$A,REGOLITOS!J:J)</f>
        <v>#N/A</v>
      </c>
      <c r="K799" s="48" t="str">
        <f t="array" ref="K799">XLOOKUP($D799,REGOLITOS!$A:$A,REGOLITOS!K:K)</f>
        <v>#N/A</v>
      </c>
      <c r="L799" s="76"/>
      <c r="M799" s="5" t="s">
        <v>1080</v>
      </c>
      <c r="N799" s="5" t="s">
        <v>1080</v>
      </c>
      <c r="O799" s="5" t="s">
        <v>1080</v>
      </c>
      <c r="P799" s="5" t="s">
        <v>1080</v>
      </c>
      <c r="Q799" s="5" t="s">
        <v>1080</v>
      </c>
      <c r="X799" s="71">
        <f t="shared" si="5"/>
        <v>0</v>
      </c>
      <c r="Y799" s="5" t="b">
        <v>0</v>
      </c>
    </row>
    <row r="800">
      <c r="B800" s="5" t="str">
        <f t="array" ref="B800">XLOOKUP(A800, CURSOS!A:A, CURSOS!B:B)</f>
        <v>#N/A</v>
      </c>
      <c r="C800" s="75" t="str">
        <f t="array" ref="C800">XLOOKUP(A800, CURSOS!A:A, CURSOS!C:C)</f>
        <v>#N/A</v>
      </c>
      <c r="D800" s="70" t="e">
        <v>#N/A</v>
      </c>
      <c r="E800" s="48"/>
      <c r="F800" s="48" t="str">
        <f t="array" ref="F800">XLOOKUP($D800,REGOLITOS!$A:$A,REGOLITOS!F:F)</f>
        <v>#N/A</v>
      </c>
      <c r="G800" s="48" t="str">
        <f t="array" ref="G800">XLOOKUP($D800,REGOLITOS!$A:$A,REGOLITOS!G:G)</f>
        <v>#N/A</v>
      </c>
      <c r="H800" s="48" t="str">
        <f t="array" ref="H800">XLOOKUP($D800,REGOLITOS!$A:$A,REGOLITOS!H:H)</f>
        <v>#N/A</v>
      </c>
      <c r="I800" s="48" t="str">
        <f t="array" ref="I800">XLOOKUP($D800,REGOLITOS!$A:$A,REGOLITOS!I:I)</f>
        <v>#N/A</v>
      </c>
      <c r="J800" s="48" t="str">
        <f t="array" ref="J800">XLOOKUP($D800,REGOLITOS!$A:$A,REGOLITOS!J:J)</f>
        <v>#N/A</v>
      </c>
      <c r="K800" s="48" t="str">
        <f t="array" ref="K800">XLOOKUP($D800,REGOLITOS!$A:$A,REGOLITOS!K:K)</f>
        <v>#N/A</v>
      </c>
      <c r="L800" s="76"/>
      <c r="M800" s="5" t="s">
        <v>1080</v>
      </c>
      <c r="N800" s="5" t="s">
        <v>1080</v>
      </c>
      <c r="O800" s="5" t="s">
        <v>1080</v>
      </c>
      <c r="P800" s="5" t="s">
        <v>1080</v>
      </c>
      <c r="Q800" s="5" t="s">
        <v>1080</v>
      </c>
      <c r="X800" s="71">
        <f t="shared" si="5"/>
        <v>0</v>
      </c>
      <c r="Y800" s="5" t="b">
        <v>0</v>
      </c>
    </row>
    <row r="801">
      <c r="B801" s="5" t="str">
        <f t="array" ref="B801">XLOOKUP(A801, CURSOS!A:A, CURSOS!B:B)</f>
        <v>#N/A</v>
      </c>
      <c r="C801" s="75" t="str">
        <f t="array" ref="C801">XLOOKUP(A801, CURSOS!A:A, CURSOS!C:C)</f>
        <v>#N/A</v>
      </c>
      <c r="D801" s="70" t="e">
        <v>#N/A</v>
      </c>
      <c r="E801" s="48"/>
      <c r="F801" s="48" t="str">
        <f t="array" ref="F801">XLOOKUP($D801,REGOLITOS!$A:$A,REGOLITOS!F:F)</f>
        <v>#N/A</v>
      </c>
      <c r="G801" s="48" t="str">
        <f t="array" ref="G801">XLOOKUP($D801,REGOLITOS!$A:$A,REGOLITOS!G:G)</f>
        <v>#N/A</v>
      </c>
      <c r="H801" s="48" t="str">
        <f t="array" ref="H801">XLOOKUP($D801,REGOLITOS!$A:$A,REGOLITOS!H:H)</f>
        <v>#N/A</v>
      </c>
      <c r="I801" s="48" t="str">
        <f t="array" ref="I801">XLOOKUP($D801,REGOLITOS!$A:$A,REGOLITOS!I:I)</f>
        <v>#N/A</v>
      </c>
      <c r="J801" s="48" t="str">
        <f t="array" ref="J801">XLOOKUP($D801,REGOLITOS!$A:$A,REGOLITOS!J:J)</f>
        <v>#N/A</v>
      </c>
      <c r="K801" s="48" t="str">
        <f t="array" ref="K801">XLOOKUP($D801,REGOLITOS!$A:$A,REGOLITOS!K:K)</f>
        <v>#N/A</v>
      </c>
      <c r="L801" s="76"/>
      <c r="M801" s="5" t="s">
        <v>1080</v>
      </c>
      <c r="N801" s="5" t="s">
        <v>1080</v>
      </c>
      <c r="O801" s="5" t="s">
        <v>1080</v>
      </c>
      <c r="P801" s="5" t="s">
        <v>1080</v>
      </c>
      <c r="Q801" s="5" t="s">
        <v>1080</v>
      </c>
      <c r="X801" s="71">
        <f t="shared" si="5"/>
        <v>0</v>
      </c>
      <c r="Y801" s="5" t="b">
        <v>0</v>
      </c>
    </row>
    <row r="802">
      <c r="B802" s="5" t="str">
        <f t="array" ref="B802">XLOOKUP(A802, CURSOS!A:A, CURSOS!B:B)</f>
        <v>#N/A</v>
      </c>
      <c r="C802" s="75" t="str">
        <f t="array" ref="C802">XLOOKUP(A802, CURSOS!A:A, CURSOS!C:C)</f>
        <v>#N/A</v>
      </c>
      <c r="D802" s="70" t="e">
        <v>#N/A</v>
      </c>
      <c r="E802" s="48"/>
      <c r="F802" s="48" t="str">
        <f t="array" ref="F802">XLOOKUP($D802,REGOLITOS!$A:$A,REGOLITOS!F:F)</f>
        <v>#N/A</v>
      </c>
      <c r="G802" s="48" t="str">
        <f t="array" ref="G802">XLOOKUP($D802,REGOLITOS!$A:$A,REGOLITOS!G:G)</f>
        <v>#N/A</v>
      </c>
      <c r="H802" s="48" t="str">
        <f t="array" ref="H802">XLOOKUP($D802,REGOLITOS!$A:$A,REGOLITOS!H:H)</f>
        <v>#N/A</v>
      </c>
      <c r="I802" s="48" t="str">
        <f t="array" ref="I802">XLOOKUP($D802,REGOLITOS!$A:$A,REGOLITOS!I:I)</f>
        <v>#N/A</v>
      </c>
      <c r="J802" s="48" t="str">
        <f t="array" ref="J802">XLOOKUP($D802,REGOLITOS!$A:$A,REGOLITOS!J:J)</f>
        <v>#N/A</v>
      </c>
      <c r="K802" s="48" t="str">
        <f t="array" ref="K802">XLOOKUP($D802,REGOLITOS!$A:$A,REGOLITOS!K:K)</f>
        <v>#N/A</v>
      </c>
      <c r="L802" s="76"/>
      <c r="M802" s="5" t="s">
        <v>1080</v>
      </c>
      <c r="N802" s="5" t="s">
        <v>1080</v>
      </c>
      <c r="O802" s="5" t="s">
        <v>1080</v>
      </c>
      <c r="P802" s="5" t="s">
        <v>1080</v>
      </c>
      <c r="Q802" s="5" t="s">
        <v>1080</v>
      </c>
      <c r="X802" s="71">
        <f t="shared" si="5"/>
        <v>0</v>
      </c>
      <c r="Y802" s="5" t="b">
        <v>0</v>
      </c>
    </row>
    <row r="803">
      <c r="B803" s="5" t="str">
        <f t="array" ref="B803">XLOOKUP(A803, CURSOS!A:A, CURSOS!B:B)</f>
        <v>#N/A</v>
      </c>
      <c r="C803" s="75" t="str">
        <f t="array" ref="C803">XLOOKUP(A803, CURSOS!A:A, CURSOS!C:C)</f>
        <v>#N/A</v>
      </c>
      <c r="D803" s="70" t="e">
        <v>#N/A</v>
      </c>
      <c r="E803" s="48"/>
      <c r="F803" s="48" t="str">
        <f t="array" ref="F803">XLOOKUP($D803,REGOLITOS!$A:$A,REGOLITOS!F:F)</f>
        <v>#N/A</v>
      </c>
      <c r="G803" s="48" t="str">
        <f t="array" ref="G803">XLOOKUP($D803,REGOLITOS!$A:$A,REGOLITOS!G:G)</f>
        <v>#N/A</v>
      </c>
      <c r="H803" s="48" t="str">
        <f t="array" ref="H803">XLOOKUP($D803,REGOLITOS!$A:$A,REGOLITOS!H:H)</f>
        <v>#N/A</v>
      </c>
      <c r="I803" s="48" t="str">
        <f t="array" ref="I803">XLOOKUP($D803,REGOLITOS!$A:$A,REGOLITOS!I:I)</f>
        <v>#N/A</v>
      </c>
      <c r="J803" s="48" t="str">
        <f t="array" ref="J803">XLOOKUP($D803,REGOLITOS!$A:$A,REGOLITOS!J:J)</f>
        <v>#N/A</v>
      </c>
      <c r="K803" s="48" t="str">
        <f t="array" ref="K803">XLOOKUP($D803,REGOLITOS!$A:$A,REGOLITOS!K:K)</f>
        <v>#N/A</v>
      </c>
      <c r="L803" s="76"/>
      <c r="M803" s="5" t="s">
        <v>1080</v>
      </c>
      <c r="N803" s="5" t="s">
        <v>1080</v>
      </c>
      <c r="O803" s="5" t="s">
        <v>1080</v>
      </c>
      <c r="P803" s="5" t="s">
        <v>1080</v>
      </c>
      <c r="Q803" s="5" t="s">
        <v>1080</v>
      </c>
      <c r="X803" s="71">
        <f t="shared" si="5"/>
        <v>0</v>
      </c>
      <c r="Y803" s="5" t="b">
        <v>0</v>
      </c>
    </row>
    <row r="804">
      <c r="B804" s="5" t="str">
        <f t="array" ref="B804">XLOOKUP(A804, CURSOS!A:A, CURSOS!B:B)</f>
        <v>#N/A</v>
      </c>
      <c r="C804" s="75" t="str">
        <f t="array" ref="C804">XLOOKUP(A804, CURSOS!A:A, CURSOS!C:C)</f>
        <v>#N/A</v>
      </c>
      <c r="D804" s="70" t="e">
        <v>#N/A</v>
      </c>
      <c r="E804" s="48"/>
      <c r="F804" s="48" t="str">
        <f t="array" ref="F804">XLOOKUP($D804,REGOLITOS!$A:$A,REGOLITOS!F:F)</f>
        <v>#N/A</v>
      </c>
      <c r="G804" s="48" t="str">
        <f t="array" ref="G804">XLOOKUP($D804,REGOLITOS!$A:$A,REGOLITOS!G:G)</f>
        <v>#N/A</v>
      </c>
      <c r="H804" s="48" t="str">
        <f t="array" ref="H804">XLOOKUP($D804,REGOLITOS!$A:$A,REGOLITOS!H:H)</f>
        <v>#N/A</v>
      </c>
      <c r="I804" s="48" t="str">
        <f t="array" ref="I804">XLOOKUP($D804,REGOLITOS!$A:$A,REGOLITOS!I:I)</f>
        <v>#N/A</v>
      </c>
      <c r="J804" s="48" t="str">
        <f t="array" ref="J804">XLOOKUP($D804,REGOLITOS!$A:$A,REGOLITOS!J:J)</f>
        <v>#N/A</v>
      </c>
      <c r="K804" s="48" t="str">
        <f t="array" ref="K804">XLOOKUP($D804,REGOLITOS!$A:$A,REGOLITOS!K:K)</f>
        <v>#N/A</v>
      </c>
      <c r="L804" s="76"/>
      <c r="M804" s="5" t="s">
        <v>1080</v>
      </c>
      <c r="N804" s="5" t="s">
        <v>1080</v>
      </c>
      <c r="O804" s="5" t="s">
        <v>1080</v>
      </c>
      <c r="P804" s="5" t="s">
        <v>1080</v>
      </c>
      <c r="Q804" s="5" t="s">
        <v>1080</v>
      </c>
      <c r="X804" s="71">
        <f t="shared" si="5"/>
        <v>0</v>
      </c>
      <c r="Y804" s="5" t="b">
        <v>0</v>
      </c>
    </row>
    <row r="805">
      <c r="B805" s="5" t="str">
        <f t="array" ref="B805">XLOOKUP(A805, CURSOS!A:A, CURSOS!B:B)</f>
        <v>#N/A</v>
      </c>
      <c r="C805" s="75" t="str">
        <f t="array" ref="C805">XLOOKUP(A805, CURSOS!A:A, CURSOS!C:C)</f>
        <v>#N/A</v>
      </c>
      <c r="D805" s="70" t="e">
        <v>#N/A</v>
      </c>
      <c r="E805" s="48"/>
      <c r="F805" s="48" t="str">
        <f t="array" ref="F805">XLOOKUP($D805,REGOLITOS!$A:$A,REGOLITOS!F:F)</f>
        <v>#N/A</v>
      </c>
      <c r="G805" s="48" t="str">
        <f t="array" ref="G805">XLOOKUP($D805,REGOLITOS!$A:$A,REGOLITOS!G:G)</f>
        <v>#N/A</v>
      </c>
      <c r="H805" s="48" t="str">
        <f t="array" ref="H805">XLOOKUP($D805,REGOLITOS!$A:$A,REGOLITOS!H:H)</f>
        <v>#N/A</v>
      </c>
      <c r="I805" s="48" t="str">
        <f t="array" ref="I805">XLOOKUP($D805,REGOLITOS!$A:$A,REGOLITOS!I:I)</f>
        <v>#N/A</v>
      </c>
      <c r="J805" s="48" t="str">
        <f t="array" ref="J805">XLOOKUP($D805,REGOLITOS!$A:$A,REGOLITOS!J:J)</f>
        <v>#N/A</v>
      </c>
      <c r="K805" s="48" t="str">
        <f t="array" ref="K805">XLOOKUP($D805,REGOLITOS!$A:$A,REGOLITOS!K:K)</f>
        <v>#N/A</v>
      </c>
      <c r="L805" s="76"/>
      <c r="M805" s="5" t="s">
        <v>1080</v>
      </c>
      <c r="N805" s="5" t="s">
        <v>1080</v>
      </c>
      <c r="O805" s="5" t="s">
        <v>1080</v>
      </c>
      <c r="P805" s="5" t="s">
        <v>1080</v>
      </c>
      <c r="Q805" s="5" t="s">
        <v>1080</v>
      </c>
      <c r="X805" s="71">
        <f t="shared" si="5"/>
        <v>0</v>
      </c>
      <c r="Y805" s="5" t="b">
        <v>0</v>
      </c>
    </row>
    <row r="806">
      <c r="B806" s="5" t="str">
        <f t="array" ref="B806">XLOOKUP(A806, CURSOS!A:A, CURSOS!B:B)</f>
        <v>#N/A</v>
      </c>
      <c r="C806" s="75" t="str">
        <f t="array" ref="C806">XLOOKUP(A806, CURSOS!A:A, CURSOS!C:C)</f>
        <v>#N/A</v>
      </c>
      <c r="D806" s="70" t="e">
        <v>#N/A</v>
      </c>
      <c r="E806" s="48"/>
      <c r="F806" s="48" t="str">
        <f t="array" ref="F806">XLOOKUP($D806,REGOLITOS!$A:$A,REGOLITOS!F:F)</f>
        <v>#N/A</v>
      </c>
      <c r="G806" s="48" t="str">
        <f t="array" ref="G806">XLOOKUP($D806,REGOLITOS!$A:$A,REGOLITOS!G:G)</f>
        <v>#N/A</v>
      </c>
      <c r="H806" s="48" t="str">
        <f t="array" ref="H806">XLOOKUP($D806,REGOLITOS!$A:$A,REGOLITOS!H:H)</f>
        <v>#N/A</v>
      </c>
      <c r="I806" s="48" t="str">
        <f t="array" ref="I806">XLOOKUP($D806,REGOLITOS!$A:$A,REGOLITOS!I:I)</f>
        <v>#N/A</v>
      </c>
      <c r="J806" s="48" t="str">
        <f t="array" ref="J806">XLOOKUP($D806,REGOLITOS!$A:$A,REGOLITOS!J:J)</f>
        <v>#N/A</v>
      </c>
      <c r="K806" s="48" t="str">
        <f t="array" ref="K806">XLOOKUP($D806,REGOLITOS!$A:$A,REGOLITOS!K:K)</f>
        <v>#N/A</v>
      </c>
      <c r="L806" s="76"/>
      <c r="M806" s="5" t="s">
        <v>1080</v>
      </c>
      <c r="N806" s="5" t="s">
        <v>1080</v>
      </c>
      <c r="O806" s="5" t="s">
        <v>1080</v>
      </c>
      <c r="P806" s="5" t="s">
        <v>1080</v>
      </c>
      <c r="Q806" s="5" t="s">
        <v>1080</v>
      </c>
      <c r="X806" s="71">
        <f t="shared" si="5"/>
        <v>0</v>
      </c>
      <c r="Y806" s="5" t="b">
        <v>0</v>
      </c>
    </row>
    <row r="807">
      <c r="B807" s="5" t="str">
        <f t="array" ref="B807">XLOOKUP(A807, CURSOS!A:A, CURSOS!B:B)</f>
        <v>#N/A</v>
      </c>
      <c r="C807" s="75" t="str">
        <f t="array" ref="C807">XLOOKUP(A807, CURSOS!A:A, CURSOS!C:C)</f>
        <v>#N/A</v>
      </c>
      <c r="D807" s="70" t="e">
        <v>#N/A</v>
      </c>
      <c r="E807" s="48"/>
      <c r="F807" s="48" t="str">
        <f t="array" ref="F807">XLOOKUP($D807,REGOLITOS!$A:$A,REGOLITOS!F:F)</f>
        <v>#N/A</v>
      </c>
      <c r="G807" s="48" t="str">
        <f t="array" ref="G807">XLOOKUP($D807,REGOLITOS!$A:$A,REGOLITOS!G:G)</f>
        <v>#N/A</v>
      </c>
      <c r="H807" s="48" t="str">
        <f t="array" ref="H807">XLOOKUP($D807,REGOLITOS!$A:$A,REGOLITOS!H:H)</f>
        <v>#N/A</v>
      </c>
      <c r="I807" s="48" t="str">
        <f t="array" ref="I807">XLOOKUP($D807,REGOLITOS!$A:$A,REGOLITOS!I:I)</f>
        <v>#N/A</v>
      </c>
      <c r="J807" s="48" t="str">
        <f t="array" ref="J807">XLOOKUP($D807,REGOLITOS!$A:$A,REGOLITOS!J:J)</f>
        <v>#N/A</v>
      </c>
      <c r="K807" s="48" t="str">
        <f t="array" ref="K807">XLOOKUP($D807,REGOLITOS!$A:$A,REGOLITOS!K:K)</f>
        <v>#N/A</v>
      </c>
      <c r="L807" s="76"/>
      <c r="M807" s="5" t="s">
        <v>1080</v>
      </c>
      <c r="N807" s="5" t="s">
        <v>1080</v>
      </c>
      <c r="O807" s="5" t="s">
        <v>1080</v>
      </c>
      <c r="P807" s="5" t="s">
        <v>1080</v>
      </c>
      <c r="Q807" s="5" t="s">
        <v>1080</v>
      </c>
      <c r="X807" s="71">
        <f t="shared" si="5"/>
        <v>0</v>
      </c>
      <c r="Y807" s="5" t="b">
        <v>0</v>
      </c>
    </row>
    <row r="808">
      <c r="B808" s="5" t="str">
        <f t="array" ref="B808">XLOOKUP(A808, CURSOS!A:A, CURSOS!B:B)</f>
        <v>#N/A</v>
      </c>
      <c r="C808" s="75" t="str">
        <f t="array" ref="C808">XLOOKUP(A808, CURSOS!A:A, CURSOS!C:C)</f>
        <v>#N/A</v>
      </c>
      <c r="D808" s="70" t="e">
        <v>#N/A</v>
      </c>
      <c r="E808" s="48"/>
      <c r="F808" s="48" t="str">
        <f t="array" ref="F808">XLOOKUP($D808,REGOLITOS!$A:$A,REGOLITOS!F:F)</f>
        <v>#N/A</v>
      </c>
      <c r="G808" s="48" t="str">
        <f t="array" ref="G808">XLOOKUP($D808,REGOLITOS!$A:$A,REGOLITOS!G:G)</f>
        <v>#N/A</v>
      </c>
      <c r="H808" s="48" t="str">
        <f t="array" ref="H808">XLOOKUP($D808,REGOLITOS!$A:$A,REGOLITOS!H:H)</f>
        <v>#N/A</v>
      </c>
      <c r="I808" s="48" t="str">
        <f t="array" ref="I808">XLOOKUP($D808,REGOLITOS!$A:$A,REGOLITOS!I:I)</f>
        <v>#N/A</v>
      </c>
      <c r="J808" s="48" t="str">
        <f t="array" ref="J808">XLOOKUP($D808,REGOLITOS!$A:$A,REGOLITOS!J:J)</f>
        <v>#N/A</v>
      </c>
      <c r="K808" s="48" t="str">
        <f t="array" ref="K808">XLOOKUP($D808,REGOLITOS!$A:$A,REGOLITOS!K:K)</f>
        <v>#N/A</v>
      </c>
      <c r="L808" s="76"/>
      <c r="M808" s="5" t="s">
        <v>1080</v>
      </c>
      <c r="N808" s="5" t="s">
        <v>1080</v>
      </c>
      <c r="O808" s="5" t="s">
        <v>1080</v>
      </c>
      <c r="P808" s="5" t="s">
        <v>1080</v>
      </c>
      <c r="Q808" s="5" t="s">
        <v>1080</v>
      </c>
      <c r="X808" s="71">
        <f t="shared" si="5"/>
        <v>0</v>
      </c>
      <c r="Y808" s="5" t="b">
        <v>0</v>
      </c>
    </row>
    <row r="809">
      <c r="B809" s="5" t="str">
        <f t="array" ref="B809">XLOOKUP(A809, CURSOS!A:A, CURSOS!B:B)</f>
        <v>#N/A</v>
      </c>
      <c r="C809" s="75" t="str">
        <f t="array" ref="C809">XLOOKUP(A809, CURSOS!A:A, CURSOS!C:C)</f>
        <v>#N/A</v>
      </c>
      <c r="D809" s="70" t="e">
        <v>#N/A</v>
      </c>
      <c r="E809" s="48"/>
      <c r="F809" s="48" t="str">
        <f t="array" ref="F809">XLOOKUP($D809,REGOLITOS!$A:$A,REGOLITOS!F:F)</f>
        <v>#N/A</v>
      </c>
      <c r="G809" s="48" t="str">
        <f t="array" ref="G809">XLOOKUP($D809,REGOLITOS!$A:$A,REGOLITOS!G:G)</f>
        <v>#N/A</v>
      </c>
      <c r="H809" s="48" t="str">
        <f t="array" ref="H809">XLOOKUP($D809,REGOLITOS!$A:$A,REGOLITOS!H:H)</f>
        <v>#N/A</v>
      </c>
      <c r="I809" s="48" t="str">
        <f t="array" ref="I809">XLOOKUP($D809,REGOLITOS!$A:$A,REGOLITOS!I:I)</f>
        <v>#N/A</v>
      </c>
      <c r="J809" s="48" t="str">
        <f t="array" ref="J809">XLOOKUP($D809,REGOLITOS!$A:$A,REGOLITOS!J:J)</f>
        <v>#N/A</v>
      </c>
      <c r="K809" s="48" t="str">
        <f t="array" ref="K809">XLOOKUP($D809,REGOLITOS!$A:$A,REGOLITOS!K:K)</f>
        <v>#N/A</v>
      </c>
      <c r="L809" s="76"/>
      <c r="M809" s="5" t="s">
        <v>1080</v>
      </c>
      <c r="N809" s="5" t="s">
        <v>1080</v>
      </c>
      <c r="O809" s="5" t="s">
        <v>1080</v>
      </c>
      <c r="P809" s="5" t="s">
        <v>1080</v>
      </c>
      <c r="Q809" s="5" t="s">
        <v>1080</v>
      </c>
      <c r="X809" s="71">
        <f t="shared" si="5"/>
        <v>0</v>
      </c>
      <c r="Y809" s="5" t="b">
        <v>0</v>
      </c>
    </row>
    <row r="810">
      <c r="B810" s="5" t="str">
        <f t="array" ref="B810">XLOOKUP(A810, CURSOS!A:A, CURSOS!B:B)</f>
        <v>#N/A</v>
      </c>
      <c r="C810" s="75" t="str">
        <f t="array" ref="C810">XLOOKUP(A810, CURSOS!A:A, CURSOS!C:C)</f>
        <v>#N/A</v>
      </c>
      <c r="D810" s="70" t="e">
        <v>#N/A</v>
      </c>
      <c r="E810" s="48"/>
      <c r="F810" s="48" t="str">
        <f t="array" ref="F810">XLOOKUP($D810,REGOLITOS!$A:$A,REGOLITOS!F:F)</f>
        <v>#N/A</v>
      </c>
      <c r="G810" s="48" t="str">
        <f t="array" ref="G810">XLOOKUP($D810,REGOLITOS!$A:$A,REGOLITOS!G:G)</f>
        <v>#N/A</v>
      </c>
      <c r="H810" s="48" t="str">
        <f t="array" ref="H810">XLOOKUP($D810,REGOLITOS!$A:$A,REGOLITOS!H:H)</f>
        <v>#N/A</v>
      </c>
      <c r="I810" s="48" t="str">
        <f t="array" ref="I810">XLOOKUP($D810,REGOLITOS!$A:$A,REGOLITOS!I:I)</f>
        <v>#N/A</v>
      </c>
      <c r="J810" s="48" t="str">
        <f t="array" ref="J810">XLOOKUP($D810,REGOLITOS!$A:$A,REGOLITOS!J:J)</f>
        <v>#N/A</v>
      </c>
      <c r="K810" s="48" t="str">
        <f t="array" ref="K810">XLOOKUP($D810,REGOLITOS!$A:$A,REGOLITOS!K:K)</f>
        <v>#N/A</v>
      </c>
      <c r="L810" s="76"/>
      <c r="M810" s="5" t="s">
        <v>1080</v>
      </c>
      <c r="N810" s="5" t="s">
        <v>1080</v>
      </c>
      <c r="O810" s="5" t="s">
        <v>1080</v>
      </c>
      <c r="P810" s="5" t="s">
        <v>1080</v>
      </c>
      <c r="Q810" s="5" t="s">
        <v>1080</v>
      </c>
      <c r="X810" s="71">
        <f t="shared" si="5"/>
        <v>0</v>
      </c>
      <c r="Y810" s="5" t="b">
        <v>0</v>
      </c>
    </row>
    <row r="811">
      <c r="B811" s="5" t="str">
        <f t="array" ref="B811">XLOOKUP(A811, CURSOS!A:A, CURSOS!B:B)</f>
        <v>#N/A</v>
      </c>
      <c r="C811" s="75" t="str">
        <f t="array" ref="C811">XLOOKUP(A811, CURSOS!A:A, CURSOS!C:C)</f>
        <v>#N/A</v>
      </c>
      <c r="D811" s="70" t="e">
        <v>#N/A</v>
      </c>
      <c r="E811" s="48"/>
      <c r="F811" s="48" t="str">
        <f t="array" ref="F811">XLOOKUP($D811,REGOLITOS!$A:$A,REGOLITOS!F:F)</f>
        <v>#N/A</v>
      </c>
      <c r="G811" s="48" t="str">
        <f t="array" ref="G811">XLOOKUP($D811,REGOLITOS!$A:$A,REGOLITOS!G:G)</f>
        <v>#N/A</v>
      </c>
      <c r="H811" s="48" t="str">
        <f t="array" ref="H811">XLOOKUP($D811,REGOLITOS!$A:$A,REGOLITOS!H:H)</f>
        <v>#N/A</v>
      </c>
      <c r="I811" s="48" t="str">
        <f t="array" ref="I811">XLOOKUP($D811,REGOLITOS!$A:$A,REGOLITOS!I:I)</f>
        <v>#N/A</v>
      </c>
      <c r="J811" s="48" t="str">
        <f t="array" ref="J811">XLOOKUP($D811,REGOLITOS!$A:$A,REGOLITOS!J:J)</f>
        <v>#N/A</v>
      </c>
      <c r="K811" s="48" t="str">
        <f t="array" ref="K811">XLOOKUP($D811,REGOLITOS!$A:$A,REGOLITOS!K:K)</f>
        <v>#N/A</v>
      </c>
      <c r="L811" s="76"/>
      <c r="M811" s="5" t="s">
        <v>1080</v>
      </c>
      <c r="N811" s="5" t="s">
        <v>1080</v>
      </c>
      <c r="O811" s="5" t="s">
        <v>1080</v>
      </c>
      <c r="P811" s="5" t="s">
        <v>1080</v>
      </c>
      <c r="Q811" s="5" t="s">
        <v>1080</v>
      </c>
      <c r="X811" s="71">
        <f t="shared" si="5"/>
        <v>0</v>
      </c>
      <c r="Y811" s="5" t="b">
        <v>0</v>
      </c>
    </row>
    <row r="812">
      <c r="B812" s="5" t="str">
        <f t="array" ref="B812">XLOOKUP(A812, CURSOS!A:A, CURSOS!B:B)</f>
        <v>#N/A</v>
      </c>
      <c r="C812" s="75" t="str">
        <f t="array" ref="C812">XLOOKUP(A812, CURSOS!A:A, CURSOS!C:C)</f>
        <v>#N/A</v>
      </c>
      <c r="D812" s="70" t="e">
        <v>#N/A</v>
      </c>
      <c r="E812" s="48"/>
      <c r="F812" s="48" t="str">
        <f t="array" ref="F812">XLOOKUP($D812,REGOLITOS!$A:$A,REGOLITOS!F:F)</f>
        <v>#N/A</v>
      </c>
      <c r="G812" s="48" t="str">
        <f t="array" ref="G812">XLOOKUP($D812,REGOLITOS!$A:$A,REGOLITOS!G:G)</f>
        <v>#N/A</v>
      </c>
      <c r="H812" s="48" t="str">
        <f t="array" ref="H812">XLOOKUP($D812,REGOLITOS!$A:$A,REGOLITOS!H:H)</f>
        <v>#N/A</v>
      </c>
      <c r="I812" s="48" t="str">
        <f t="array" ref="I812">XLOOKUP($D812,REGOLITOS!$A:$A,REGOLITOS!I:I)</f>
        <v>#N/A</v>
      </c>
      <c r="J812" s="48" t="str">
        <f t="array" ref="J812">XLOOKUP($D812,REGOLITOS!$A:$A,REGOLITOS!J:J)</f>
        <v>#N/A</v>
      </c>
      <c r="K812" s="48" t="str">
        <f t="array" ref="K812">XLOOKUP($D812,REGOLITOS!$A:$A,REGOLITOS!K:K)</f>
        <v>#N/A</v>
      </c>
      <c r="L812" s="76"/>
      <c r="M812" s="5" t="s">
        <v>1080</v>
      </c>
      <c r="N812" s="5" t="s">
        <v>1080</v>
      </c>
      <c r="O812" s="5" t="s">
        <v>1080</v>
      </c>
      <c r="P812" s="5" t="s">
        <v>1080</v>
      </c>
      <c r="Q812" s="5" t="s">
        <v>1080</v>
      </c>
      <c r="X812" s="71">
        <f t="shared" si="5"/>
        <v>0</v>
      </c>
      <c r="Y812" s="5" t="b">
        <v>0</v>
      </c>
    </row>
    <row r="813">
      <c r="B813" s="5" t="str">
        <f t="array" ref="B813">XLOOKUP(A813, CURSOS!A:A, CURSOS!B:B)</f>
        <v>#N/A</v>
      </c>
      <c r="C813" s="75" t="str">
        <f t="array" ref="C813">XLOOKUP(A813, CURSOS!A:A, CURSOS!C:C)</f>
        <v>#N/A</v>
      </c>
      <c r="D813" s="70" t="e">
        <v>#N/A</v>
      </c>
      <c r="E813" s="48"/>
      <c r="F813" s="48" t="str">
        <f t="array" ref="F813">XLOOKUP($D813,REGOLITOS!$A:$A,REGOLITOS!F:F)</f>
        <v>#N/A</v>
      </c>
      <c r="G813" s="48" t="str">
        <f t="array" ref="G813">XLOOKUP($D813,REGOLITOS!$A:$A,REGOLITOS!G:G)</f>
        <v>#N/A</v>
      </c>
      <c r="H813" s="48" t="str">
        <f t="array" ref="H813">XLOOKUP($D813,REGOLITOS!$A:$A,REGOLITOS!H:H)</f>
        <v>#N/A</v>
      </c>
      <c r="I813" s="48" t="str">
        <f t="array" ref="I813">XLOOKUP($D813,REGOLITOS!$A:$A,REGOLITOS!I:I)</f>
        <v>#N/A</v>
      </c>
      <c r="J813" s="48" t="str">
        <f t="array" ref="J813">XLOOKUP($D813,REGOLITOS!$A:$A,REGOLITOS!J:J)</f>
        <v>#N/A</v>
      </c>
      <c r="K813" s="48" t="str">
        <f t="array" ref="K813">XLOOKUP($D813,REGOLITOS!$A:$A,REGOLITOS!K:K)</f>
        <v>#N/A</v>
      </c>
      <c r="L813" s="76"/>
      <c r="M813" s="5" t="s">
        <v>1080</v>
      </c>
      <c r="N813" s="5" t="s">
        <v>1080</v>
      </c>
      <c r="O813" s="5" t="s">
        <v>1080</v>
      </c>
      <c r="P813" s="5" t="s">
        <v>1080</v>
      </c>
      <c r="Q813" s="5" t="s">
        <v>1080</v>
      </c>
      <c r="X813" s="71">
        <f t="shared" si="5"/>
        <v>0</v>
      </c>
      <c r="Y813" s="5" t="b">
        <v>0</v>
      </c>
    </row>
    <row r="814">
      <c r="B814" s="5" t="str">
        <f t="array" ref="B814">XLOOKUP(A814, CURSOS!A:A, CURSOS!B:B)</f>
        <v>#N/A</v>
      </c>
      <c r="C814" s="75" t="str">
        <f t="array" ref="C814">XLOOKUP(A814, CURSOS!A:A, CURSOS!C:C)</f>
        <v>#N/A</v>
      </c>
      <c r="D814" s="70" t="e">
        <v>#N/A</v>
      </c>
      <c r="E814" s="48"/>
      <c r="F814" s="48" t="str">
        <f t="array" ref="F814">XLOOKUP($D814,REGOLITOS!$A:$A,REGOLITOS!F:F)</f>
        <v>#N/A</v>
      </c>
      <c r="G814" s="48" t="str">
        <f t="array" ref="G814">XLOOKUP($D814,REGOLITOS!$A:$A,REGOLITOS!G:G)</f>
        <v>#N/A</v>
      </c>
      <c r="H814" s="48" t="str">
        <f t="array" ref="H814">XLOOKUP($D814,REGOLITOS!$A:$A,REGOLITOS!H:H)</f>
        <v>#N/A</v>
      </c>
      <c r="I814" s="48" t="str">
        <f t="array" ref="I814">XLOOKUP($D814,REGOLITOS!$A:$A,REGOLITOS!I:I)</f>
        <v>#N/A</v>
      </c>
      <c r="J814" s="48" t="str">
        <f t="array" ref="J814">XLOOKUP($D814,REGOLITOS!$A:$A,REGOLITOS!J:J)</f>
        <v>#N/A</v>
      </c>
      <c r="K814" s="48" t="str">
        <f t="array" ref="K814">XLOOKUP($D814,REGOLITOS!$A:$A,REGOLITOS!K:K)</f>
        <v>#N/A</v>
      </c>
      <c r="L814" s="76"/>
      <c r="M814" s="5" t="s">
        <v>1080</v>
      </c>
      <c r="N814" s="5" t="s">
        <v>1080</v>
      </c>
      <c r="O814" s="5" t="s">
        <v>1080</v>
      </c>
      <c r="P814" s="5" t="s">
        <v>1080</v>
      </c>
      <c r="Q814" s="5" t="s">
        <v>1080</v>
      </c>
      <c r="X814" s="71">
        <f t="shared" si="5"/>
        <v>0</v>
      </c>
      <c r="Y814" s="5" t="b">
        <v>0</v>
      </c>
    </row>
    <row r="815">
      <c r="B815" s="5" t="str">
        <f t="array" ref="B815">XLOOKUP(A815, CURSOS!A:A, CURSOS!B:B)</f>
        <v>#N/A</v>
      </c>
      <c r="C815" s="75" t="str">
        <f t="array" ref="C815">XLOOKUP(A815, CURSOS!A:A, CURSOS!C:C)</f>
        <v>#N/A</v>
      </c>
      <c r="D815" s="70" t="e">
        <v>#N/A</v>
      </c>
      <c r="E815" s="48"/>
      <c r="F815" s="48" t="str">
        <f t="array" ref="F815">XLOOKUP($D815,REGOLITOS!$A:$A,REGOLITOS!F:F)</f>
        <v>#N/A</v>
      </c>
      <c r="G815" s="48" t="str">
        <f t="array" ref="G815">XLOOKUP($D815,REGOLITOS!$A:$A,REGOLITOS!G:G)</f>
        <v>#N/A</v>
      </c>
      <c r="H815" s="48" t="str">
        <f t="array" ref="H815">XLOOKUP($D815,REGOLITOS!$A:$A,REGOLITOS!H:H)</f>
        <v>#N/A</v>
      </c>
      <c r="I815" s="48" t="str">
        <f t="array" ref="I815">XLOOKUP($D815,REGOLITOS!$A:$A,REGOLITOS!I:I)</f>
        <v>#N/A</v>
      </c>
      <c r="J815" s="48" t="str">
        <f t="array" ref="J815">XLOOKUP($D815,REGOLITOS!$A:$A,REGOLITOS!J:J)</f>
        <v>#N/A</v>
      </c>
      <c r="K815" s="48" t="str">
        <f t="array" ref="K815">XLOOKUP($D815,REGOLITOS!$A:$A,REGOLITOS!K:K)</f>
        <v>#N/A</v>
      </c>
      <c r="L815" s="76"/>
      <c r="M815" s="5" t="s">
        <v>1080</v>
      </c>
      <c r="N815" s="5" t="s">
        <v>1080</v>
      </c>
      <c r="O815" s="5" t="s">
        <v>1080</v>
      </c>
      <c r="P815" s="5" t="s">
        <v>1080</v>
      </c>
      <c r="Q815" s="5" t="s">
        <v>1080</v>
      </c>
      <c r="X815" s="71">
        <f t="shared" si="5"/>
        <v>0</v>
      </c>
      <c r="Y815" s="5" t="b">
        <v>0</v>
      </c>
    </row>
    <row r="816">
      <c r="B816" s="5" t="str">
        <f t="array" ref="B816">XLOOKUP(A816, CURSOS!A:A, CURSOS!B:B)</f>
        <v>#N/A</v>
      </c>
      <c r="C816" s="75" t="str">
        <f t="array" ref="C816">XLOOKUP(A816, CURSOS!A:A, CURSOS!C:C)</f>
        <v>#N/A</v>
      </c>
      <c r="D816" s="70" t="e">
        <v>#N/A</v>
      </c>
      <c r="E816" s="48"/>
      <c r="F816" s="48" t="str">
        <f t="array" ref="F816">XLOOKUP($D816,REGOLITOS!$A:$A,REGOLITOS!F:F)</f>
        <v>#N/A</v>
      </c>
      <c r="G816" s="48" t="str">
        <f t="array" ref="G816">XLOOKUP($D816,REGOLITOS!$A:$A,REGOLITOS!G:G)</f>
        <v>#N/A</v>
      </c>
      <c r="H816" s="48" t="str">
        <f t="array" ref="H816">XLOOKUP($D816,REGOLITOS!$A:$A,REGOLITOS!H:H)</f>
        <v>#N/A</v>
      </c>
      <c r="I816" s="48" t="str">
        <f t="array" ref="I816">XLOOKUP($D816,REGOLITOS!$A:$A,REGOLITOS!I:I)</f>
        <v>#N/A</v>
      </c>
      <c r="J816" s="48" t="str">
        <f t="array" ref="J816">XLOOKUP($D816,REGOLITOS!$A:$A,REGOLITOS!J:J)</f>
        <v>#N/A</v>
      </c>
      <c r="K816" s="48" t="str">
        <f t="array" ref="K816">XLOOKUP($D816,REGOLITOS!$A:$A,REGOLITOS!K:K)</f>
        <v>#N/A</v>
      </c>
      <c r="L816" s="76"/>
      <c r="M816" s="5" t="s">
        <v>1080</v>
      </c>
      <c r="N816" s="5" t="s">
        <v>1080</v>
      </c>
      <c r="O816" s="5" t="s">
        <v>1080</v>
      </c>
      <c r="P816" s="5" t="s">
        <v>1080</v>
      </c>
      <c r="Q816" s="5" t="s">
        <v>1080</v>
      </c>
      <c r="X816" s="71">
        <f t="shared" si="5"/>
        <v>0</v>
      </c>
      <c r="Y816" s="5" t="b">
        <v>0</v>
      </c>
    </row>
    <row r="817">
      <c r="B817" s="5" t="str">
        <f t="array" ref="B817">XLOOKUP(A817, CURSOS!A:A, CURSOS!B:B)</f>
        <v>#N/A</v>
      </c>
      <c r="C817" s="75" t="str">
        <f t="array" ref="C817">XLOOKUP(A817, CURSOS!A:A, CURSOS!C:C)</f>
        <v>#N/A</v>
      </c>
      <c r="D817" s="70" t="e">
        <v>#N/A</v>
      </c>
      <c r="E817" s="48"/>
      <c r="F817" s="48" t="str">
        <f t="array" ref="F817">XLOOKUP($D817,REGOLITOS!$A:$A,REGOLITOS!F:F)</f>
        <v>#N/A</v>
      </c>
      <c r="G817" s="48" t="str">
        <f t="array" ref="G817">XLOOKUP($D817,REGOLITOS!$A:$A,REGOLITOS!G:G)</f>
        <v>#N/A</v>
      </c>
      <c r="H817" s="48" t="str">
        <f t="array" ref="H817">XLOOKUP($D817,REGOLITOS!$A:$A,REGOLITOS!H:H)</f>
        <v>#N/A</v>
      </c>
      <c r="I817" s="48" t="str">
        <f t="array" ref="I817">XLOOKUP($D817,REGOLITOS!$A:$A,REGOLITOS!I:I)</f>
        <v>#N/A</v>
      </c>
      <c r="J817" s="48" t="str">
        <f t="array" ref="J817">XLOOKUP($D817,REGOLITOS!$A:$A,REGOLITOS!J:J)</f>
        <v>#N/A</v>
      </c>
      <c r="K817" s="48" t="str">
        <f t="array" ref="K817">XLOOKUP($D817,REGOLITOS!$A:$A,REGOLITOS!K:K)</f>
        <v>#N/A</v>
      </c>
      <c r="L817" s="76"/>
      <c r="M817" s="5" t="s">
        <v>1080</v>
      </c>
      <c r="N817" s="5" t="s">
        <v>1080</v>
      </c>
      <c r="O817" s="5" t="s">
        <v>1080</v>
      </c>
      <c r="P817" s="5" t="s">
        <v>1080</v>
      </c>
      <c r="Q817" s="5" t="s">
        <v>1080</v>
      </c>
      <c r="X817" s="71">
        <f t="shared" si="5"/>
        <v>0</v>
      </c>
      <c r="Y817" s="5" t="b">
        <v>0</v>
      </c>
    </row>
    <row r="818">
      <c r="B818" s="5" t="str">
        <f t="array" ref="B818">XLOOKUP(A818, CURSOS!A:A, CURSOS!B:B)</f>
        <v>#N/A</v>
      </c>
      <c r="C818" s="75" t="str">
        <f t="array" ref="C818">XLOOKUP(A818, CURSOS!A:A, CURSOS!C:C)</f>
        <v>#N/A</v>
      </c>
      <c r="D818" s="70" t="e">
        <v>#N/A</v>
      </c>
      <c r="E818" s="48"/>
      <c r="F818" s="48" t="str">
        <f t="array" ref="F818">XLOOKUP($D818,REGOLITOS!$A:$A,REGOLITOS!F:F)</f>
        <v>#N/A</v>
      </c>
      <c r="G818" s="48" t="str">
        <f t="array" ref="G818">XLOOKUP($D818,REGOLITOS!$A:$A,REGOLITOS!G:G)</f>
        <v>#N/A</v>
      </c>
      <c r="H818" s="48" t="str">
        <f t="array" ref="H818">XLOOKUP($D818,REGOLITOS!$A:$A,REGOLITOS!H:H)</f>
        <v>#N/A</v>
      </c>
      <c r="I818" s="48" t="str">
        <f t="array" ref="I818">XLOOKUP($D818,REGOLITOS!$A:$A,REGOLITOS!I:I)</f>
        <v>#N/A</v>
      </c>
      <c r="J818" s="48" t="str">
        <f t="array" ref="J818">XLOOKUP($D818,REGOLITOS!$A:$A,REGOLITOS!J:J)</f>
        <v>#N/A</v>
      </c>
      <c r="K818" s="48" t="str">
        <f t="array" ref="K818">XLOOKUP($D818,REGOLITOS!$A:$A,REGOLITOS!K:K)</f>
        <v>#N/A</v>
      </c>
      <c r="L818" s="76"/>
      <c r="M818" s="5" t="s">
        <v>1080</v>
      </c>
      <c r="N818" s="5" t="s">
        <v>1080</v>
      </c>
      <c r="O818" s="5" t="s">
        <v>1080</v>
      </c>
      <c r="P818" s="5" t="s">
        <v>1080</v>
      </c>
      <c r="Q818" s="5" t="s">
        <v>1080</v>
      </c>
      <c r="X818" s="71">
        <f t="shared" si="5"/>
        <v>0</v>
      </c>
      <c r="Y818" s="5" t="b">
        <v>0</v>
      </c>
    </row>
    <row r="819">
      <c r="B819" s="5" t="str">
        <f t="array" ref="B819">XLOOKUP(A819, CURSOS!A:A, CURSOS!B:B)</f>
        <v>#N/A</v>
      </c>
      <c r="C819" s="75" t="str">
        <f t="array" ref="C819">XLOOKUP(A819, CURSOS!A:A, CURSOS!C:C)</f>
        <v>#N/A</v>
      </c>
      <c r="D819" s="70" t="e">
        <v>#N/A</v>
      </c>
      <c r="E819" s="48"/>
      <c r="F819" s="48" t="str">
        <f t="array" ref="F819">XLOOKUP($D819,REGOLITOS!$A:$A,REGOLITOS!F:F)</f>
        <v>#N/A</v>
      </c>
      <c r="G819" s="48" t="str">
        <f t="array" ref="G819">XLOOKUP($D819,REGOLITOS!$A:$A,REGOLITOS!G:G)</f>
        <v>#N/A</v>
      </c>
      <c r="H819" s="48" t="str">
        <f t="array" ref="H819">XLOOKUP($D819,REGOLITOS!$A:$A,REGOLITOS!H:H)</f>
        <v>#N/A</v>
      </c>
      <c r="I819" s="48" t="str">
        <f t="array" ref="I819">XLOOKUP($D819,REGOLITOS!$A:$A,REGOLITOS!I:I)</f>
        <v>#N/A</v>
      </c>
      <c r="J819" s="48" t="str">
        <f t="array" ref="J819">XLOOKUP($D819,REGOLITOS!$A:$A,REGOLITOS!J:J)</f>
        <v>#N/A</v>
      </c>
      <c r="K819" s="48" t="str">
        <f t="array" ref="K819">XLOOKUP($D819,REGOLITOS!$A:$A,REGOLITOS!K:K)</f>
        <v>#N/A</v>
      </c>
      <c r="L819" s="76"/>
      <c r="M819" s="5" t="s">
        <v>1080</v>
      </c>
      <c r="N819" s="5" t="s">
        <v>1080</v>
      </c>
      <c r="O819" s="5" t="s">
        <v>1080</v>
      </c>
      <c r="P819" s="5" t="s">
        <v>1080</v>
      </c>
      <c r="Q819" s="5" t="s">
        <v>1080</v>
      </c>
      <c r="X819" s="71">
        <f t="shared" si="5"/>
        <v>0</v>
      </c>
      <c r="Y819" s="5" t="b">
        <v>0</v>
      </c>
    </row>
    <row r="820">
      <c r="B820" s="5" t="str">
        <f t="array" ref="B820">XLOOKUP(A820, CURSOS!A:A, CURSOS!B:B)</f>
        <v>#N/A</v>
      </c>
      <c r="C820" s="75" t="str">
        <f t="array" ref="C820">XLOOKUP(A820, CURSOS!A:A, CURSOS!C:C)</f>
        <v>#N/A</v>
      </c>
      <c r="D820" s="70" t="e">
        <v>#N/A</v>
      </c>
      <c r="E820" s="48"/>
      <c r="F820" s="48" t="str">
        <f t="array" ref="F820">XLOOKUP($D820,REGOLITOS!$A:$A,REGOLITOS!F:F)</f>
        <v>#N/A</v>
      </c>
      <c r="G820" s="48" t="str">
        <f t="array" ref="G820">XLOOKUP($D820,REGOLITOS!$A:$A,REGOLITOS!G:G)</f>
        <v>#N/A</v>
      </c>
      <c r="H820" s="48" t="str">
        <f t="array" ref="H820">XLOOKUP($D820,REGOLITOS!$A:$A,REGOLITOS!H:H)</f>
        <v>#N/A</v>
      </c>
      <c r="I820" s="48" t="str">
        <f t="array" ref="I820">XLOOKUP($D820,REGOLITOS!$A:$A,REGOLITOS!I:I)</f>
        <v>#N/A</v>
      </c>
      <c r="J820" s="48" t="str">
        <f t="array" ref="J820">XLOOKUP($D820,REGOLITOS!$A:$A,REGOLITOS!J:J)</f>
        <v>#N/A</v>
      </c>
      <c r="K820" s="48" t="str">
        <f t="array" ref="K820">XLOOKUP($D820,REGOLITOS!$A:$A,REGOLITOS!K:K)</f>
        <v>#N/A</v>
      </c>
      <c r="L820" s="76"/>
      <c r="M820" s="5" t="s">
        <v>1080</v>
      </c>
      <c r="N820" s="5" t="s">
        <v>1080</v>
      </c>
      <c r="O820" s="5" t="s">
        <v>1080</v>
      </c>
      <c r="P820" s="5" t="s">
        <v>1080</v>
      </c>
      <c r="Q820" s="5" t="s">
        <v>1080</v>
      </c>
      <c r="X820" s="71">
        <f t="shared" si="5"/>
        <v>0</v>
      </c>
      <c r="Y820" s="5" t="b">
        <v>0</v>
      </c>
    </row>
    <row r="821">
      <c r="B821" s="5" t="str">
        <f t="array" ref="B821">XLOOKUP(A821, CURSOS!A:A, CURSOS!B:B)</f>
        <v>#N/A</v>
      </c>
      <c r="C821" s="75" t="str">
        <f t="array" ref="C821">XLOOKUP(A821, CURSOS!A:A, CURSOS!C:C)</f>
        <v>#N/A</v>
      </c>
      <c r="D821" s="70" t="e">
        <v>#N/A</v>
      </c>
      <c r="E821" s="48"/>
      <c r="F821" s="48" t="str">
        <f t="array" ref="F821">XLOOKUP($D821,REGOLITOS!$A:$A,REGOLITOS!F:F)</f>
        <v>#N/A</v>
      </c>
      <c r="G821" s="48" t="str">
        <f t="array" ref="G821">XLOOKUP($D821,REGOLITOS!$A:$A,REGOLITOS!G:G)</f>
        <v>#N/A</v>
      </c>
      <c r="H821" s="48" t="str">
        <f t="array" ref="H821">XLOOKUP($D821,REGOLITOS!$A:$A,REGOLITOS!H:H)</f>
        <v>#N/A</v>
      </c>
      <c r="I821" s="48" t="str">
        <f t="array" ref="I821">XLOOKUP($D821,REGOLITOS!$A:$A,REGOLITOS!I:I)</f>
        <v>#N/A</v>
      </c>
      <c r="J821" s="48" t="str">
        <f t="array" ref="J821">XLOOKUP($D821,REGOLITOS!$A:$A,REGOLITOS!J:J)</f>
        <v>#N/A</v>
      </c>
      <c r="K821" s="48" t="str">
        <f t="array" ref="K821">XLOOKUP($D821,REGOLITOS!$A:$A,REGOLITOS!K:K)</f>
        <v>#N/A</v>
      </c>
      <c r="L821" s="76"/>
      <c r="M821" s="5" t="s">
        <v>1080</v>
      </c>
      <c r="N821" s="5" t="s">
        <v>1080</v>
      </c>
      <c r="O821" s="5" t="s">
        <v>1080</v>
      </c>
      <c r="P821" s="5" t="s">
        <v>1080</v>
      </c>
      <c r="Q821" s="5" t="s">
        <v>1080</v>
      </c>
      <c r="X821" s="71">
        <f t="shared" si="5"/>
        <v>0</v>
      </c>
      <c r="Y821" s="5" t="b">
        <v>0</v>
      </c>
    </row>
    <row r="822">
      <c r="B822" s="5" t="str">
        <f t="array" ref="B822">XLOOKUP(A822, CURSOS!A:A, CURSOS!B:B)</f>
        <v>#N/A</v>
      </c>
      <c r="C822" s="75" t="str">
        <f t="array" ref="C822">XLOOKUP(A822, CURSOS!A:A, CURSOS!C:C)</f>
        <v>#N/A</v>
      </c>
      <c r="D822" s="70" t="e">
        <v>#N/A</v>
      </c>
      <c r="E822" s="48"/>
      <c r="F822" s="48" t="str">
        <f t="array" ref="F822">XLOOKUP($D822,REGOLITOS!$A:$A,REGOLITOS!F:F)</f>
        <v>#N/A</v>
      </c>
      <c r="G822" s="48" t="str">
        <f t="array" ref="G822">XLOOKUP($D822,REGOLITOS!$A:$A,REGOLITOS!G:G)</f>
        <v>#N/A</v>
      </c>
      <c r="H822" s="48" t="str">
        <f t="array" ref="H822">XLOOKUP($D822,REGOLITOS!$A:$A,REGOLITOS!H:H)</f>
        <v>#N/A</v>
      </c>
      <c r="I822" s="48" t="str">
        <f t="array" ref="I822">XLOOKUP($D822,REGOLITOS!$A:$A,REGOLITOS!I:I)</f>
        <v>#N/A</v>
      </c>
      <c r="J822" s="48" t="str">
        <f t="array" ref="J822">XLOOKUP($D822,REGOLITOS!$A:$A,REGOLITOS!J:J)</f>
        <v>#N/A</v>
      </c>
      <c r="K822" s="48" t="str">
        <f t="array" ref="K822">XLOOKUP($D822,REGOLITOS!$A:$A,REGOLITOS!K:K)</f>
        <v>#N/A</v>
      </c>
      <c r="L822" s="76"/>
      <c r="M822" s="5" t="s">
        <v>1080</v>
      </c>
      <c r="N822" s="5" t="s">
        <v>1080</v>
      </c>
      <c r="O822" s="5" t="s">
        <v>1080</v>
      </c>
      <c r="P822" s="5" t="s">
        <v>1080</v>
      </c>
      <c r="Q822" s="5" t="s">
        <v>1080</v>
      </c>
      <c r="X822" s="71">
        <f t="shared" si="5"/>
        <v>0</v>
      </c>
      <c r="Y822" s="5" t="b">
        <v>0</v>
      </c>
    </row>
    <row r="823">
      <c r="B823" s="5" t="str">
        <f t="array" ref="B823">XLOOKUP(A823, CURSOS!A:A, CURSOS!B:B)</f>
        <v>#N/A</v>
      </c>
      <c r="C823" s="75" t="str">
        <f t="array" ref="C823">XLOOKUP(A823, CURSOS!A:A, CURSOS!C:C)</f>
        <v>#N/A</v>
      </c>
      <c r="D823" s="70" t="e">
        <v>#N/A</v>
      </c>
      <c r="E823" s="48"/>
      <c r="F823" s="48" t="str">
        <f t="array" ref="F823">XLOOKUP($D823,REGOLITOS!$A:$A,REGOLITOS!F:F)</f>
        <v>#N/A</v>
      </c>
      <c r="G823" s="48" t="str">
        <f t="array" ref="G823">XLOOKUP($D823,REGOLITOS!$A:$A,REGOLITOS!G:G)</f>
        <v>#N/A</v>
      </c>
      <c r="H823" s="48" t="str">
        <f t="array" ref="H823">XLOOKUP($D823,REGOLITOS!$A:$A,REGOLITOS!H:H)</f>
        <v>#N/A</v>
      </c>
      <c r="I823" s="48" t="str">
        <f t="array" ref="I823">XLOOKUP($D823,REGOLITOS!$A:$A,REGOLITOS!I:I)</f>
        <v>#N/A</v>
      </c>
      <c r="J823" s="48" t="str">
        <f t="array" ref="J823">XLOOKUP($D823,REGOLITOS!$A:$A,REGOLITOS!J:J)</f>
        <v>#N/A</v>
      </c>
      <c r="K823" s="48" t="str">
        <f t="array" ref="K823">XLOOKUP($D823,REGOLITOS!$A:$A,REGOLITOS!K:K)</f>
        <v>#N/A</v>
      </c>
      <c r="L823" s="76"/>
      <c r="M823" s="5" t="s">
        <v>1080</v>
      </c>
      <c r="N823" s="5" t="s">
        <v>1080</v>
      </c>
      <c r="O823" s="5" t="s">
        <v>1080</v>
      </c>
      <c r="P823" s="5" t="s">
        <v>1080</v>
      </c>
      <c r="Q823" s="5" t="s">
        <v>1080</v>
      </c>
      <c r="X823" s="71">
        <f t="shared" si="5"/>
        <v>0</v>
      </c>
      <c r="Y823" s="5" t="b">
        <v>0</v>
      </c>
    </row>
    <row r="824">
      <c r="B824" s="5" t="str">
        <f t="array" ref="B824">XLOOKUP(A824, CURSOS!A:A, CURSOS!B:B)</f>
        <v>#N/A</v>
      </c>
      <c r="C824" s="75" t="str">
        <f t="array" ref="C824">XLOOKUP(A824, CURSOS!A:A, CURSOS!C:C)</f>
        <v>#N/A</v>
      </c>
      <c r="D824" s="70" t="e">
        <v>#N/A</v>
      </c>
      <c r="E824" s="48"/>
      <c r="F824" s="48" t="str">
        <f t="array" ref="F824">XLOOKUP($D824,REGOLITOS!$A:$A,REGOLITOS!F:F)</f>
        <v>#N/A</v>
      </c>
      <c r="G824" s="48" t="str">
        <f t="array" ref="G824">XLOOKUP($D824,REGOLITOS!$A:$A,REGOLITOS!G:G)</f>
        <v>#N/A</v>
      </c>
      <c r="H824" s="48" t="str">
        <f t="array" ref="H824">XLOOKUP($D824,REGOLITOS!$A:$A,REGOLITOS!H:H)</f>
        <v>#N/A</v>
      </c>
      <c r="I824" s="48" t="str">
        <f t="array" ref="I824">XLOOKUP($D824,REGOLITOS!$A:$A,REGOLITOS!I:I)</f>
        <v>#N/A</v>
      </c>
      <c r="J824" s="48" t="str">
        <f t="array" ref="J824">XLOOKUP($D824,REGOLITOS!$A:$A,REGOLITOS!J:J)</f>
        <v>#N/A</v>
      </c>
      <c r="K824" s="48" t="str">
        <f t="array" ref="K824">XLOOKUP($D824,REGOLITOS!$A:$A,REGOLITOS!K:K)</f>
        <v>#N/A</v>
      </c>
      <c r="L824" s="76"/>
      <c r="M824" s="5" t="s">
        <v>1080</v>
      </c>
      <c r="N824" s="5" t="s">
        <v>1080</v>
      </c>
      <c r="O824" s="5" t="s">
        <v>1080</v>
      </c>
      <c r="P824" s="5" t="s">
        <v>1080</v>
      </c>
      <c r="Q824" s="5" t="s">
        <v>1080</v>
      </c>
      <c r="X824" s="71">
        <f t="shared" si="5"/>
        <v>0</v>
      </c>
      <c r="Y824" s="5" t="b">
        <v>0</v>
      </c>
    </row>
    <row r="825">
      <c r="B825" s="5" t="str">
        <f t="array" ref="B825">XLOOKUP(A825, CURSOS!A:A, CURSOS!B:B)</f>
        <v>#N/A</v>
      </c>
      <c r="C825" s="75" t="str">
        <f t="array" ref="C825">XLOOKUP(A825, CURSOS!A:A, CURSOS!C:C)</f>
        <v>#N/A</v>
      </c>
      <c r="D825" s="70" t="e">
        <v>#N/A</v>
      </c>
      <c r="E825" s="48"/>
      <c r="F825" s="48" t="str">
        <f t="array" ref="F825">XLOOKUP($D825,REGOLITOS!$A:$A,REGOLITOS!F:F)</f>
        <v>#N/A</v>
      </c>
      <c r="G825" s="48" t="str">
        <f t="array" ref="G825">XLOOKUP($D825,REGOLITOS!$A:$A,REGOLITOS!G:G)</f>
        <v>#N/A</v>
      </c>
      <c r="H825" s="48" t="str">
        <f t="array" ref="H825">XLOOKUP($D825,REGOLITOS!$A:$A,REGOLITOS!H:H)</f>
        <v>#N/A</v>
      </c>
      <c r="I825" s="48" t="str">
        <f t="array" ref="I825">XLOOKUP($D825,REGOLITOS!$A:$A,REGOLITOS!I:I)</f>
        <v>#N/A</v>
      </c>
      <c r="J825" s="48" t="str">
        <f t="array" ref="J825">XLOOKUP($D825,REGOLITOS!$A:$A,REGOLITOS!J:J)</f>
        <v>#N/A</v>
      </c>
      <c r="K825" s="48" t="str">
        <f t="array" ref="K825">XLOOKUP($D825,REGOLITOS!$A:$A,REGOLITOS!K:K)</f>
        <v>#N/A</v>
      </c>
      <c r="L825" s="76"/>
      <c r="M825" s="5" t="s">
        <v>1080</v>
      </c>
      <c r="N825" s="5" t="s">
        <v>1080</v>
      </c>
      <c r="O825" s="5" t="s">
        <v>1080</v>
      </c>
      <c r="P825" s="5" t="s">
        <v>1080</v>
      </c>
      <c r="Q825" s="5" t="s">
        <v>1080</v>
      </c>
      <c r="X825" s="71">
        <f t="shared" si="5"/>
        <v>0</v>
      </c>
      <c r="Y825" s="5" t="b">
        <v>0</v>
      </c>
    </row>
    <row r="826">
      <c r="B826" s="5" t="str">
        <f t="array" ref="B826">XLOOKUP(A826, CURSOS!A:A, CURSOS!B:B)</f>
        <v>#N/A</v>
      </c>
      <c r="C826" s="75" t="str">
        <f t="array" ref="C826">XLOOKUP(A826, CURSOS!A:A, CURSOS!C:C)</f>
        <v>#N/A</v>
      </c>
      <c r="D826" s="70" t="e">
        <v>#N/A</v>
      </c>
      <c r="E826" s="48"/>
      <c r="F826" s="48" t="str">
        <f t="array" ref="F826">XLOOKUP($D826,REGOLITOS!$A:$A,REGOLITOS!F:F)</f>
        <v>#N/A</v>
      </c>
      <c r="G826" s="48" t="str">
        <f t="array" ref="G826">XLOOKUP($D826,REGOLITOS!$A:$A,REGOLITOS!G:G)</f>
        <v>#N/A</v>
      </c>
      <c r="H826" s="48" t="str">
        <f t="array" ref="H826">XLOOKUP($D826,REGOLITOS!$A:$A,REGOLITOS!H:H)</f>
        <v>#N/A</v>
      </c>
      <c r="I826" s="48" t="str">
        <f t="array" ref="I826">XLOOKUP($D826,REGOLITOS!$A:$A,REGOLITOS!I:I)</f>
        <v>#N/A</v>
      </c>
      <c r="J826" s="48" t="str">
        <f t="array" ref="J826">XLOOKUP($D826,REGOLITOS!$A:$A,REGOLITOS!J:J)</f>
        <v>#N/A</v>
      </c>
      <c r="K826" s="48" t="str">
        <f t="array" ref="K826">XLOOKUP($D826,REGOLITOS!$A:$A,REGOLITOS!K:K)</f>
        <v>#N/A</v>
      </c>
      <c r="L826" s="76"/>
      <c r="M826" s="5" t="s">
        <v>1080</v>
      </c>
      <c r="N826" s="5" t="s">
        <v>1080</v>
      </c>
      <c r="O826" s="5" t="s">
        <v>1080</v>
      </c>
      <c r="P826" s="5" t="s">
        <v>1080</v>
      </c>
      <c r="Q826" s="5" t="s">
        <v>1080</v>
      </c>
      <c r="X826" s="71">
        <f t="shared" si="5"/>
        <v>0</v>
      </c>
      <c r="Y826" s="5" t="b">
        <v>0</v>
      </c>
    </row>
    <row r="827">
      <c r="B827" s="5" t="str">
        <f t="array" ref="B827">XLOOKUP(A827, CURSOS!A:A, CURSOS!B:B)</f>
        <v>#N/A</v>
      </c>
      <c r="C827" s="75" t="str">
        <f t="array" ref="C827">XLOOKUP(A827, CURSOS!A:A, CURSOS!C:C)</f>
        <v>#N/A</v>
      </c>
      <c r="D827" s="70" t="e">
        <v>#N/A</v>
      </c>
      <c r="E827" s="48"/>
      <c r="F827" s="48" t="str">
        <f t="array" ref="F827">XLOOKUP($D827,REGOLITOS!$A:$A,REGOLITOS!F:F)</f>
        <v>#N/A</v>
      </c>
      <c r="G827" s="48" t="str">
        <f t="array" ref="G827">XLOOKUP($D827,REGOLITOS!$A:$A,REGOLITOS!G:G)</f>
        <v>#N/A</v>
      </c>
      <c r="H827" s="48" t="str">
        <f t="array" ref="H827">XLOOKUP($D827,REGOLITOS!$A:$A,REGOLITOS!H:H)</f>
        <v>#N/A</v>
      </c>
      <c r="I827" s="48" t="str">
        <f t="array" ref="I827">XLOOKUP($D827,REGOLITOS!$A:$A,REGOLITOS!I:I)</f>
        <v>#N/A</v>
      </c>
      <c r="J827" s="48" t="str">
        <f t="array" ref="J827">XLOOKUP($D827,REGOLITOS!$A:$A,REGOLITOS!J:J)</f>
        <v>#N/A</v>
      </c>
      <c r="K827" s="48" t="str">
        <f t="array" ref="K827">XLOOKUP($D827,REGOLITOS!$A:$A,REGOLITOS!K:K)</f>
        <v>#N/A</v>
      </c>
      <c r="L827" s="76"/>
      <c r="M827" s="5" t="s">
        <v>1080</v>
      </c>
      <c r="N827" s="5" t="s">
        <v>1080</v>
      </c>
      <c r="O827" s="5" t="s">
        <v>1080</v>
      </c>
      <c r="P827" s="5" t="s">
        <v>1080</v>
      </c>
      <c r="Q827" s="5" t="s">
        <v>1080</v>
      </c>
      <c r="X827" s="71">
        <f t="shared" si="5"/>
        <v>0</v>
      </c>
      <c r="Y827" s="5" t="b">
        <v>0</v>
      </c>
    </row>
    <row r="828">
      <c r="B828" s="5" t="str">
        <f t="array" ref="B828">XLOOKUP(A828, CURSOS!A:A, CURSOS!B:B)</f>
        <v>#N/A</v>
      </c>
      <c r="C828" s="75" t="str">
        <f t="array" ref="C828">XLOOKUP(A828, CURSOS!A:A, CURSOS!C:C)</f>
        <v>#N/A</v>
      </c>
      <c r="D828" s="70" t="e">
        <v>#N/A</v>
      </c>
      <c r="E828" s="48"/>
      <c r="F828" s="48" t="str">
        <f t="array" ref="F828">XLOOKUP($D828,REGOLITOS!$A:$A,REGOLITOS!F:F)</f>
        <v>#N/A</v>
      </c>
      <c r="G828" s="48" t="str">
        <f t="array" ref="G828">XLOOKUP($D828,REGOLITOS!$A:$A,REGOLITOS!G:G)</f>
        <v>#N/A</v>
      </c>
      <c r="H828" s="48" t="str">
        <f t="array" ref="H828">XLOOKUP($D828,REGOLITOS!$A:$A,REGOLITOS!H:H)</f>
        <v>#N/A</v>
      </c>
      <c r="I828" s="48" t="str">
        <f t="array" ref="I828">XLOOKUP($D828,REGOLITOS!$A:$A,REGOLITOS!I:I)</f>
        <v>#N/A</v>
      </c>
      <c r="J828" s="48" t="str">
        <f t="array" ref="J828">XLOOKUP($D828,REGOLITOS!$A:$A,REGOLITOS!J:J)</f>
        <v>#N/A</v>
      </c>
      <c r="K828" s="48" t="str">
        <f t="array" ref="K828">XLOOKUP($D828,REGOLITOS!$A:$A,REGOLITOS!K:K)</f>
        <v>#N/A</v>
      </c>
      <c r="L828" s="76"/>
      <c r="M828" s="5" t="s">
        <v>1080</v>
      </c>
      <c r="N828" s="5" t="s">
        <v>1080</v>
      </c>
      <c r="O828" s="5" t="s">
        <v>1080</v>
      </c>
      <c r="P828" s="5" t="s">
        <v>1080</v>
      </c>
      <c r="Q828" s="5" t="s">
        <v>1080</v>
      </c>
      <c r="X828" s="71">
        <f t="shared" si="5"/>
        <v>0</v>
      </c>
      <c r="Y828" s="5" t="b">
        <v>0</v>
      </c>
    </row>
    <row r="829">
      <c r="B829" s="5" t="str">
        <f t="array" ref="B829">XLOOKUP(A829, CURSOS!A:A, CURSOS!B:B)</f>
        <v>#N/A</v>
      </c>
      <c r="C829" s="75" t="str">
        <f t="array" ref="C829">XLOOKUP(A829, CURSOS!A:A, CURSOS!C:C)</f>
        <v>#N/A</v>
      </c>
      <c r="D829" s="70" t="e">
        <v>#N/A</v>
      </c>
      <c r="E829" s="48"/>
      <c r="F829" s="48" t="str">
        <f t="array" ref="F829">XLOOKUP($D829,REGOLITOS!$A:$A,REGOLITOS!F:F)</f>
        <v>#N/A</v>
      </c>
      <c r="G829" s="48" t="str">
        <f t="array" ref="G829">XLOOKUP($D829,REGOLITOS!$A:$A,REGOLITOS!G:G)</f>
        <v>#N/A</v>
      </c>
      <c r="H829" s="48" t="str">
        <f t="array" ref="H829">XLOOKUP($D829,REGOLITOS!$A:$A,REGOLITOS!H:H)</f>
        <v>#N/A</v>
      </c>
      <c r="I829" s="48" t="str">
        <f t="array" ref="I829">XLOOKUP($D829,REGOLITOS!$A:$A,REGOLITOS!I:I)</f>
        <v>#N/A</v>
      </c>
      <c r="J829" s="48" t="str">
        <f t="array" ref="J829">XLOOKUP($D829,REGOLITOS!$A:$A,REGOLITOS!J:J)</f>
        <v>#N/A</v>
      </c>
      <c r="K829" s="48" t="str">
        <f t="array" ref="K829">XLOOKUP($D829,REGOLITOS!$A:$A,REGOLITOS!K:K)</f>
        <v>#N/A</v>
      </c>
      <c r="L829" s="76"/>
      <c r="M829" s="5" t="s">
        <v>1080</v>
      </c>
      <c r="N829" s="5" t="s">
        <v>1080</v>
      </c>
      <c r="O829" s="5" t="s">
        <v>1080</v>
      </c>
      <c r="P829" s="5" t="s">
        <v>1080</v>
      </c>
      <c r="Q829" s="5" t="s">
        <v>1080</v>
      </c>
      <c r="X829" s="71">
        <f t="shared" si="5"/>
        <v>0</v>
      </c>
      <c r="Y829" s="5" t="b">
        <v>0</v>
      </c>
    </row>
    <row r="830">
      <c r="B830" s="5" t="str">
        <f t="array" ref="B830">XLOOKUP(A830, CURSOS!A:A, CURSOS!B:B)</f>
        <v>#N/A</v>
      </c>
      <c r="C830" s="75" t="str">
        <f t="array" ref="C830">XLOOKUP(A830, CURSOS!A:A, CURSOS!C:C)</f>
        <v>#N/A</v>
      </c>
      <c r="D830" s="70" t="e">
        <v>#N/A</v>
      </c>
      <c r="E830" s="48"/>
      <c r="F830" s="48" t="str">
        <f t="array" ref="F830">XLOOKUP($D830,REGOLITOS!$A:$A,REGOLITOS!F:F)</f>
        <v>#N/A</v>
      </c>
      <c r="G830" s="48" t="str">
        <f t="array" ref="G830">XLOOKUP($D830,REGOLITOS!$A:$A,REGOLITOS!G:G)</f>
        <v>#N/A</v>
      </c>
      <c r="H830" s="48" t="str">
        <f t="array" ref="H830">XLOOKUP($D830,REGOLITOS!$A:$A,REGOLITOS!H:H)</f>
        <v>#N/A</v>
      </c>
      <c r="I830" s="48" t="str">
        <f t="array" ref="I830">XLOOKUP($D830,REGOLITOS!$A:$A,REGOLITOS!I:I)</f>
        <v>#N/A</v>
      </c>
      <c r="J830" s="48" t="str">
        <f t="array" ref="J830">XLOOKUP($D830,REGOLITOS!$A:$A,REGOLITOS!J:J)</f>
        <v>#N/A</v>
      </c>
      <c r="K830" s="48" t="str">
        <f t="array" ref="K830">XLOOKUP($D830,REGOLITOS!$A:$A,REGOLITOS!K:K)</f>
        <v>#N/A</v>
      </c>
      <c r="L830" s="76"/>
      <c r="M830" s="5" t="s">
        <v>1080</v>
      </c>
      <c r="N830" s="5" t="s">
        <v>1080</v>
      </c>
      <c r="O830" s="5" t="s">
        <v>1080</v>
      </c>
      <c r="P830" s="5" t="s">
        <v>1080</v>
      </c>
      <c r="Q830" s="5" t="s">
        <v>1080</v>
      </c>
      <c r="X830" s="71">
        <f t="shared" si="5"/>
        <v>0</v>
      </c>
      <c r="Y830" s="5" t="b">
        <v>0</v>
      </c>
    </row>
    <row r="831">
      <c r="B831" s="5" t="str">
        <f t="array" ref="B831">XLOOKUP(A831, CURSOS!A:A, CURSOS!B:B)</f>
        <v>#N/A</v>
      </c>
      <c r="C831" s="75" t="str">
        <f t="array" ref="C831">XLOOKUP(A831, CURSOS!A:A, CURSOS!C:C)</f>
        <v>#N/A</v>
      </c>
      <c r="D831" s="70" t="e">
        <v>#N/A</v>
      </c>
      <c r="E831" s="48"/>
      <c r="F831" s="48" t="str">
        <f t="array" ref="F831">XLOOKUP($D831,REGOLITOS!$A:$A,REGOLITOS!F:F)</f>
        <v>#N/A</v>
      </c>
      <c r="G831" s="48" t="str">
        <f t="array" ref="G831">XLOOKUP($D831,REGOLITOS!$A:$A,REGOLITOS!G:G)</f>
        <v>#N/A</v>
      </c>
      <c r="H831" s="48" t="str">
        <f t="array" ref="H831">XLOOKUP($D831,REGOLITOS!$A:$A,REGOLITOS!H:H)</f>
        <v>#N/A</v>
      </c>
      <c r="I831" s="48" t="str">
        <f t="array" ref="I831">XLOOKUP($D831,REGOLITOS!$A:$A,REGOLITOS!I:I)</f>
        <v>#N/A</v>
      </c>
      <c r="J831" s="48" t="str">
        <f t="array" ref="J831">XLOOKUP($D831,REGOLITOS!$A:$A,REGOLITOS!J:J)</f>
        <v>#N/A</v>
      </c>
      <c r="K831" s="48" t="str">
        <f t="array" ref="K831">XLOOKUP($D831,REGOLITOS!$A:$A,REGOLITOS!K:K)</f>
        <v>#N/A</v>
      </c>
      <c r="L831" s="76"/>
      <c r="M831" s="5" t="s">
        <v>1080</v>
      </c>
      <c r="N831" s="5" t="s">
        <v>1080</v>
      </c>
      <c r="O831" s="5" t="s">
        <v>1080</v>
      </c>
      <c r="P831" s="5" t="s">
        <v>1080</v>
      </c>
      <c r="Q831" s="5" t="s">
        <v>1080</v>
      </c>
      <c r="X831" s="71">
        <f t="shared" si="5"/>
        <v>0</v>
      </c>
      <c r="Y831" s="5" t="b">
        <v>0</v>
      </c>
    </row>
    <row r="832">
      <c r="B832" s="5" t="str">
        <f t="array" ref="B832">XLOOKUP(A832, CURSOS!A:A, CURSOS!B:B)</f>
        <v>#N/A</v>
      </c>
      <c r="C832" s="75" t="str">
        <f t="array" ref="C832">XLOOKUP(A832, CURSOS!A:A, CURSOS!C:C)</f>
        <v>#N/A</v>
      </c>
      <c r="D832" s="70" t="e">
        <v>#N/A</v>
      </c>
      <c r="E832" s="48"/>
      <c r="F832" s="48" t="str">
        <f t="array" ref="F832">XLOOKUP($D832,REGOLITOS!$A:$A,REGOLITOS!F:F)</f>
        <v>#N/A</v>
      </c>
      <c r="G832" s="48" t="str">
        <f t="array" ref="G832">XLOOKUP($D832,REGOLITOS!$A:$A,REGOLITOS!G:G)</f>
        <v>#N/A</v>
      </c>
      <c r="H832" s="48" t="str">
        <f t="array" ref="H832">XLOOKUP($D832,REGOLITOS!$A:$A,REGOLITOS!H:H)</f>
        <v>#N/A</v>
      </c>
      <c r="I832" s="48" t="str">
        <f t="array" ref="I832">XLOOKUP($D832,REGOLITOS!$A:$A,REGOLITOS!I:I)</f>
        <v>#N/A</v>
      </c>
      <c r="J832" s="48" t="str">
        <f t="array" ref="J832">XLOOKUP($D832,REGOLITOS!$A:$A,REGOLITOS!J:J)</f>
        <v>#N/A</v>
      </c>
      <c r="K832" s="48" t="str">
        <f t="array" ref="K832">XLOOKUP($D832,REGOLITOS!$A:$A,REGOLITOS!K:K)</f>
        <v>#N/A</v>
      </c>
      <c r="L832" s="76"/>
      <c r="M832" s="5" t="s">
        <v>1080</v>
      </c>
      <c r="N832" s="5" t="s">
        <v>1080</v>
      </c>
      <c r="O832" s="5" t="s">
        <v>1080</v>
      </c>
      <c r="P832" s="5" t="s">
        <v>1080</v>
      </c>
      <c r="Q832" s="5" t="s">
        <v>1080</v>
      </c>
      <c r="X832" s="71">
        <f t="shared" si="5"/>
        <v>0</v>
      </c>
      <c r="Y832" s="5" t="b">
        <v>0</v>
      </c>
    </row>
    <row r="833">
      <c r="B833" s="5" t="str">
        <f t="array" ref="B833">XLOOKUP(A833, CURSOS!A:A, CURSOS!B:B)</f>
        <v>#N/A</v>
      </c>
      <c r="C833" s="75" t="str">
        <f t="array" ref="C833">XLOOKUP(A833, CURSOS!A:A, CURSOS!C:C)</f>
        <v>#N/A</v>
      </c>
      <c r="D833" s="70" t="e">
        <v>#N/A</v>
      </c>
      <c r="E833" s="48"/>
      <c r="F833" s="48" t="str">
        <f t="array" ref="F833">XLOOKUP($D833,REGOLITOS!$A:$A,REGOLITOS!F:F)</f>
        <v>#N/A</v>
      </c>
      <c r="G833" s="48" t="str">
        <f t="array" ref="G833">XLOOKUP($D833,REGOLITOS!$A:$A,REGOLITOS!G:G)</f>
        <v>#N/A</v>
      </c>
      <c r="H833" s="48" t="str">
        <f t="array" ref="H833">XLOOKUP($D833,REGOLITOS!$A:$A,REGOLITOS!H:H)</f>
        <v>#N/A</v>
      </c>
      <c r="I833" s="48" t="str">
        <f t="array" ref="I833">XLOOKUP($D833,REGOLITOS!$A:$A,REGOLITOS!I:I)</f>
        <v>#N/A</v>
      </c>
      <c r="J833" s="48" t="str">
        <f t="array" ref="J833">XLOOKUP($D833,REGOLITOS!$A:$A,REGOLITOS!J:J)</f>
        <v>#N/A</v>
      </c>
      <c r="K833" s="48" t="str">
        <f t="array" ref="K833">XLOOKUP($D833,REGOLITOS!$A:$A,REGOLITOS!K:K)</f>
        <v>#N/A</v>
      </c>
      <c r="L833" s="76"/>
      <c r="M833" s="5" t="s">
        <v>1080</v>
      </c>
      <c r="N833" s="5" t="s">
        <v>1080</v>
      </c>
      <c r="O833" s="5" t="s">
        <v>1080</v>
      </c>
      <c r="P833" s="5" t="s">
        <v>1080</v>
      </c>
      <c r="Q833" s="5" t="s">
        <v>1080</v>
      </c>
      <c r="X833" s="71">
        <f t="shared" si="5"/>
        <v>0</v>
      </c>
      <c r="Y833" s="5" t="b">
        <v>0</v>
      </c>
    </row>
    <row r="834">
      <c r="B834" s="5" t="str">
        <f t="array" ref="B834">XLOOKUP(A834, CURSOS!A:A, CURSOS!B:B)</f>
        <v>#N/A</v>
      </c>
      <c r="C834" s="75" t="str">
        <f t="array" ref="C834">XLOOKUP(A834, CURSOS!A:A, CURSOS!C:C)</f>
        <v>#N/A</v>
      </c>
      <c r="D834" s="70" t="e">
        <v>#N/A</v>
      </c>
      <c r="E834" s="48"/>
      <c r="F834" s="48" t="str">
        <f t="array" ref="F834">XLOOKUP($D834,REGOLITOS!$A:$A,REGOLITOS!F:F)</f>
        <v>#N/A</v>
      </c>
      <c r="G834" s="48" t="str">
        <f t="array" ref="G834">XLOOKUP($D834,REGOLITOS!$A:$A,REGOLITOS!G:G)</f>
        <v>#N/A</v>
      </c>
      <c r="H834" s="48" t="str">
        <f t="array" ref="H834">XLOOKUP($D834,REGOLITOS!$A:$A,REGOLITOS!H:H)</f>
        <v>#N/A</v>
      </c>
      <c r="I834" s="48" t="str">
        <f t="array" ref="I834">XLOOKUP($D834,REGOLITOS!$A:$A,REGOLITOS!I:I)</f>
        <v>#N/A</v>
      </c>
      <c r="J834" s="48" t="str">
        <f t="array" ref="J834">XLOOKUP($D834,REGOLITOS!$A:$A,REGOLITOS!J:J)</f>
        <v>#N/A</v>
      </c>
      <c r="K834" s="48" t="str">
        <f t="array" ref="K834">XLOOKUP($D834,REGOLITOS!$A:$A,REGOLITOS!K:K)</f>
        <v>#N/A</v>
      </c>
      <c r="L834" s="76"/>
      <c r="M834" s="5" t="s">
        <v>1080</v>
      </c>
      <c r="N834" s="5" t="s">
        <v>1080</v>
      </c>
      <c r="O834" s="5" t="s">
        <v>1080</v>
      </c>
      <c r="P834" s="5" t="s">
        <v>1080</v>
      </c>
      <c r="Q834" s="5" t="s">
        <v>1080</v>
      </c>
      <c r="X834" s="71">
        <f t="shared" si="5"/>
        <v>0</v>
      </c>
      <c r="Y834" s="5" t="b">
        <v>0</v>
      </c>
    </row>
    <row r="835">
      <c r="B835" s="5" t="str">
        <f t="array" ref="B835">XLOOKUP(A835, CURSOS!A:A, CURSOS!B:B)</f>
        <v>#N/A</v>
      </c>
      <c r="C835" s="75" t="str">
        <f t="array" ref="C835">XLOOKUP(A835, CURSOS!A:A, CURSOS!C:C)</f>
        <v>#N/A</v>
      </c>
      <c r="D835" s="70" t="e">
        <v>#N/A</v>
      </c>
      <c r="E835" s="48"/>
      <c r="F835" s="48" t="str">
        <f t="array" ref="F835">XLOOKUP($D835,REGOLITOS!$A:$A,REGOLITOS!F:F)</f>
        <v>#N/A</v>
      </c>
      <c r="G835" s="48" t="str">
        <f t="array" ref="G835">XLOOKUP($D835,REGOLITOS!$A:$A,REGOLITOS!G:G)</f>
        <v>#N/A</v>
      </c>
      <c r="H835" s="48" t="str">
        <f t="array" ref="H835">XLOOKUP($D835,REGOLITOS!$A:$A,REGOLITOS!H:H)</f>
        <v>#N/A</v>
      </c>
      <c r="I835" s="48" t="str">
        <f t="array" ref="I835">XLOOKUP($D835,REGOLITOS!$A:$A,REGOLITOS!I:I)</f>
        <v>#N/A</v>
      </c>
      <c r="J835" s="48" t="str">
        <f t="array" ref="J835">XLOOKUP($D835,REGOLITOS!$A:$A,REGOLITOS!J:J)</f>
        <v>#N/A</v>
      </c>
      <c r="K835" s="48" t="str">
        <f t="array" ref="K835">XLOOKUP($D835,REGOLITOS!$A:$A,REGOLITOS!K:K)</f>
        <v>#N/A</v>
      </c>
      <c r="L835" s="76"/>
      <c r="M835" s="5" t="s">
        <v>1080</v>
      </c>
      <c r="N835" s="5" t="s">
        <v>1080</v>
      </c>
      <c r="O835" s="5" t="s">
        <v>1080</v>
      </c>
      <c r="P835" s="5" t="s">
        <v>1080</v>
      </c>
      <c r="Q835" s="5" t="s">
        <v>1080</v>
      </c>
      <c r="X835" s="71">
        <f t="shared" si="5"/>
        <v>0</v>
      </c>
      <c r="Y835" s="5" t="b">
        <v>0</v>
      </c>
    </row>
    <row r="836">
      <c r="B836" s="5" t="str">
        <f t="array" ref="B836">XLOOKUP(A836, CURSOS!A:A, CURSOS!B:B)</f>
        <v>#N/A</v>
      </c>
      <c r="C836" s="75" t="str">
        <f t="array" ref="C836">XLOOKUP(A836, CURSOS!A:A, CURSOS!C:C)</f>
        <v>#N/A</v>
      </c>
      <c r="D836" s="70" t="e">
        <v>#N/A</v>
      </c>
      <c r="E836" s="48"/>
      <c r="F836" s="48" t="str">
        <f t="array" ref="F836">XLOOKUP($D836,REGOLITOS!$A:$A,REGOLITOS!F:F)</f>
        <v>#N/A</v>
      </c>
      <c r="G836" s="48" t="str">
        <f t="array" ref="G836">XLOOKUP($D836,REGOLITOS!$A:$A,REGOLITOS!G:G)</f>
        <v>#N/A</v>
      </c>
      <c r="H836" s="48" t="str">
        <f t="array" ref="H836">XLOOKUP($D836,REGOLITOS!$A:$A,REGOLITOS!H:H)</f>
        <v>#N/A</v>
      </c>
      <c r="I836" s="48" t="str">
        <f t="array" ref="I836">XLOOKUP($D836,REGOLITOS!$A:$A,REGOLITOS!I:I)</f>
        <v>#N/A</v>
      </c>
      <c r="J836" s="48" t="str">
        <f t="array" ref="J836">XLOOKUP($D836,REGOLITOS!$A:$A,REGOLITOS!J:J)</f>
        <v>#N/A</v>
      </c>
      <c r="K836" s="48" t="str">
        <f t="array" ref="K836">XLOOKUP($D836,REGOLITOS!$A:$A,REGOLITOS!K:K)</f>
        <v>#N/A</v>
      </c>
      <c r="L836" s="76"/>
      <c r="M836" s="5" t="s">
        <v>1080</v>
      </c>
      <c r="N836" s="5" t="s">
        <v>1080</v>
      </c>
      <c r="O836" s="5" t="s">
        <v>1080</v>
      </c>
      <c r="P836" s="5" t="s">
        <v>1080</v>
      </c>
      <c r="Q836" s="5" t="s">
        <v>1080</v>
      </c>
      <c r="X836" s="71">
        <f t="shared" si="5"/>
        <v>0</v>
      </c>
      <c r="Y836" s="5" t="b">
        <v>0</v>
      </c>
    </row>
    <row r="837">
      <c r="B837" s="5" t="str">
        <f t="array" ref="B837">XLOOKUP(A837, CURSOS!A:A, CURSOS!B:B)</f>
        <v>#N/A</v>
      </c>
      <c r="C837" s="75" t="str">
        <f t="array" ref="C837">XLOOKUP(A837, CURSOS!A:A, CURSOS!C:C)</f>
        <v>#N/A</v>
      </c>
      <c r="D837" s="70" t="e">
        <v>#N/A</v>
      </c>
      <c r="E837" s="48"/>
      <c r="F837" s="48" t="str">
        <f t="array" ref="F837">XLOOKUP($D837,REGOLITOS!$A:$A,REGOLITOS!F:F)</f>
        <v>#N/A</v>
      </c>
      <c r="G837" s="48" t="str">
        <f t="array" ref="G837">XLOOKUP($D837,REGOLITOS!$A:$A,REGOLITOS!G:G)</f>
        <v>#N/A</v>
      </c>
      <c r="H837" s="48" t="str">
        <f t="array" ref="H837">XLOOKUP($D837,REGOLITOS!$A:$A,REGOLITOS!H:H)</f>
        <v>#N/A</v>
      </c>
      <c r="I837" s="48" t="str">
        <f t="array" ref="I837">XLOOKUP($D837,REGOLITOS!$A:$A,REGOLITOS!I:I)</f>
        <v>#N/A</v>
      </c>
      <c r="J837" s="48" t="str">
        <f t="array" ref="J837">XLOOKUP($D837,REGOLITOS!$A:$A,REGOLITOS!J:J)</f>
        <v>#N/A</v>
      </c>
      <c r="K837" s="48" t="str">
        <f t="array" ref="K837">XLOOKUP($D837,REGOLITOS!$A:$A,REGOLITOS!K:K)</f>
        <v>#N/A</v>
      </c>
      <c r="L837" s="76"/>
      <c r="M837" s="5" t="s">
        <v>1080</v>
      </c>
      <c r="N837" s="5" t="s">
        <v>1080</v>
      </c>
      <c r="O837" s="5" t="s">
        <v>1080</v>
      </c>
      <c r="P837" s="5" t="s">
        <v>1080</v>
      </c>
      <c r="Q837" s="5" t="s">
        <v>1080</v>
      </c>
      <c r="X837" s="71">
        <f t="shared" si="5"/>
        <v>0</v>
      </c>
      <c r="Y837" s="5" t="b">
        <v>0</v>
      </c>
    </row>
    <row r="838">
      <c r="B838" s="5" t="str">
        <f t="array" ref="B838">XLOOKUP(A838, CURSOS!A:A, CURSOS!B:B)</f>
        <v>#N/A</v>
      </c>
      <c r="C838" s="75" t="str">
        <f t="array" ref="C838">XLOOKUP(A838, CURSOS!A:A, CURSOS!C:C)</f>
        <v>#N/A</v>
      </c>
      <c r="D838" s="70" t="e">
        <v>#N/A</v>
      </c>
      <c r="E838" s="48"/>
      <c r="F838" s="48" t="str">
        <f t="array" ref="F838">XLOOKUP($D838,REGOLITOS!$A:$A,REGOLITOS!F:F)</f>
        <v>#N/A</v>
      </c>
      <c r="G838" s="48" t="str">
        <f t="array" ref="G838">XLOOKUP($D838,REGOLITOS!$A:$A,REGOLITOS!G:G)</f>
        <v>#N/A</v>
      </c>
      <c r="H838" s="48" t="str">
        <f t="array" ref="H838">XLOOKUP($D838,REGOLITOS!$A:$A,REGOLITOS!H:H)</f>
        <v>#N/A</v>
      </c>
      <c r="I838" s="48" t="str">
        <f t="array" ref="I838">XLOOKUP($D838,REGOLITOS!$A:$A,REGOLITOS!I:I)</f>
        <v>#N/A</v>
      </c>
      <c r="J838" s="48" t="str">
        <f t="array" ref="J838">XLOOKUP($D838,REGOLITOS!$A:$A,REGOLITOS!J:J)</f>
        <v>#N/A</v>
      </c>
      <c r="K838" s="48" t="str">
        <f t="array" ref="K838">XLOOKUP($D838,REGOLITOS!$A:$A,REGOLITOS!K:K)</f>
        <v>#N/A</v>
      </c>
      <c r="L838" s="76"/>
      <c r="M838" s="5" t="s">
        <v>1080</v>
      </c>
      <c r="N838" s="5" t="s">
        <v>1080</v>
      </c>
      <c r="O838" s="5" t="s">
        <v>1080</v>
      </c>
      <c r="P838" s="5" t="s">
        <v>1080</v>
      </c>
      <c r="Q838" s="5" t="s">
        <v>1080</v>
      </c>
      <c r="X838" s="71">
        <f t="shared" si="5"/>
        <v>0</v>
      </c>
      <c r="Y838" s="5" t="b">
        <v>0</v>
      </c>
    </row>
    <row r="839">
      <c r="B839" s="5" t="str">
        <f t="array" ref="B839">XLOOKUP(A839, CURSOS!A:A, CURSOS!B:B)</f>
        <v>#N/A</v>
      </c>
      <c r="C839" s="75" t="str">
        <f t="array" ref="C839">XLOOKUP(A839, CURSOS!A:A, CURSOS!C:C)</f>
        <v>#N/A</v>
      </c>
      <c r="D839" s="70" t="e">
        <v>#N/A</v>
      </c>
      <c r="E839" s="48"/>
      <c r="F839" s="48" t="str">
        <f t="array" ref="F839">XLOOKUP($D839,REGOLITOS!$A:$A,REGOLITOS!F:F)</f>
        <v>#N/A</v>
      </c>
      <c r="G839" s="48" t="str">
        <f t="array" ref="G839">XLOOKUP($D839,REGOLITOS!$A:$A,REGOLITOS!G:G)</f>
        <v>#N/A</v>
      </c>
      <c r="H839" s="48" t="str">
        <f t="array" ref="H839">XLOOKUP($D839,REGOLITOS!$A:$A,REGOLITOS!H:H)</f>
        <v>#N/A</v>
      </c>
      <c r="I839" s="48" t="str">
        <f t="array" ref="I839">XLOOKUP($D839,REGOLITOS!$A:$A,REGOLITOS!I:I)</f>
        <v>#N/A</v>
      </c>
      <c r="J839" s="48" t="str">
        <f t="array" ref="J839">XLOOKUP($D839,REGOLITOS!$A:$A,REGOLITOS!J:J)</f>
        <v>#N/A</v>
      </c>
      <c r="K839" s="48" t="str">
        <f t="array" ref="K839">XLOOKUP($D839,REGOLITOS!$A:$A,REGOLITOS!K:K)</f>
        <v>#N/A</v>
      </c>
      <c r="L839" s="76"/>
      <c r="M839" s="5" t="s">
        <v>1080</v>
      </c>
      <c r="N839" s="5" t="s">
        <v>1080</v>
      </c>
      <c r="O839" s="5" t="s">
        <v>1080</v>
      </c>
      <c r="P839" s="5" t="s">
        <v>1080</v>
      </c>
      <c r="Q839" s="5" t="s">
        <v>1080</v>
      </c>
      <c r="X839" s="71">
        <f t="shared" si="5"/>
        <v>0</v>
      </c>
      <c r="Y839" s="5" t="b">
        <v>0</v>
      </c>
    </row>
    <row r="840">
      <c r="B840" s="5" t="str">
        <f t="array" ref="B840">XLOOKUP(A840, CURSOS!A:A, CURSOS!B:B)</f>
        <v>#N/A</v>
      </c>
      <c r="C840" s="75" t="str">
        <f t="array" ref="C840">XLOOKUP(A840, CURSOS!A:A, CURSOS!C:C)</f>
        <v>#N/A</v>
      </c>
      <c r="D840" s="70" t="e">
        <v>#N/A</v>
      </c>
      <c r="E840" s="48"/>
      <c r="F840" s="48" t="str">
        <f t="array" ref="F840">XLOOKUP($D840,REGOLITOS!$A:$A,REGOLITOS!F:F)</f>
        <v>#N/A</v>
      </c>
      <c r="G840" s="48" t="str">
        <f t="array" ref="G840">XLOOKUP($D840,REGOLITOS!$A:$A,REGOLITOS!G:G)</f>
        <v>#N/A</v>
      </c>
      <c r="H840" s="48" t="str">
        <f t="array" ref="H840">XLOOKUP($D840,REGOLITOS!$A:$A,REGOLITOS!H:H)</f>
        <v>#N/A</v>
      </c>
      <c r="I840" s="48" t="str">
        <f t="array" ref="I840">XLOOKUP($D840,REGOLITOS!$A:$A,REGOLITOS!I:I)</f>
        <v>#N/A</v>
      </c>
      <c r="J840" s="48" t="str">
        <f t="array" ref="J840">XLOOKUP($D840,REGOLITOS!$A:$A,REGOLITOS!J:J)</f>
        <v>#N/A</v>
      </c>
      <c r="K840" s="48" t="str">
        <f t="array" ref="K840">XLOOKUP($D840,REGOLITOS!$A:$A,REGOLITOS!K:K)</f>
        <v>#N/A</v>
      </c>
      <c r="L840" s="76"/>
      <c r="M840" s="5" t="s">
        <v>1080</v>
      </c>
      <c r="N840" s="5" t="s">
        <v>1080</v>
      </c>
      <c r="O840" s="5" t="s">
        <v>1080</v>
      </c>
      <c r="P840" s="5" t="s">
        <v>1080</v>
      </c>
      <c r="Q840" s="5" t="s">
        <v>1080</v>
      </c>
      <c r="X840" s="71">
        <f t="shared" si="5"/>
        <v>0</v>
      </c>
      <c r="Y840" s="5" t="b">
        <v>0</v>
      </c>
    </row>
    <row r="841">
      <c r="B841" s="5" t="str">
        <f t="array" ref="B841">XLOOKUP(A841, CURSOS!A:A, CURSOS!B:B)</f>
        <v>#N/A</v>
      </c>
      <c r="C841" s="75" t="str">
        <f t="array" ref="C841">XLOOKUP(A841, CURSOS!A:A, CURSOS!C:C)</f>
        <v>#N/A</v>
      </c>
      <c r="D841" s="70" t="e">
        <v>#N/A</v>
      </c>
      <c r="E841" s="48"/>
      <c r="F841" s="48" t="str">
        <f t="array" ref="F841">XLOOKUP($D841,REGOLITOS!$A:$A,REGOLITOS!F:F)</f>
        <v>#N/A</v>
      </c>
      <c r="G841" s="48" t="str">
        <f t="array" ref="G841">XLOOKUP($D841,REGOLITOS!$A:$A,REGOLITOS!G:G)</f>
        <v>#N/A</v>
      </c>
      <c r="H841" s="48" t="str">
        <f t="array" ref="H841">XLOOKUP($D841,REGOLITOS!$A:$A,REGOLITOS!H:H)</f>
        <v>#N/A</v>
      </c>
      <c r="I841" s="48" t="str">
        <f t="array" ref="I841">XLOOKUP($D841,REGOLITOS!$A:$A,REGOLITOS!I:I)</f>
        <v>#N/A</v>
      </c>
      <c r="J841" s="48" t="str">
        <f t="array" ref="J841">XLOOKUP($D841,REGOLITOS!$A:$A,REGOLITOS!J:J)</f>
        <v>#N/A</v>
      </c>
      <c r="K841" s="48" t="str">
        <f t="array" ref="K841">XLOOKUP($D841,REGOLITOS!$A:$A,REGOLITOS!K:K)</f>
        <v>#N/A</v>
      </c>
      <c r="L841" s="76"/>
      <c r="M841" s="5" t="s">
        <v>1080</v>
      </c>
      <c r="N841" s="5" t="s">
        <v>1080</v>
      </c>
      <c r="O841" s="5" t="s">
        <v>1080</v>
      </c>
      <c r="P841" s="5" t="s">
        <v>1080</v>
      </c>
      <c r="Q841" s="5" t="s">
        <v>1080</v>
      </c>
      <c r="X841" s="71">
        <f t="shared" si="5"/>
        <v>0</v>
      </c>
      <c r="Y841" s="5" t="b">
        <v>0</v>
      </c>
    </row>
    <row r="842">
      <c r="B842" s="5" t="str">
        <f t="array" ref="B842">XLOOKUP(A842, CURSOS!A:A, CURSOS!B:B)</f>
        <v>#N/A</v>
      </c>
      <c r="C842" s="75" t="str">
        <f t="array" ref="C842">XLOOKUP(A842, CURSOS!A:A, CURSOS!C:C)</f>
        <v>#N/A</v>
      </c>
      <c r="D842" s="70" t="e">
        <v>#N/A</v>
      </c>
      <c r="E842" s="48"/>
      <c r="F842" s="48" t="str">
        <f t="array" ref="F842">XLOOKUP($D842,REGOLITOS!$A:$A,REGOLITOS!F:F)</f>
        <v>#N/A</v>
      </c>
      <c r="G842" s="48" t="str">
        <f t="array" ref="G842">XLOOKUP($D842,REGOLITOS!$A:$A,REGOLITOS!G:G)</f>
        <v>#N/A</v>
      </c>
      <c r="H842" s="48" t="str">
        <f t="array" ref="H842">XLOOKUP($D842,REGOLITOS!$A:$A,REGOLITOS!H:H)</f>
        <v>#N/A</v>
      </c>
      <c r="I842" s="48" t="str">
        <f t="array" ref="I842">XLOOKUP($D842,REGOLITOS!$A:$A,REGOLITOS!I:I)</f>
        <v>#N/A</v>
      </c>
      <c r="J842" s="48" t="str">
        <f t="array" ref="J842">XLOOKUP($D842,REGOLITOS!$A:$A,REGOLITOS!J:J)</f>
        <v>#N/A</v>
      </c>
      <c r="K842" s="48" t="str">
        <f t="array" ref="K842">XLOOKUP($D842,REGOLITOS!$A:$A,REGOLITOS!K:K)</f>
        <v>#N/A</v>
      </c>
      <c r="L842" s="76"/>
      <c r="M842" s="5" t="s">
        <v>1080</v>
      </c>
      <c r="N842" s="5" t="s">
        <v>1080</v>
      </c>
      <c r="O842" s="5" t="s">
        <v>1080</v>
      </c>
      <c r="P842" s="5" t="s">
        <v>1080</v>
      </c>
      <c r="Q842" s="5" t="s">
        <v>1080</v>
      </c>
      <c r="X842" s="71">
        <f t="shared" si="5"/>
        <v>0</v>
      </c>
      <c r="Y842" s="5" t="b">
        <v>0</v>
      </c>
    </row>
    <row r="843">
      <c r="B843" s="5" t="str">
        <f t="array" ref="B843">XLOOKUP(A843, CURSOS!A:A, CURSOS!B:B)</f>
        <v>#N/A</v>
      </c>
      <c r="C843" s="75" t="str">
        <f t="array" ref="C843">XLOOKUP(A843, CURSOS!A:A, CURSOS!C:C)</f>
        <v>#N/A</v>
      </c>
      <c r="D843" s="70" t="e">
        <v>#N/A</v>
      </c>
      <c r="E843" s="48"/>
      <c r="F843" s="48" t="str">
        <f t="array" ref="F843">XLOOKUP($D843,REGOLITOS!$A:$A,REGOLITOS!F:F)</f>
        <v>#N/A</v>
      </c>
      <c r="G843" s="48" t="str">
        <f t="array" ref="G843">XLOOKUP($D843,REGOLITOS!$A:$A,REGOLITOS!G:G)</f>
        <v>#N/A</v>
      </c>
      <c r="H843" s="48" t="str">
        <f t="array" ref="H843">XLOOKUP($D843,REGOLITOS!$A:$A,REGOLITOS!H:H)</f>
        <v>#N/A</v>
      </c>
      <c r="I843" s="48" t="str">
        <f t="array" ref="I843">XLOOKUP($D843,REGOLITOS!$A:$A,REGOLITOS!I:I)</f>
        <v>#N/A</v>
      </c>
      <c r="J843" s="48" t="str">
        <f t="array" ref="J843">XLOOKUP($D843,REGOLITOS!$A:$A,REGOLITOS!J:J)</f>
        <v>#N/A</v>
      </c>
      <c r="K843" s="48" t="str">
        <f t="array" ref="K843">XLOOKUP($D843,REGOLITOS!$A:$A,REGOLITOS!K:K)</f>
        <v>#N/A</v>
      </c>
      <c r="L843" s="76"/>
      <c r="M843" s="5" t="s">
        <v>1080</v>
      </c>
      <c r="N843" s="5" t="s">
        <v>1080</v>
      </c>
      <c r="O843" s="5" t="s">
        <v>1080</v>
      </c>
      <c r="P843" s="5" t="s">
        <v>1080</v>
      </c>
      <c r="Q843" s="5" t="s">
        <v>1080</v>
      </c>
      <c r="X843" s="71">
        <f t="shared" si="5"/>
        <v>0</v>
      </c>
      <c r="Y843" s="5" t="b">
        <v>0</v>
      </c>
    </row>
    <row r="844">
      <c r="B844" s="5" t="str">
        <f t="array" ref="B844">XLOOKUP(A844, CURSOS!A:A, CURSOS!B:B)</f>
        <v>#N/A</v>
      </c>
      <c r="C844" s="75" t="str">
        <f t="array" ref="C844">XLOOKUP(A844, CURSOS!A:A, CURSOS!C:C)</f>
        <v>#N/A</v>
      </c>
      <c r="D844" s="70" t="e">
        <v>#N/A</v>
      </c>
      <c r="E844" s="48"/>
      <c r="F844" s="48" t="str">
        <f t="array" ref="F844">XLOOKUP($D844,REGOLITOS!$A:$A,REGOLITOS!F:F)</f>
        <v>#N/A</v>
      </c>
      <c r="G844" s="48" t="str">
        <f t="array" ref="G844">XLOOKUP($D844,REGOLITOS!$A:$A,REGOLITOS!G:G)</f>
        <v>#N/A</v>
      </c>
      <c r="H844" s="48" t="str">
        <f t="array" ref="H844">XLOOKUP($D844,REGOLITOS!$A:$A,REGOLITOS!H:H)</f>
        <v>#N/A</v>
      </c>
      <c r="I844" s="48" t="str">
        <f t="array" ref="I844">XLOOKUP($D844,REGOLITOS!$A:$A,REGOLITOS!I:I)</f>
        <v>#N/A</v>
      </c>
      <c r="J844" s="48" t="str">
        <f t="array" ref="J844">XLOOKUP($D844,REGOLITOS!$A:$A,REGOLITOS!J:J)</f>
        <v>#N/A</v>
      </c>
      <c r="K844" s="48" t="str">
        <f t="array" ref="K844">XLOOKUP($D844,REGOLITOS!$A:$A,REGOLITOS!K:K)</f>
        <v>#N/A</v>
      </c>
      <c r="L844" s="76"/>
      <c r="M844" s="5" t="s">
        <v>1080</v>
      </c>
      <c r="N844" s="5" t="s">
        <v>1080</v>
      </c>
      <c r="O844" s="5" t="s">
        <v>1080</v>
      </c>
      <c r="P844" s="5" t="s">
        <v>1080</v>
      </c>
      <c r="Q844" s="5" t="s">
        <v>1080</v>
      </c>
      <c r="X844" s="71">
        <f t="shared" si="5"/>
        <v>0</v>
      </c>
      <c r="Y844" s="5" t="b">
        <v>0</v>
      </c>
    </row>
    <row r="845">
      <c r="B845" s="5" t="str">
        <f t="array" ref="B845">XLOOKUP(A845, CURSOS!A:A, CURSOS!B:B)</f>
        <v>#N/A</v>
      </c>
      <c r="C845" s="75" t="str">
        <f t="array" ref="C845">XLOOKUP(A845, CURSOS!A:A, CURSOS!C:C)</f>
        <v>#N/A</v>
      </c>
      <c r="D845" s="70" t="e">
        <v>#N/A</v>
      </c>
      <c r="E845" s="48"/>
      <c r="F845" s="48" t="str">
        <f t="array" ref="F845">XLOOKUP($D845,REGOLITOS!$A:$A,REGOLITOS!F:F)</f>
        <v>#N/A</v>
      </c>
      <c r="G845" s="48" t="str">
        <f t="array" ref="G845">XLOOKUP($D845,REGOLITOS!$A:$A,REGOLITOS!G:G)</f>
        <v>#N/A</v>
      </c>
      <c r="H845" s="48" t="str">
        <f t="array" ref="H845">XLOOKUP($D845,REGOLITOS!$A:$A,REGOLITOS!H:H)</f>
        <v>#N/A</v>
      </c>
      <c r="I845" s="48" t="str">
        <f t="array" ref="I845">XLOOKUP($D845,REGOLITOS!$A:$A,REGOLITOS!I:I)</f>
        <v>#N/A</v>
      </c>
      <c r="J845" s="48" t="str">
        <f t="array" ref="J845">XLOOKUP($D845,REGOLITOS!$A:$A,REGOLITOS!J:J)</f>
        <v>#N/A</v>
      </c>
      <c r="K845" s="48" t="str">
        <f t="array" ref="K845">XLOOKUP($D845,REGOLITOS!$A:$A,REGOLITOS!K:K)</f>
        <v>#N/A</v>
      </c>
      <c r="L845" s="76"/>
      <c r="M845" s="5" t="s">
        <v>1080</v>
      </c>
      <c r="N845" s="5" t="s">
        <v>1080</v>
      </c>
      <c r="O845" s="5" t="s">
        <v>1080</v>
      </c>
      <c r="P845" s="5" t="s">
        <v>1080</v>
      </c>
      <c r="Q845" s="5" t="s">
        <v>1080</v>
      </c>
      <c r="X845" s="71">
        <f t="shared" si="5"/>
        <v>0</v>
      </c>
      <c r="Y845" s="5" t="b">
        <v>0</v>
      </c>
    </row>
    <row r="846">
      <c r="B846" s="5" t="str">
        <f t="array" ref="B846">XLOOKUP(A846, CURSOS!A:A, CURSOS!B:B)</f>
        <v>#N/A</v>
      </c>
      <c r="C846" s="75" t="str">
        <f t="array" ref="C846">XLOOKUP(A846, CURSOS!A:A, CURSOS!C:C)</f>
        <v>#N/A</v>
      </c>
      <c r="D846" s="70" t="e">
        <v>#N/A</v>
      </c>
      <c r="E846" s="48"/>
      <c r="F846" s="48" t="str">
        <f t="array" ref="F846">XLOOKUP($D846,REGOLITOS!$A:$A,REGOLITOS!F:F)</f>
        <v>#N/A</v>
      </c>
      <c r="G846" s="48" t="str">
        <f t="array" ref="G846">XLOOKUP($D846,REGOLITOS!$A:$A,REGOLITOS!G:G)</f>
        <v>#N/A</v>
      </c>
      <c r="H846" s="48" t="str">
        <f t="array" ref="H846">XLOOKUP($D846,REGOLITOS!$A:$A,REGOLITOS!H:H)</f>
        <v>#N/A</v>
      </c>
      <c r="I846" s="48" t="str">
        <f t="array" ref="I846">XLOOKUP($D846,REGOLITOS!$A:$A,REGOLITOS!I:I)</f>
        <v>#N/A</v>
      </c>
      <c r="J846" s="48" t="str">
        <f t="array" ref="J846">XLOOKUP($D846,REGOLITOS!$A:$A,REGOLITOS!J:J)</f>
        <v>#N/A</v>
      </c>
      <c r="K846" s="48" t="str">
        <f t="array" ref="K846">XLOOKUP($D846,REGOLITOS!$A:$A,REGOLITOS!K:K)</f>
        <v>#N/A</v>
      </c>
      <c r="L846" s="76"/>
      <c r="M846" s="5" t="s">
        <v>1080</v>
      </c>
      <c r="N846" s="5" t="s">
        <v>1080</v>
      </c>
      <c r="O846" s="5" t="s">
        <v>1080</v>
      </c>
      <c r="P846" s="5" t="s">
        <v>1080</v>
      </c>
      <c r="Q846" s="5" t="s">
        <v>1080</v>
      </c>
      <c r="X846" s="71">
        <f t="shared" si="5"/>
        <v>0</v>
      </c>
      <c r="Y846" s="5" t="b">
        <v>0</v>
      </c>
    </row>
    <row r="847">
      <c r="B847" s="5" t="str">
        <f t="array" ref="B847">XLOOKUP(A847, CURSOS!A:A, CURSOS!B:B)</f>
        <v>#N/A</v>
      </c>
      <c r="C847" s="75" t="str">
        <f t="array" ref="C847">XLOOKUP(A847, CURSOS!A:A, CURSOS!C:C)</f>
        <v>#N/A</v>
      </c>
      <c r="D847" s="70" t="e">
        <v>#N/A</v>
      </c>
      <c r="E847" s="48"/>
      <c r="F847" s="48" t="str">
        <f t="array" ref="F847">XLOOKUP($D847,REGOLITOS!$A:$A,REGOLITOS!F:F)</f>
        <v>#N/A</v>
      </c>
      <c r="G847" s="48" t="str">
        <f t="array" ref="G847">XLOOKUP($D847,REGOLITOS!$A:$A,REGOLITOS!G:G)</f>
        <v>#N/A</v>
      </c>
      <c r="H847" s="48" t="str">
        <f t="array" ref="H847">XLOOKUP($D847,REGOLITOS!$A:$A,REGOLITOS!H:H)</f>
        <v>#N/A</v>
      </c>
      <c r="I847" s="48" t="str">
        <f t="array" ref="I847">XLOOKUP($D847,REGOLITOS!$A:$A,REGOLITOS!I:I)</f>
        <v>#N/A</v>
      </c>
      <c r="J847" s="48" t="str">
        <f t="array" ref="J847">XLOOKUP($D847,REGOLITOS!$A:$A,REGOLITOS!J:J)</f>
        <v>#N/A</v>
      </c>
      <c r="K847" s="48" t="str">
        <f t="array" ref="K847">XLOOKUP($D847,REGOLITOS!$A:$A,REGOLITOS!K:K)</f>
        <v>#N/A</v>
      </c>
      <c r="L847" s="76"/>
      <c r="M847" s="5" t="s">
        <v>1080</v>
      </c>
      <c r="N847" s="5" t="s">
        <v>1080</v>
      </c>
      <c r="O847" s="5" t="s">
        <v>1080</v>
      </c>
      <c r="P847" s="5" t="s">
        <v>1080</v>
      </c>
      <c r="Q847" s="5" t="s">
        <v>1080</v>
      </c>
      <c r="X847" s="71">
        <f t="shared" si="5"/>
        <v>0</v>
      </c>
      <c r="Y847" s="5" t="b">
        <v>0</v>
      </c>
    </row>
    <row r="848">
      <c r="B848" s="5" t="str">
        <f t="array" ref="B848">XLOOKUP(A848, CURSOS!A:A, CURSOS!B:B)</f>
        <v>#N/A</v>
      </c>
      <c r="C848" s="75" t="str">
        <f t="array" ref="C848">XLOOKUP(A848, CURSOS!A:A, CURSOS!C:C)</f>
        <v>#N/A</v>
      </c>
      <c r="D848" s="70" t="e">
        <v>#N/A</v>
      </c>
      <c r="E848" s="48"/>
      <c r="F848" s="48" t="str">
        <f t="array" ref="F848">XLOOKUP($D848,REGOLITOS!$A:$A,REGOLITOS!F:F)</f>
        <v>#N/A</v>
      </c>
      <c r="G848" s="48" t="str">
        <f t="array" ref="G848">XLOOKUP($D848,REGOLITOS!$A:$A,REGOLITOS!G:G)</f>
        <v>#N/A</v>
      </c>
      <c r="H848" s="48" t="str">
        <f t="array" ref="H848">XLOOKUP($D848,REGOLITOS!$A:$A,REGOLITOS!H:H)</f>
        <v>#N/A</v>
      </c>
      <c r="I848" s="48" t="str">
        <f t="array" ref="I848">XLOOKUP($D848,REGOLITOS!$A:$A,REGOLITOS!I:I)</f>
        <v>#N/A</v>
      </c>
      <c r="J848" s="48" t="str">
        <f t="array" ref="J848">XLOOKUP($D848,REGOLITOS!$A:$A,REGOLITOS!J:J)</f>
        <v>#N/A</v>
      </c>
      <c r="K848" s="48" t="str">
        <f t="array" ref="K848">XLOOKUP($D848,REGOLITOS!$A:$A,REGOLITOS!K:K)</f>
        <v>#N/A</v>
      </c>
      <c r="L848" s="76"/>
      <c r="M848" s="5" t="s">
        <v>1080</v>
      </c>
      <c r="N848" s="5" t="s">
        <v>1080</v>
      </c>
      <c r="O848" s="5" t="s">
        <v>1080</v>
      </c>
      <c r="P848" s="5" t="s">
        <v>1080</v>
      </c>
      <c r="Q848" s="5" t="s">
        <v>1080</v>
      </c>
      <c r="X848" s="71">
        <f t="shared" si="5"/>
        <v>0</v>
      </c>
      <c r="Y848" s="5" t="b">
        <v>0</v>
      </c>
    </row>
    <row r="849">
      <c r="B849" s="5" t="str">
        <f t="array" ref="B849">XLOOKUP(A849, CURSOS!A:A, CURSOS!B:B)</f>
        <v>#N/A</v>
      </c>
      <c r="C849" s="75" t="str">
        <f t="array" ref="C849">XLOOKUP(A849, CURSOS!A:A, CURSOS!C:C)</f>
        <v>#N/A</v>
      </c>
      <c r="D849" s="70" t="e">
        <v>#N/A</v>
      </c>
      <c r="E849" s="48"/>
      <c r="F849" s="48" t="str">
        <f t="array" ref="F849">XLOOKUP($D849,REGOLITOS!$A:$A,REGOLITOS!F:F)</f>
        <v>#N/A</v>
      </c>
      <c r="G849" s="48" t="str">
        <f t="array" ref="G849">XLOOKUP($D849,REGOLITOS!$A:$A,REGOLITOS!G:G)</f>
        <v>#N/A</v>
      </c>
      <c r="H849" s="48" t="str">
        <f t="array" ref="H849">XLOOKUP($D849,REGOLITOS!$A:$A,REGOLITOS!H:H)</f>
        <v>#N/A</v>
      </c>
      <c r="I849" s="48" t="str">
        <f t="array" ref="I849">XLOOKUP($D849,REGOLITOS!$A:$A,REGOLITOS!I:I)</f>
        <v>#N/A</v>
      </c>
      <c r="J849" s="48" t="str">
        <f t="array" ref="J849">XLOOKUP($D849,REGOLITOS!$A:$A,REGOLITOS!J:J)</f>
        <v>#N/A</v>
      </c>
      <c r="K849" s="48" t="str">
        <f t="array" ref="K849">XLOOKUP($D849,REGOLITOS!$A:$A,REGOLITOS!K:K)</f>
        <v>#N/A</v>
      </c>
      <c r="L849" s="76"/>
      <c r="M849" s="5" t="s">
        <v>1080</v>
      </c>
      <c r="N849" s="5" t="s">
        <v>1080</v>
      </c>
      <c r="O849" s="5" t="s">
        <v>1080</v>
      </c>
      <c r="P849" s="5" t="s">
        <v>1080</v>
      </c>
      <c r="Q849" s="5" t="s">
        <v>1080</v>
      </c>
      <c r="X849" s="71">
        <f t="shared" si="5"/>
        <v>0</v>
      </c>
      <c r="Y849" s="5" t="b">
        <v>0</v>
      </c>
    </row>
    <row r="850">
      <c r="B850" s="5" t="str">
        <f t="array" ref="B850">XLOOKUP(A850, CURSOS!A:A, CURSOS!B:B)</f>
        <v>#N/A</v>
      </c>
      <c r="C850" s="75" t="str">
        <f t="array" ref="C850">XLOOKUP(A850, CURSOS!A:A, CURSOS!C:C)</f>
        <v>#N/A</v>
      </c>
      <c r="D850" s="70" t="e">
        <v>#N/A</v>
      </c>
      <c r="E850" s="48"/>
      <c r="F850" s="48" t="str">
        <f t="array" ref="F850">XLOOKUP($D850,REGOLITOS!$A:$A,REGOLITOS!F:F)</f>
        <v>#N/A</v>
      </c>
      <c r="G850" s="48" t="str">
        <f t="array" ref="G850">XLOOKUP($D850,REGOLITOS!$A:$A,REGOLITOS!G:G)</f>
        <v>#N/A</v>
      </c>
      <c r="H850" s="48" t="str">
        <f t="array" ref="H850">XLOOKUP($D850,REGOLITOS!$A:$A,REGOLITOS!H:H)</f>
        <v>#N/A</v>
      </c>
      <c r="I850" s="48" t="str">
        <f t="array" ref="I850">XLOOKUP($D850,REGOLITOS!$A:$A,REGOLITOS!I:I)</f>
        <v>#N/A</v>
      </c>
      <c r="J850" s="48" t="str">
        <f t="array" ref="J850">XLOOKUP($D850,REGOLITOS!$A:$A,REGOLITOS!J:J)</f>
        <v>#N/A</v>
      </c>
      <c r="K850" s="48" t="str">
        <f t="array" ref="K850">XLOOKUP($D850,REGOLITOS!$A:$A,REGOLITOS!K:K)</f>
        <v>#N/A</v>
      </c>
      <c r="L850" s="76"/>
      <c r="M850" s="5" t="s">
        <v>1080</v>
      </c>
      <c r="N850" s="5" t="s">
        <v>1080</v>
      </c>
      <c r="O850" s="5" t="s">
        <v>1080</v>
      </c>
      <c r="P850" s="5" t="s">
        <v>1080</v>
      </c>
      <c r="Q850" s="5" t="s">
        <v>1080</v>
      </c>
      <c r="X850" s="71">
        <f t="shared" si="5"/>
        <v>0</v>
      </c>
      <c r="Y850" s="5" t="b">
        <v>0</v>
      </c>
    </row>
    <row r="851">
      <c r="B851" s="5" t="str">
        <f t="array" ref="B851">XLOOKUP(A851, CURSOS!A:A, CURSOS!B:B)</f>
        <v>#N/A</v>
      </c>
      <c r="C851" s="75" t="str">
        <f t="array" ref="C851">XLOOKUP(A851, CURSOS!A:A, CURSOS!C:C)</f>
        <v>#N/A</v>
      </c>
      <c r="D851" s="70" t="e">
        <v>#N/A</v>
      </c>
      <c r="E851" s="48"/>
      <c r="F851" s="48" t="str">
        <f t="array" ref="F851">XLOOKUP($D851,REGOLITOS!$A:$A,REGOLITOS!F:F)</f>
        <v>#N/A</v>
      </c>
      <c r="G851" s="48" t="str">
        <f t="array" ref="G851">XLOOKUP($D851,REGOLITOS!$A:$A,REGOLITOS!G:G)</f>
        <v>#N/A</v>
      </c>
      <c r="H851" s="48" t="str">
        <f t="array" ref="H851">XLOOKUP($D851,REGOLITOS!$A:$A,REGOLITOS!H:H)</f>
        <v>#N/A</v>
      </c>
      <c r="I851" s="48" t="str">
        <f t="array" ref="I851">XLOOKUP($D851,REGOLITOS!$A:$A,REGOLITOS!I:I)</f>
        <v>#N/A</v>
      </c>
      <c r="J851" s="48" t="str">
        <f t="array" ref="J851">XLOOKUP($D851,REGOLITOS!$A:$A,REGOLITOS!J:J)</f>
        <v>#N/A</v>
      </c>
      <c r="K851" s="48" t="str">
        <f t="array" ref="K851">XLOOKUP($D851,REGOLITOS!$A:$A,REGOLITOS!K:K)</f>
        <v>#N/A</v>
      </c>
      <c r="L851" s="76"/>
      <c r="M851" s="5" t="s">
        <v>1080</v>
      </c>
      <c r="N851" s="5" t="s">
        <v>1080</v>
      </c>
      <c r="O851" s="5" t="s">
        <v>1080</v>
      </c>
      <c r="P851" s="5" t="s">
        <v>1080</v>
      </c>
      <c r="Q851" s="5" t="s">
        <v>1080</v>
      </c>
      <c r="X851" s="71">
        <f t="shared" si="5"/>
        <v>0</v>
      </c>
      <c r="Y851" s="5" t="b">
        <v>0</v>
      </c>
    </row>
    <row r="852">
      <c r="B852" s="5" t="str">
        <f t="array" ref="B852">XLOOKUP(A852, CURSOS!A:A, CURSOS!B:B)</f>
        <v>#N/A</v>
      </c>
      <c r="C852" s="75" t="str">
        <f t="array" ref="C852">XLOOKUP(A852, CURSOS!A:A, CURSOS!C:C)</f>
        <v>#N/A</v>
      </c>
      <c r="D852" s="70" t="e">
        <v>#N/A</v>
      </c>
      <c r="E852" s="48"/>
      <c r="F852" s="48" t="str">
        <f t="array" ref="F852">XLOOKUP($D852,REGOLITOS!$A:$A,REGOLITOS!F:F)</f>
        <v>#N/A</v>
      </c>
      <c r="G852" s="48" t="str">
        <f t="array" ref="G852">XLOOKUP($D852,REGOLITOS!$A:$A,REGOLITOS!G:G)</f>
        <v>#N/A</v>
      </c>
      <c r="H852" s="48" t="str">
        <f t="array" ref="H852">XLOOKUP($D852,REGOLITOS!$A:$A,REGOLITOS!H:H)</f>
        <v>#N/A</v>
      </c>
      <c r="I852" s="48" t="str">
        <f t="array" ref="I852">XLOOKUP($D852,REGOLITOS!$A:$A,REGOLITOS!I:I)</f>
        <v>#N/A</v>
      </c>
      <c r="J852" s="48" t="str">
        <f t="array" ref="J852">XLOOKUP($D852,REGOLITOS!$A:$A,REGOLITOS!J:J)</f>
        <v>#N/A</v>
      </c>
      <c r="K852" s="48" t="str">
        <f t="array" ref="K852">XLOOKUP($D852,REGOLITOS!$A:$A,REGOLITOS!K:K)</f>
        <v>#N/A</v>
      </c>
      <c r="L852" s="76"/>
      <c r="M852" s="5" t="s">
        <v>1080</v>
      </c>
      <c r="N852" s="5" t="s">
        <v>1080</v>
      </c>
      <c r="O852" s="5" t="s">
        <v>1080</v>
      </c>
      <c r="P852" s="5" t="s">
        <v>1080</v>
      </c>
      <c r="Q852" s="5" t="s">
        <v>1080</v>
      </c>
      <c r="X852" s="71">
        <f t="shared" si="5"/>
        <v>0</v>
      </c>
      <c r="Y852" s="5" t="b">
        <v>0</v>
      </c>
    </row>
    <row r="853">
      <c r="B853" s="5" t="str">
        <f t="array" ref="B853">XLOOKUP(A853, CURSOS!A:A, CURSOS!B:B)</f>
        <v>#N/A</v>
      </c>
      <c r="C853" s="75" t="str">
        <f t="array" ref="C853">XLOOKUP(A853, CURSOS!A:A, CURSOS!C:C)</f>
        <v>#N/A</v>
      </c>
      <c r="D853" s="70" t="e">
        <v>#N/A</v>
      </c>
      <c r="E853" s="48"/>
      <c r="F853" s="48" t="str">
        <f t="array" ref="F853">XLOOKUP($D853,REGOLITOS!$A:$A,REGOLITOS!F:F)</f>
        <v>#N/A</v>
      </c>
      <c r="G853" s="48" t="str">
        <f t="array" ref="G853">XLOOKUP($D853,REGOLITOS!$A:$A,REGOLITOS!G:G)</f>
        <v>#N/A</v>
      </c>
      <c r="H853" s="48" t="str">
        <f t="array" ref="H853">XLOOKUP($D853,REGOLITOS!$A:$A,REGOLITOS!H:H)</f>
        <v>#N/A</v>
      </c>
      <c r="I853" s="48" t="str">
        <f t="array" ref="I853">XLOOKUP($D853,REGOLITOS!$A:$A,REGOLITOS!I:I)</f>
        <v>#N/A</v>
      </c>
      <c r="J853" s="48" t="str">
        <f t="array" ref="J853">XLOOKUP($D853,REGOLITOS!$A:$A,REGOLITOS!J:J)</f>
        <v>#N/A</v>
      </c>
      <c r="K853" s="48" t="str">
        <f t="array" ref="K853">XLOOKUP($D853,REGOLITOS!$A:$A,REGOLITOS!K:K)</f>
        <v>#N/A</v>
      </c>
      <c r="L853" s="76"/>
      <c r="M853" s="5" t="s">
        <v>1080</v>
      </c>
      <c r="N853" s="5" t="s">
        <v>1080</v>
      </c>
      <c r="O853" s="5" t="s">
        <v>1080</v>
      </c>
      <c r="P853" s="5" t="s">
        <v>1080</v>
      </c>
      <c r="Q853" s="5" t="s">
        <v>1080</v>
      </c>
      <c r="X853" s="71">
        <f t="shared" si="5"/>
        <v>0</v>
      </c>
      <c r="Y853" s="5" t="b">
        <v>0</v>
      </c>
    </row>
    <row r="854">
      <c r="B854" s="5" t="str">
        <f t="array" ref="B854">XLOOKUP(A854, CURSOS!A:A, CURSOS!B:B)</f>
        <v>#N/A</v>
      </c>
      <c r="C854" s="75" t="str">
        <f t="array" ref="C854">XLOOKUP(A854, CURSOS!A:A, CURSOS!C:C)</f>
        <v>#N/A</v>
      </c>
      <c r="D854" s="70" t="e">
        <v>#N/A</v>
      </c>
      <c r="E854" s="48"/>
      <c r="F854" s="48" t="str">
        <f t="array" ref="F854">XLOOKUP($D854,REGOLITOS!$A:$A,REGOLITOS!F:F)</f>
        <v>#N/A</v>
      </c>
      <c r="G854" s="48" t="str">
        <f t="array" ref="G854">XLOOKUP($D854,REGOLITOS!$A:$A,REGOLITOS!G:G)</f>
        <v>#N/A</v>
      </c>
      <c r="H854" s="48" t="str">
        <f t="array" ref="H854">XLOOKUP($D854,REGOLITOS!$A:$A,REGOLITOS!H:H)</f>
        <v>#N/A</v>
      </c>
      <c r="I854" s="48" t="str">
        <f t="array" ref="I854">XLOOKUP($D854,REGOLITOS!$A:$A,REGOLITOS!I:I)</f>
        <v>#N/A</v>
      </c>
      <c r="J854" s="48" t="str">
        <f t="array" ref="J854">XLOOKUP($D854,REGOLITOS!$A:$A,REGOLITOS!J:J)</f>
        <v>#N/A</v>
      </c>
      <c r="K854" s="48" t="str">
        <f t="array" ref="K854">XLOOKUP($D854,REGOLITOS!$A:$A,REGOLITOS!K:K)</f>
        <v>#N/A</v>
      </c>
      <c r="L854" s="76"/>
      <c r="M854" s="5" t="s">
        <v>1080</v>
      </c>
      <c r="N854" s="5" t="s">
        <v>1080</v>
      </c>
      <c r="O854" s="5" t="s">
        <v>1080</v>
      </c>
      <c r="P854" s="5" t="s">
        <v>1080</v>
      </c>
      <c r="Q854" s="5" t="s">
        <v>1080</v>
      </c>
      <c r="X854" s="71">
        <f t="shared" si="5"/>
        <v>0</v>
      </c>
      <c r="Y854" s="5" t="b">
        <v>0</v>
      </c>
    </row>
    <row r="855">
      <c r="B855" s="5" t="str">
        <f t="array" ref="B855">XLOOKUP(A855, CURSOS!A:A, CURSOS!B:B)</f>
        <v>#N/A</v>
      </c>
      <c r="C855" s="75" t="str">
        <f t="array" ref="C855">XLOOKUP(A855, CURSOS!A:A, CURSOS!C:C)</f>
        <v>#N/A</v>
      </c>
      <c r="D855" s="70" t="e">
        <v>#N/A</v>
      </c>
      <c r="E855" s="48"/>
      <c r="F855" s="48" t="str">
        <f t="array" ref="F855">XLOOKUP($D855,REGOLITOS!$A:$A,REGOLITOS!F:F)</f>
        <v>#N/A</v>
      </c>
      <c r="G855" s="48" t="str">
        <f t="array" ref="G855">XLOOKUP($D855,REGOLITOS!$A:$A,REGOLITOS!G:G)</f>
        <v>#N/A</v>
      </c>
      <c r="H855" s="48" t="str">
        <f t="array" ref="H855">XLOOKUP($D855,REGOLITOS!$A:$A,REGOLITOS!H:H)</f>
        <v>#N/A</v>
      </c>
      <c r="I855" s="48" t="str">
        <f t="array" ref="I855">XLOOKUP($D855,REGOLITOS!$A:$A,REGOLITOS!I:I)</f>
        <v>#N/A</v>
      </c>
      <c r="J855" s="48" t="str">
        <f t="array" ref="J855">XLOOKUP($D855,REGOLITOS!$A:$A,REGOLITOS!J:J)</f>
        <v>#N/A</v>
      </c>
      <c r="K855" s="48" t="str">
        <f t="array" ref="K855">XLOOKUP($D855,REGOLITOS!$A:$A,REGOLITOS!K:K)</f>
        <v>#N/A</v>
      </c>
      <c r="L855" s="76"/>
      <c r="M855" s="5" t="s">
        <v>1080</v>
      </c>
      <c r="N855" s="5" t="s">
        <v>1080</v>
      </c>
      <c r="O855" s="5" t="s">
        <v>1080</v>
      </c>
      <c r="P855" s="5" t="s">
        <v>1080</v>
      </c>
      <c r="Q855" s="5" t="s">
        <v>1080</v>
      </c>
      <c r="X855" s="71">
        <f t="shared" si="5"/>
        <v>0</v>
      </c>
      <c r="Y855" s="5" t="b">
        <v>0</v>
      </c>
    </row>
    <row r="856">
      <c r="B856" s="5" t="str">
        <f t="array" ref="B856">XLOOKUP(A856, CURSOS!A:A, CURSOS!B:B)</f>
        <v>#N/A</v>
      </c>
      <c r="C856" s="75" t="str">
        <f t="array" ref="C856">XLOOKUP(A856, CURSOS!A:A, CURSOS!C:C)</f>
        <v>#N/A</v>
      </c>
      <c r="D856" s="70" t="e">
        <v>#N/A</v>
      </c>
      <c r="E856" s="48"/>
      <c r="F856" s="48" t="str">
        <f t="array" ref="F856">XLOOKUP($D856,REGOLITOS!$A:$A,REGOLITOS!F:F)</f>
        <v>#N/A</v>
      </c>
      <c r="G856" s="48" t="str">
        <f t="array" ref="G856">XLOOKUP($D856,REGOLITOS!$A:$A,REGOLITOS!G:G)</f>
        <v>#N/A</v>
      </c>
      <c r="H856" s="48" t="str">
        <f t="array" ref="H856">XLOOKUP($D856,REGOLITOS!$A:$A,REGOLITOS!H:H)</f>
        <v>#N/A</v>
      </c>
      <c r="I856" s="48" t="str">
        <f t="array" ref="I856">XLOOKUP($D856,REGOLITOS!$A:$A,REGOLITOS!I:I)</f>
        <v>#N/A</v>
      </c>
      <c r="J856" s="48" t="str">
        <f t="array" ref="J856">XLOOKUP($D856,REGOLITOS!$A:$A,REGOLITOS!J:J)</f>
        <v>#N/A</v>
      </c>
      <c r="K856" s="48" t="str">
        <f t="array" ref="K856">XLOOKUP($D856,REGOLITOS!$A:$A,REGOLITOS!K:K)</f>
        <v>#N/A</v>
      </c>
      <c r="L856" s="76"/>
      <c r="M856" s="5" t="s">
        <v>1080</v>
      </c>
      <c r="N856" s="5" t="s">
        <v>1080</v>
      </c>
      <c r="O856" s="5" t="s">
        <v>1080</v>
      </c>
      <c r="P856" s="5" t="s">
        <v>1080</v>
      </c>
      <c r="Q856" s="5" t="s">
        <v>1080</v>
      </c>
      <c r="X856" s="71">
        <f t="shared" si="5"/>
        <v>0</v>
      </c>
      <c r="Y856" s="5" t="b">
        <v>0</v>
      </c>
    </row>
    <row r="857">
      <c r="B857" s="5" t="str">
        <f t="array" ref="B857">XLOOKUP(A857, CURSOS!A:A, CURSOS!B:B)</f>
        <v>#N/A</v>
      </c>
      <c r="C857" s="75" t="str">
        <f t="array" ref="C857">XLOOKUP(A857, CURSOS!A:A, CURSOS!C:C)</f>
        <v>#N/A</v>
      </c>
      <c r="D857" s="70" t="e">
        <v>#N/A</v>
      </c>
      <c r="E857" s="48"/>
      <c r="F857" s="48" t="str">
        <f t="array" ref="F857">XLOOKUP($D857,REGOLITOS!$A:$A,REGOLITOS!F:F)</f>
        <v>#N/A</v>
      </c>
      <c r="G857" s="48" t="str">
        <f t="array" ref="G857">XLOOKUP($D857,REGOLITOS!$A:$A,REGOLITOS!G:G)</f>
        <v>#N/A</v>
      </c>
      <c r="H857" s="48" t="str">
        <f t="array" ref="H857">XLOOKUP($D857,REGOLITOS!$A:$A,REGOLITOS!H:H)</f>
        <v>#N/A</v>
      </c>
      <c r="I857" s="48" t="str">
        <f t="array" ref="I857">XLOOKUP($D857,REGOLITOS!$A:$A,REGOLITOS!I:I)</f>
        <v>#N/A</v>
      </c>
      <c r="J857" s="48" t="str">
        <f t="array" ref="J857">XLOOKUP($D857,REGOLITOS!$A:$A,REGOLITOS!J:J)</f>
        <v>#N/A</v>
      </c>
      <c r="K857" s="48" t="str">
        <f t="array" ref="K857">XLOOKUP($D857,REGOLITOS!$A:$A,REGOLITOS!K:K)</f>
        <v>#N/A</v>
      </c>
      <c r="L857" s="76"/>
      <c r="M857" s="5" t="s">
        <v>1080</v>
      </c>
      <c r="N857" s="5" t="s">
        <v>1080</v>
      </c>
      <c r="O857" s="5" t="s">
        <v>1080</v>
      </c>
      <c r="P857" s="5" t="s">
        <v>1080</v>
      </c>
      <c r="Q857" s="5" t="s">
        <v>1080</v>
      </c>
      <c r="X857" s="71">
        <f t="shared" si="5"/>
        <v>0</v>
      </c>
      <c r="Y857" s="5" t="b">
        <v>0</v>
      </c>
    </row>
    <row r="858">
      <c r="B858" s="5" t="str">
        <f t="array" ref="B858">XLOOKUP(A858, CURSOS!A:A, CURSOS!B:B)</f>
        <v>#N/A</v>
      </c>
      <c r="C858" s="75" t="str">
        <f t="array" ref="C858">XLOOKUP(A858, CURSOS!A:A, CURSOS!C:C)</f>
        <v>#N/A</v>
      </c>
      <c r="D858" s="70" t="e">
        <v>#N/A</v>
      </c>
      <c r="E858" s="48"/>
      <c r="F858" s="48" t="str">
        <f t="array" ref="F858">XLOOKUP($D858,REGOLITOS!$A:$A,REGOLITOS!F:F)</f>
        <v>#N/A</v>
      </c>
      <c r="G858" s="48" t="str">
        <f t="array" ref="G858">XLOOKUP($D858,REGOLITOS!$A:$A,REGOLITOS!G:G)</f>
        <v>#N/A</v>
      </c>
      <c r="H858" s="48" t="str">
        <f t="array" ref="H858">XLOOKUP($D858,REGOLITOS!$A:$A,REGOLITOS!H:H)</f>
        <v>#N/A</v>
      </c>
      <c r="I858" s="48" t="str">
        <f t="array" ref="I858">XLOOKUP($D858,REGOLITOS!$A:$A,REGOLITOS!I:I)</f>
        <v>#N/A</v>
      </c>
      <c r="J858" s="48" t="str">
        <f t="array" ref="J858">XLOOKUP($D858,REGOLITOS!$A:$A,REGOLITOS!J:J)</f>
        <v>#N/A</v>
      </c>
      <c r="K858" s="48" t="str">
        <f t="array" ref="K858">XLOOKUP($D858,REGOLITOS!$A:$A,REGOLITOS!K:K)</f>
        <v>#N/A</v>
      </c>
      <c r="L858" s="76"/>
      <c r="M858" s="5" t="s">
        <v>1080</v>
      </c>
      <c r="N858" s="5" t="s">
        <v>1080</v>
      </c>
      <c r="O858" s="5" t="s">
        <v>1080</v>
      </c>
      <c r="P858" s="5" t="s">
        <v>1080</v>
      </c>
      <c r="Q858" s="5" t="s">
        <v>1080</v>
      </c>
      <c r="X858" s="71">
        <f t="shared" si="5"/>
        <v>0</v>
      </c>
      <c r="Y858" s="5" t="b">
        <v>0</v>
      </c>
    </row>
    <row r="859">
      <c r="B859" s="5" t="str">
        <f t="array" ref="B859">XLOOKUP(A859, CURSOS!A:A, CURSOS!B:B)</f>
        <v>#N/A</v>
      </c>
      <c r="C859" s="75" t="str">
        <f t="array" ref="C859">XLOOKUP(A859, CURSOS!A:A, CURSOS!C:C)</f>
        <v>#N/A</v>
      </c>
      <c r="D859" s="70" t="e">
        <v>#N/A</v>
      </c>
      <c r="E859" s="48"/>
      <c r="F859" s="48" t="str">
        <f t="array" ref="F859">XLOOKUP($D859,REGOLITOS!$A:$A,REGOLITOS!F:F)</f>
        <v>#N/A</v>
      </c>
      <c r="G859" s="48" t="str">
        <f t="array" ref="G859">XLOOKUP($D859,REGOLITOS!$A:$A,REGOLITOS!G:G)</f>
        <v>#N/A</v>
      </c>
      <c r="H859" s="48" t="str">
        <f t="array" ref="H859">XLOOKUP($D859,REGOLITOS!$A:$A,REGOLITOS!H:H)</f>
        <v>#N/A</v>
      </c>
      <c r="I859" s="48" t="str">
        <f t="array" ref="I859">XLOOKUP($D859,REGOLITOS!$A:$A,REGOLITOS!I:I)</f>
        <v>#N/A</v>
      </c>
      <c r="J859" s="48" t="str">
        <f t="array" ref="J859">XLOOKUP($D859,REGOLITOS!$A:$A,REGOLITOS!J:J)</f>
        <v>#N/A</v>
      </c>
      <c r="K859" s="48" t="str">
        <f t="array" ref="K859">XLOOKUP($D859,REGOLITOS!$A:$A,REGOLITOS!K:K)</f>
        <v>#N/A</v>
      </c>
      <c r="L859" s="76"/>
      <c r="M859" s="5" t="s">
        <v>1080</v>
      </c>
      <c r="N859" s="5" t="s">
        <v>1080</v>
      </c>
      <c r="O859" s="5" t="s">
        <v>1080</v>
      </c>
      <c r="P859" s="5" t="s">
        <v>1080</v>
      </c>
      <c r="Q859" s="5" t="s">
        <v>1080</v>
      </c>
      <c r="X859" s="71">
        <f t="shared" si="5"/>
        <v>0</v>
      </c>
      <c r="Y859" s="5" t="b">
        <v>0</v>
      </c>
    </row>
    <row r="860">
      <c r="B860" s="5" t="str">
        <f t="array" ref="B860">XLOOKUP(A860, CURSOS!A:A, CURSOS!B:B)</f>
        <v>#N/A</v>
      </c>
      <c r="C860" s="75" t="str">
        <f t="array" ref="C860">XLOOKUP(A860, CURSOS!A:A, CURSOS!C:C)</f>
        <v>#N/A</v>
      </c>
      <c r="D860" s="70" t="e">
        <v>#N/A</v>
      </c>
      <c r="E860" s="48"/>
      <c r="F860" s="48" t="str">
        <f t="array" ref="F860">XLOOKUP($D860,REGOLITOS!$A:$A,REGOLITOS!F:F)</f>
        <v>#N/A</v>
      </c>
      <c r="G860" s="48" t="str">
        <f t="array" ref="G860">XLOOKUP($D860,REGOLITOS!$A:$A,REGOLITOS!G:G)</f>
        <v>#N/A</v>
      </c>
      <c r="H860" s="48" t="str">
        <f t="array" ref="H860">XLOOKUP($D860,REGOLITOS!$A:$A,REGOLITOS!H:H)</f>
        <v>#N/A</v>
      </c>
      <c r="I860" s="48" t="str">
        <f t="array" ref="I860">XLOOKUP($D860,REGOLITOS!$A:$A,REGOLITOS!I:I)</f>
        <v>#N/A</v>
      </c>
      <c r="J860" s="48" t="str">
        <f t="array" ref="J860">XLOOKUP($D860,REGOLITOS!$A:$A,REGOLITOS!J:J)</f>
        <v>#N/A</v>
      </c>
      <c r="K860" s="48" t="str">
        <f t="array" ref="K860">XLOOKUP($D860,REGOLITOS!$A:$A,REGOLITOS!K:K)</f>
        <v>#N/A</v>
      </c>
      <c r="L860" s="76"/>
      <c r="M860" s="5" t="s">
        <v>1080</v>
      </c>
      <c r="N860" s="5" t="s">
        <v>1080</v>
      </c>
      <c r="O860" s="5" t="s">
        <v>1080</v>
      </c>
      <c r="P860" s="5" t="s">
        <v>1080</v>
      </c>
      <c r="Q860" s="5" t="s">
        <v>1080</v>
      </c>
      <c r="X860" s="71">
        <f t="shared" si="5"/>
        <v>0</v>
      </c>
      <c r="Y860" s="5" t="b">
        <v>0</v>
      </c>
    </row>
    <row r="861">
      <c r="B861" s="5" t="str">
        <f t="array" ref="B861">XLOOKUP(A861, CURSOS!A:A, CURSOS!B:B)</f>
        <v>#N/A</v>
      </c>
      <c r="C861" s="75" t="str">
        <f t="array" ref="C861">XLOOKUP(A861, CURSOS!A:A, CURSOS!C:C)</f>
        <v>#N/A</v>
      </c>
      <c r="D861" s="70" t="e">
        <v>#N/A</v>
      </c>
      <c r="E861" s="48"/>
      <c r="F861" s="48" t="str">
        <f t="array" ref="F861">XLOOKUP($D861,REGOLITOS!$A:$A,REGOLITOS!F:F)</f>
        <v>#N/A</v>
      </c>
      <c r="G861" s="48" t="str">
        <f t="array" ref="G861">XLOOKUP($D861,REGOLITOS!$A:$A,REGOLITOS!G:G)</f>
        <v>#N/A</v>
      </c>
      <c r="H861" s="48" t="str">
        <f t="array" ref="H861">XLOOKUP($D861,REGOLITOS!$A:$A,REGOLITOS!H:H)</f>
        <v>#N/A</v>
      </c>
      <c r="I861" s="48" t="str">
        <f t="array" ref="I861">XLOOKUP($D861,REGOLITOS!$A:$A,REGOLITOS!I:I)</f>
        <v>#N/A</v>
      </c>
      <c r="J861" s="48" t="str">
        <f t="array" ref="J861">XLOOKUP($D861,REGOLITOS!$A:$A,REGOLITOS!J:J)</f>
        <v>#N/A</v>
      </c>
      <c r="K861" s="48" t="str">
        <f t="array" ref="K861">XLOOKUP($D861,REGOLITOS!$A:$A,REGOLITOS!K:K)</f>
        <v>#N/A</v>
      </c>
      <c r="L861" s="76"/>
      <c r="M861" s="5" t="s">
        <v>1080</v>
      </c>
      <c r="N861" s="5" t="s">
        <v>1080</v>
      </c>
      <c r="O861" s="5" t="s">
        <v>1080</v>
      </c>
      <c r="P861" s="5" t="s">
        <v>1080</v>
      </c>
      <c r="Q861" s="5" t="s">
        <v>1080</v>
      </c>
      <c r="X861" s="71">
        <f t="shared" si="5"/>
        <v>0</v>
      </c>
      <c r="Y861" s="5" t="b">
        <v>0</v>
      </c>
    </row>
    <row r="862">
      <c r="B862" s="5" t="str">
        <f t="array" ref="B862">XLOOKUP(A862, CURSOS!A:A, CURSOS!B:B)</f>
        <v>#N/A</v>
      </c>
      <c r="C862" s="75" t="str">
        <f t="array" ref="C862">XLOOKUP(A862, CURSOS!A:A, CURSOS!C:C)</f>
        <v>#N/A</v>
      </c>
      <c r="D862" s="70" t="e">
        <v>#N/A</v>
      </c>
      <c r="E862" s="48"/>
      <c r="F862" s="48" t="str">
        <f t="array" ref="F862">XLOOKUP($D862,REGOLITOS!$A:$A,REGOLITOS!F:F)</f>
        <v>#N/A</v>
      </c>
      <c r="G862" s="48" t="str">
        <f t="array" ref="G862">XLOOKUP($D862,REGOLITOS!$A:$A,REGOLITOS!G:G)</f>
        <v>#N/A</v>
      </c>
      <c r="H862" s="48" t="str">
        <f t="array" ref="H862">XLOOKUP($D862,REGOLITOS!$A:$A,REGOLITOS!H:H)</f>
        <v>#N/A</v>
      </c>
      <c r="I862" s="48" t="str">
        <f t="array" ref="I862">XLOOKUP($D862,REGOLITOS!$A:$A,REGOLITOS!I:I)</f>
        <v>#N/A</v>
      </c>
      <c r="J862" s="48" t="str">
        <f t="array" ref="J862">XLOOKUP($D862,REGOLITOS!$A:$A,REGOLITOS!J:J)</f>
        <v>#N/A</v>
      </c>
      <c r="K862" s="48" t="str">
        <f t="array" ref="K862">XLOOKUP($D862,REGOLITOS!$A:$A,REGOLITOS!K:K)</f>
        <v>#N/A</v>
      </c>
      <c r="L862" s="76"/>
      <c r="M862" s="5" t="s">
        <v>1080</v>
      </c>
      <c r="N862" s="5" t="s">
        <v>1080</v>
      </c>
      <c r="O862" s="5" t="s">
        <v>1080</v>
      </c>
      <c r="P862" s="5" t="s">
        <v>1080</v>
      </c>
      <c r="Q862" s="5" t="s">
        <v>1080</v>
      </c>
      <c r="X862" s="71">
        <f t="shared" si="5"/>
        <v>0</v>
      </c>
      <c r="Y862" s="5" t="b">
        <v>0</v>
      </c>
    </row>
    <row r="863">
      <c r="B863" s="5" t="str">
        <f t="array" ref="B863">XLOOKUP(A863, CURSOS!A:A, CURSOS!B:B)</f>
        <v>#N/A</v>
      </c>
      <c r="C863" s="75" t="str">
        <f t="array" ref="C863">XLOOKUP(A863, CURSOS!A:A, CURSOS!C:C)</f>
        <v>#N/A</v>
      </c>
      <c r="D863" s="70" t="e">
        <v>#N/A</v>
      </c>
      <c r="E863" s="48"/>
      <c r="F863" s="48" t="str">
        <f t="array" ref="F863">XLOOKUP($D863,REGOLITOS!$A:$A,REGOLITOS!F:F)</f>
        <v>#N/A</v>
      </c>
      <c r="G863" s="48" t="str">
        <f t="array" ref="G863">XLOOKUP($D863,REGOLITOS!$A:$A,REGOLITOS!G:G)</f>
        <v>#N/A</v>
      </c>
      <c r="H863" s="48" t="str">
        <f t="array" ref="H863">XLOOKUP($D863,REGOLITOS!$A:$A,REGOLITOS!H:H)</f>
        <v>#N/A</v>
      </c>
      <c r="I863" s="48" t="str">
        <f t="array" ref="I863">XLOOKUP($D863,REGOLITOS!$A:$A,REGOLITOS!I:I)</f>
        <v>#N/A</v>
      </c>
      <c r="J863" s="48" t="str">
        <f t="array" ref="J863">XLOOKUP($D863,REGOLITOS!$A:$A,REGOLITOS!J:J)</f>
        <v>#N/A</v>
      </c>
      <c r="K863" s="48" t="str">
        <f t="array" ref="K863">XLOOKUP($D863,REGOLITOS!$A:$A,REGOLITOS!K:K)</f>
        <v>#N/A</v>
      </c>
      <c r="L863" s="76"/>
      <c r="M863" s="5" t="s">
        <v>1080</v>
      </c>
      <c r="N863" s="5" t="s">
        <v>1080</v>
      </c>
      <c r="O863" s="5" t="s">
        <v>1080</v>
      </c>
      <c r="P863" s="5" t="s">
        <v>1080</v>
      </c>
      <c r="Q863" s="5" t="s">
        <v>1080</v>
      </c>
      <c r="X863" s="71">
        <f t="shared" si="5"/>
        <v>0</v>
      </c>
      <c r="Y863" s="5" t="b">
        <v>0</v>
      </c>
    </row>
    <row r="864">
      <c r="B864" s="5" t="str">
        <f t="array" ref="B864">XLOOKUP(A864, CURSOS!A:A, CURSOS!B:B)</f>
        <v>#N/A</v>
      </c>
      <c r="C864" s="75" t="str">
        <f t="array" ref="C864">XLOOKUP(A864, CURSOS!A:A, CURSOS!C:C)</f>
        <v>#N/A</v>
      </c>
      <c r="D864" s="70" t="e">
        <v>#N/A</v>
      </c>
      <c r="E864" s="48"/>
      <c r="F864" s="48" t="str">
        <f t="array" ref="F864">XLOOKUP($D864,REGOLITOS!$A:$A,REGOLITOS!F:F)</f>
        <v>#N/A</v>
      </c>
      <c r="G864" s="48" t="str">
        <f t="array" ref="G864">XLOOKUP($D864,REGOLITOS!$A:$A,REGOLITOS!G:G)</f>
        <v>#N/A</v>
      </c>
      <c r="H864" s="48" t="str">
        <f t="array" ref="H864">XLOOKUP($D864,REGOLITOS!$A:$A,REGOLITOS!H:H)</f>
        <v>#N/A</v>
      </c>
      <c r="I864" s="48" t="str">
        <f t="array" ref="I864">XLOOKUP($D864,REGOLITOS!$A:$A,REGOLITOS!I:I)</f>
        <v>#N/A</v>
      </c>
      <c r="J864" s="48" t="str">
        <f t="array" ref="J864">XLOOKUP($D864,REGOLITOS!$A:$A,REGOLITOS!J:J)</f>
        <v>#N/A</v>
      </c>
      <c r="K864" s="48" t="str">
        <f t="array" ref="K864">XLOOKUP($D864,REGOLITOS!$A:$A,REGOLITOS!K:K)</f>
        <v>#N/A</v>
      </c>
      <c r="L864" s="76"/>
      <c r="M864" s="5" t="s">
        <v>1080</v>
      </c>
      <c r="N864" s="5" t="s">
        <v>1080</v>
      </c>
      <c r="O864" s="5" t="s">
        <v>1080</v>
      </c>
      <c r="P864" s="5" t="s">
        <v>1080</v>
      </c>
      <c r="Q864" s="5" t="s">
        <v>1080</v>
      </c>
      <c r="X864" s="71">
        <f t="shared" si="5"/>
        <v>0</v>
      </c>
      <c r="Y864" s="5" t="b">
        <v>0</v>
      </c>
    </row>
    <row r="865">
      <c r="B865" s="5" t="str">
        <f t="array" ref="B865">XLOOKUP(A865, CURSOS!A:A, CURSOS!B:B)</f>
        <v>#N/A</v>
      </c>
      <c r="C865" s="75" t="str">
        <f t="array" ref="C865">XLOOKUP(A865, CURSOS!A:A, CURSOS!C:C)</f>
        <v>#N/A</v>
      </c>
      <c r="D865" s="70" t="e">
        <v>#N/A</v>
      </c>
      <c r="E865" s="48"/>
      <c r="F865" s="48" t="str">
        <f t="array" ref="F865">XLOOKUP($D865,REGOLITOS!$A:$A,REGOLITOS!F:F)</f>
        <v>#N/A</v>
      </c>
      <c r="G865" s="48" t="str">
        <f t="array" ref="G865">XLOOKUP($D865,REGOLITOS!$A:$A,REGOLITOS!G:G)</f>
        <v>#N/A</v>
      </c>
      <c r="H865" s="48" t="str">
        <f t="array" ref="H865">XLOOKUP($D865,REGOLITOS!$A:$A,REGOLITOS!H:H)</f>
        <v>#N/A</v>
      </c>
      <c r="I865" s="48" t="str">
        <f t="array" ref="I865">XLOOKUP($D865,REGOLITOS!$A:$A,REGOLITOS!I:I)</f>
        <v>#N/A</v>
      </c>
      <c r="J865" s="48" t="str">
        <f t="array" ref="J865">XLOOKUP($D865,REGOLITOS!$A:$A,REGOLITOS!J:J)</f>
        <v>#N/A</v>
      </c>
      <c r="K865" s="48" t="str">
        <f t="array" ref="K865">XLOOKUP($D865,REGOLITOS!$A:$A,REGOLITOS!K:K)</f>
        <v>#N/A</v>
      </c>
      <c r="L865" s="76"/>
      <c r="M865" s="5" t="s">
        <v>1080</v>
      </c>
      <c r="N865" s="5" t="s">
        <v>1080</v>
      </c>
      <c r="O865" s="5" t="s">
        <v>1080</v>
      </c>
      <c r="P865" s="5" t="s">
        <v>1080</v>
      </c>
      <c r="Q865" s="5" t="s">
        <v>1080</v>
      </c>
      <c r="X865" s="71">
        <f t="shared" si="5"/>
        <v>0</v>
      </c>
      <c r="Y865" s="5" t="b">
        <v>0</v>
      </c>
    </row>
    <row r="866">
      <c r="B866" s="5" t="str">
        <f t="array" ref="B866">XLOOKUP(A866, CURSOS!A:A, CURSOS!B:B)</f>
        <v>#N/A</v>
      </c>
      <c r="C866" s="75" t="str">
        <f t="array" ref="C866">XLOOKUP(A866, CURSOS!A:A, CURSOS!C:C)</f>
        <v>#N/A</v>
      </c>
      <c r="D866" s="70" t="e">
        <v>#N/A</v>
      </c>
      <c r="E866" s="48"/>
      <c r="F866" s="48" t="str">
        <f t="array" ref="F866">XLOOKUP($D866,REGOLITOS!$A:$A,REGOLITOS!F:F)</f>
        <v>#N/A</v>
      </c>
      <c r="G866" s="48" t="str">
        <f t="array" ref="G866">XLOOKUP($D866,REGOLITOS!$A:$A,REGOLITOS!G:G)</f>
        <v>#N/A</v>
      </c>
      <c r="H866" s="48" t="str">
        <f t="array" ref="H866">XLOOKUP($D866,REGOLITOS!$A:$A,REGOLITOS!H:H)</f>
        <v>#N/A</v>
      </c>
      <c r="I866" s="48" t="str">
        <f t="array" ref="I866">XLOOKUP($D866,REGOLITOS!$A:$A,REGOLITOS!I:I)</f>
        <v>#N/A</v>
      </c>
      <c r="J866" s="48" t="str">
        <f t="array" ref="J866">XLOOKUP($D866,REGOLITOS!$A:$A,REGOLITOS!J:J)</f>
        <v>#N/A</v>
      </c>
      <c r="K866" s="48" t="str">
        <f t="array" ref="K866">XLOOKUP($D866,REGOLITOS!$A:$A,REGOLITOS!K:K)</f>
        <v>#N/A</v>
      </c>
      <c r="L866" s="76"/>
      <c r="M866" s="5" t="s">
        <v>1080</v>
      </c>
      <c r="N866" s="5" t="s">
        <v>1080</v>
      </c>
      <c r="O866" s="5" t="s">
        <v>1080</v>
      </c>
      <c r="P866" s="5" t="s">
        <v>1080</v>
      </c>
      <c r="Q866" s="5" t="s">
        <v>1080</v>
      </c>
      <c r="X866" s="71">
        <f t="shared" si="5"/>
        <v>0</v>
      </c>
      <c r="Y866" s="5" t="b">
        <v>0</v>
      </c>
    </row>
    <row r="867">
      <c r="B867" s="5" t="str">
        <f t="array" ref="B867">XLOOKUP(A867, CURSOS!A:A, CURSOS!B:B)</f>
        <v>#N/A</v>
      </c>
      <c r="C867" s="75" t="str">
        <f t="array" ref="C867">XLOOKUP(A867, CURSOS!A:A, CURSOS!C:C)</f>
        <v>#N/A</v>
      </c>
      <c r="D867" s="70" t="e">
        <v>#N/A</v>
      </c>
      <c r="E867" s="48"/>
      <c r="F867" s="48" t="str">
        <f t="array" ref="F867">XLOOKUP($D867,REGOLITOS!$A:$A,REGOLITOS!F:F)</f>
        <v>#N/A</v>
      </c>
      <c r="G867" s="48" t="str">
        <f t="array" ref="G867">XLOOKUP($D867,REGOLITOS!$A:$A,REGOLITOS!G:G)</f>
        <v>#N/A</v>
      </c>
      <c r="H867" s="48" t="str">
        <f t="array" ref="H867">XLOOKUP($D867,REGOLITOS!$A:$A,REGOLITOS!H:H)</f>
        <v>#N/A</v>
      </c>
      <c r="I867" s="48" t="str">
        <f t="array" ref="I867">XLOOKUP($D867,REGOLITOS!$A:$A,REGOLITOS!I:I)</f>
        <v>#N/A</v>
      </c>
      <c r="J867" s="48" t="str">
        <f t="array" ref="J867">XLOOKUP($D867,REGOLITOS!$A:$A,REGOLITOS!J:J)</f>
        <v>#N/A</v>
      </c>
      <c r="K867" s="48" t="str">
        <f t="array" ref="K867">XLOOKUP($D867,REGOLITOS!$A:$A,REGOLITOS!K:K)</f>
        <v>#N/A</v>
      </c>
      <c r="L867" s="76"/>
      <c r="M867" s="5" t="s">
        <v>1080</v>
      </c>
      <c r="N867" s="5" t="s">
        <v>1080</v>
      </c>
      <c r="O867" s="5" t="s">
        <v>1080</v>
      </c>
      <c r="P867" s="5" t="s">
        <v>1080</v>
      </c>
      <c r="Q867" s="5" t="s">
        <v>1080</v>
      </c>
      <c r="X867" s="71">
        <f t="shared" si="5"/>
        <v>0</v>
      </c>
      <c r="Y867" s="5" t="b">
        <v>0</v>
      </c>
    </row>
    <row r="868">
      <c r="B868" s="5" t="str">
        <f t="array" ref="B868">XLOOKUP(A868, CURSOS!A:A, CURSOS!B:B)</f>
        <v>#N/A</v>
      </c>
      <c r="C868" s="75" t="str">
        <f t="array" ref="C868">XLOOKUP(A868, CURSOS!A:A, CURSOS!C:C)</f>
        <v>#N/A</v>
      </c>
      <c r="D868" s="70" t="e">
        <v>#N/A</v>
      </c>
      <c r="E868" s="48"/>
      <c r="F868" s="48" t="str">
        <f t="array" ref="F868">XLOOKUP($D868,REGOLITOS!$A:$A,REGOLITOS!F:F)</f>
        <v>#N/A</v>
      </c>
      <c r="G868" s="48" t="str">
        <f t="array" ref="G868">XLOOKUP($D868,REGOLITOS!$A:$A,REGOLITOS!G:G)</f>
        <v>#N/A</v>
      </c>
      <c r="H868" s="48" t="str">
        <f t="array" ref="H868">XLOOKUP($D868,REGOLITOS!$A:$A,REGOLITOS!H:H)</f>
        <v>#N/A</v>
      </c>
      <c r="I868" s="48" t="str">
        <f t="array" ref="I868">XLOOKUP($D868,REGOLITOS!$A:$A,REGOLITOS!I:I)</f>
        <v>#N/A</v>
      </c>
      <c r="J868" s="48" t="str">
        <f t="array" ref="J868">XLOOKUP($D868,REGOLITOS!$A:$A,REGOLITOS!J:J)</f>
        <v>#N/A</v>
      </c>
      <c r="K868" s="48" t="str">
        <f t="array" ref="K868">XLOOKUP($D868,REGOLITOS!$A:$A,REGOLITOS!K:K)</f>
        <v>#N/A</v>
      </c>
      <c r="L868" s="76"/>
      <c r="M868" s="5" t="s">
        <v>1080</v>
      </c>
      <c r="N868" s="5" t="s">
        <v>1080</v>
      </c>
      <c r="O868" s="5" t="s">
        <v>1080</v>
      </c>
      <c r="P868" s="5" t="s">
        <v>1080</v>
      </c>
      <c r="Q868" s="5" t="s">
        <v>1080</v>
      </c>
      <c r="X868" s="71">
        <f t="shared" si="5"/>
        <v>0</v>
      </c>
      <c r="Y868" s="5" t="b">
        <v>0</v>
      </c>
    </row>
    <row r="869">
      <c r="B869" s="5" t="str">
        <f t="array" ref="B869">XLOOKUP(A869, CURSOS!A:A, CURSOS!B:B)</f>
        <v>#N/A</v>
      </c>
      <c r="C869" s="75" t="str">
        <f t="array" ref="C869">XLOOKUP(A869, CURSOS!A:A, CURSOS!C:C)</f>
        <v>#N/A</v>
      </c>
      <c r="D869" s="70" t="e">
        <v>#N/A</v>
      </c>
      <c r="E869" s="48"/>
      <c r="F869" s="48" t="str">
        <f t="array" ref="F869">XLOOKUP($D869,REGOLITOS!$A:$A,REGOLITOS!F:F)</f>
        <v>#N/A</v>
      </c>
      <c r="G869" s="48" t="str">
        <f t="array" ref="G869">XLOOKUP($D869,REGOLITOS!$A:$A,REGOLITOS!G:G)</f>
        <v>#N/A</v>
      </c>
      <c r="H869" s="48" t="str">
        <f t="array" ref="H869">XLOOKUP($D869,REGOLITOS!$A:$A,REGOLITOS!H:H)</f>
        <v>#N/A</v>
      </c>
      <c r="I869" s="48" t="str">
        <f t="array" ref="I869">XLOOKUP($D869,REGOLITOS!$A:$A,REGOLITOS!I:I)</f>
        <v>#N/A</v>
      </c>
      <c r="J869" s="48" t="str">
        <f t="array" ref="J869">XLOOKUP($D869,REGOLITOS!$A:$A,REGOLITOS!J:J)</f>
        <v>#N/A</v>
      </c>
      <c r="K869" s="48" t="str">
        <f t="array" ref="K869">XLOOKUP($D869,REGOLITOS!$A:$A,REGOLITOS!K:K)</f>
        <v>#N/A</v>
      </c>
      <c r="L869" s="76"/>
      <c r="M869" s="5" t="s">
        <v>1080</v>
      </c>
      <c r="N869" s="5" t="s">
        <v>1080</v>
      </c>
      <c r="O869" s="5" t="s">
        <v>1080</v>
      </c>
      <c r="P869" s="5" t="s">
        <v>1080</v>
      </c>
      <c r="Q869" s="5" t="s">
        <v>1080</v>
      </c>
      <c r="X869" s="71">
        <f t="shared" si="5"/>
        <v>0</v>
      </c>
      <c r="Y869" s="5" t="b">
        <v>0</v>
      </c>
    </row>
    <row r="870">
      <c r="B870" s="5" t="str">
        <f t="array" ref="B870">XLOOKUP(A870, CURSOS!A:A, CURSOS!B:B)</f>
        <v>#N/A</v>
      </c>
      <c r="C870" s="75" t="str">
        <f t="array" ref="C870">XLOOKUP(A870, CURSOS!A:A, CURSOS!C:C)</f>
        <v>#N/A</v>
      </c>
      <c r="D870" s="70" t="e">
        <v>#N/A</v>
      </c>
      <c r="E870" s="48"/>
      <c r="F870" s="48" t="str">
        <f t="array" ref="F870">XLOOKUP($D870,REGOLITOS!$A:$A,REGOLITOS!F:F)</f>
        <v>#N/A</v>
      </c>
      <c r="G870" s="48" t="str">
        <f t="array" ref="G870">XLOOKUP($D870,REGOLITOS!$A:$A,REGOLITOS!G:G)</f>
        <v>#N/A</v>
      </c>
      <c r="H870" s="48" t="str">
        <f t="array" ref="H870">XLOOKUP($D870,REGOLITOS!$A:$A,REGOLITOS!H:H)</f>
        <v>#N/A</v>
      </c>
      <c r="I870" s="48" t="str">
        <f t="array" ref="I870">XLOOKUP($D870,REGOLITOS!$A:$A,REGOLITOS!I:I)</f>
        <v>#N/A</v>
      </c>
      <c r="J870" s="48" t="str">
        <f t="array" ref="J870">XLOOKUP($D870,REGOLITOS!$A:$A,REGOLITOS!J:J)</f>
        <v>#N/A</v>
      </c>
      <c r="K870" s="48" t="str">
        <f t="array" ref="K870">XLOOKUP($D870,REGOLITOS!$A:$A,REGOLITOS!K:K)</f>
        <v>#N/A</v>
      </c>
      <c r="L870" s="76"/>
      <c r="M870" s="5" t="s">
        <v>1080</v>
      </c>
      <c r="N870" s="5" t="s">
        <v>1080</v>
      </c>
      <c r="O870" s="5" t="s">
        <v>1080</v>
      </c>
      <c r="P870" s="5" t="s">
        <v>1080</v>
      </c>
      <c r="Q870" s="5" t="s">
        <v>1080</v>
      </c>
      <c r="X870" s="71">
        <f t="shared" si="5"/>
        <v>0</v>
      </c>
      <c r="Y870" s="5" t="b">
        <v>0</v>
      </c>
    </row>
    <row r="871">
      <c r="B871" s="5" t="str">
        <f t="array" ref="B871">XLOOKUP(A871, CURSOS!A:A, CURSOS!B:B)</f>
        <v>#N/A</v>
      </c>
      <c r="C871" s="75" t="str">
        <f t="array" ref="C871">XLOOKUP(A871, CURSOS!A:A, CURSOS!C:C)</f>
        <v>#N/A</v>
      </c>
      <c r="D871" s="70" t="e">
        <v>#N/A</v>
      </c>
      <c r="E871" s="48"/>
      <c r="F871" s="48" t="str">
        <f t="array" ref="F871">XLOOKUP($D871,REGOLITOS!$A:$A,REGOLITOS!F:F)</f>
        <v>#N/A</v>
      </c>
      <c r="G871" s="48" t="str">
        <f t="array" ref="G871">XLOOKUP($D871,REGOLITOS!$A:$A,REGOLITOS!G:G)</f>
        <v>#N/A</v>
      </c>
      <c r="H871" s="48" t="str">
        <f t="array" ref="H871">XLOOKUP($D871,REGOLITOS!$A:$A,REGOLITOS!H:H)</f>
        <v>#N/A</v>
      </c>
      <c r="I871" s="48" t="str">
        <f t="array" ref="I871">XLOOKUP($D871,REGOLITOS!$A:$A,REGOLITOS!I:I)</f>
        <v>#N/A</v>
      </c>
      <c r="J871" s="48" t="str">
        <f t="array" ref="J871">XLOOKUP($D871,REGOLITOS!$A:$A,REGOLITOS!J:J)</f>
        <v>#N/A</v>
      </c>
      <c r="K871" s="48" t="str">
        <f t="array" ref="K871">XLOOKUP($D871,REGOLITOS!$A:$A,REGOLITOS!K:K)</f>
        <v>#N/A</v>
      </c>
      <c r="L871" s="76"/>
      <c r="M871" s="5" t="s">
        <v>1080</v>
      </c>
      <c r="N871" s="5" t="s">
        <v>1080</v>
      </c>
      <c r="O871" s="5" t="s">
        <v>1080</v>
      </c>
      <c r="P871" s="5" t="s">
        <v>1080</v>
      </c>
      <c r="Q871" s="5" t="s">
        <v>1080</v>
      </c>
      <c r="X871" s="71">
        <f t="shared" si="5"/>
        <v>0</v>
      </c>
      <c r="Y871" s="5" t="b">
        <v>0</v>
      </c>
    </row>
    <row r="872">
      <c r="B872" s="5" t="str">
        <f t="array" ref="B872">XLOOKUP(A872, CURSOS!A:A, CURSOS!B:B)</f>
        <v>#N/A</v>
      </c>
      <c r="C872" s="75" t="str">
        <f t="array" ref="C872">XLOOKUP(A872, CURSOS!A:A, CURSOS!C:C)</f>
        <v>#N/A</v>
      </c>
      <c r="D872" s="70" t="e">
        <v>#N/A</v>
      </c>
      <c r="E872" s="48"/>
      <c r="F872" s="48" t="str">
        <f t="array" ref="F872">XLOOKUP($D872,REGOLITOS!$A:$A,REGOLITOS!F:F)</f>
        <v>#N/A</v>
      </c>
      <c r="G872" s="48" t="str">
        <f t="array" ref="G872">XLOOKUP($D872,REGOLITOS!$A:$A,REGOLITOS!G:G)</f>
        <v>#N/A</v>
      </c>
      <c r="H872" s="48" t="str">
        <f t="array" ref="H872">XLOOKUP($D872,REGOLITOS!$A:$A,REGOLITOS!H:H)</f>
        <v>#N/A</v>
      </c>
      <c r="I872" s="48" t="str">
        <f t="array" ref="I872">XLOOKUP($D872,REGOLITOS!$A:$A,REGOLITOS!I:I)</f>
        <v>#N/A</v>
      </c>
      <c r="J872" s="48" t="str">
        <f t="array" ref="J872">XLOOKUP($D872,REGOLITOS!$A:$A,REGOLITOS!J:J)</f>
        <v>#N/A</v>
      </c>
      <c r="K872" s="48" t="str">
        <f t="array" ref="K872">XLOOKUP($D872,REGOLITOS!$A:$A,REGOLITOS!K:K)</f>
        <v>#N/A</v>
      </c>
      <c r="L872" s="76"/>
      <c r="M872" s="5" t="s">
        <v>1080</v>
      </c>
      <c r="N872" s="5" t="s">
        <v>1080</v>
      </c>
      <c r="O872" s="5" t="s">
        <v>1080</v>
      </c>
      <c r="P872" s="5" t="s">
        <v>1080</v>
      </c>
      <c r="Q872" s="5" t="s">
        <v>1080</v>
      </c>
      <c r="X872" s="71">
        <f t="shared" si="5"/>
        <v>0</v>
      </c>
      <c r="Y872" s="5" t="b">
        <v>0</v>
      </c>
    </row>
    <row r="873">
      <c r="B873" s="5" t="str">
        <f t="array" ref="B873">XLOOKUP(A873, CURSOS!A:A, CURSOS!B:B)</f>
        <v>#N/A</v>
      </c>
      <c r="C873" s="75" t="str">
        <f t="array" ref="C873">XLOOKUP(A873, CURSOS!A:A, CURSOS!C:C)</f>
        <v>#N/A</v>
      </c>
      <c r="D873" s="70" t="e">
        <v>#N/A</v>
      </c>
      <c r="E873" s="48"/>
      <c r="F873" s="48" t="str">
        <f t="array" ref="F873">XLOOKUP($D873,REGOLITOS!$A:$A,REGOLITOS!F:F)</f>
        <v>#N/A</v>
      </c>
      <c r="G873" s="48" t="str">
        <f t="array" ref="G873">XLOOKUP($D873,REGOLITOS!$A:$A,REGOLITOS!G:G)</f>
        <v>#N/A</v>
      </c>
      <c r="H873" s="48" t="str">
        <f t="array" ref="H873">XLOOKUP($D873,REGOLITOS!$A:$A,REGOLITOS!H:H)</f>
        <v>#N/A</v>
      </c>
      <c r="I873" s="48" t="str">
        <f t="array" ref="I873">XLOOKUP($D873,REGOLITOS!$A:$A,REGOLITOS!I:I)</f>
        <v>#N/A</v>
      </c>
      <c r="J873" s="48" t="str">
        <f t="array" ref="J873">XLOOKUP($D873,REGOLITOS!$A:$A,REGOLITOS!J:J)</f>
        <v>#N/A</v>
      </c>
      <c r="K873" s="48" t="str">
        <f t="array" ref="K873">XLOOKUP($D873,REGOLITOS!$A:$A,REGOLITOS!K:K)</f>
        <v>#N/A</v>
      </c>
      <c r="L873" s="76"/>
      <c r="M873" s="5" t="s">
        <v>1080</v>
      </c>
      <c r="N873" s="5" t="s">
        <v>1080</v>
      </c>
      <c r="O873" s="5" t="s">
        <v>1080</v>
      </c>
      <c r="P873" s="5" t="s">
        <v>1080</v>
      </c>
      <c r="Q873" s="5" t="s">
        <v>1080</v>
      </c>
      <c r="X873" s="71">
        <f t="shared" si="5"/>
        <v>0</v>
      </c>
      <c r="Y873" s="5" t="b">
        <v>0</v>
      </c>
    </row>
    <row r="874">
      <c r="B874" s="5" t="str">
        <f t="array" ref="B874">XLOOKUP(A874, CURSOS!A:A, CURSOS!B:B)</f>
        <v>#N/A</v>
      </c>
      <c r="C874" s="75" t="str">
        <f t="array" ref="C874">XLOOKUP(A874, CURSOS!A:A, CURSOS!C:C)</f>
        <v>#N/A</v>
      </c>
      <c r="D874" s="70" t="e">
        <v>#N/A</v>
      </c>
      <c r="E874" s="48"/>
      <c r="F874" s="48" t="str">
        <f t="array" ref="F874">XLOOKUP($D874,REGOLITOS!$A:$A,REGOLITOS!F:F)</f>
        <v>#N/A</v>
      </c>
      <c r="G874" s="48" t="str">
        <f t="array" ref="G874">XLOOKUP($D874,REGOLITOS!$A:$A,REGOLITOS!G:G)</f>
        <v>#N/A</v>
      </c>
      <c r="H874" s="48" t="str">
        <f t="array" ref="H874">XLOOKUP($D874,REGOLITOS!$A:$A,REGOLITOS!H:H)</f>
        <v>#N/A</v>
      </c>
      <c r="I874" s="48" t="str">
        <f t="array" ref="I874">XLOOKUP($D874,REGOLITOS!$A:$A,REGOLITOS!I:I)</f>
        <v>#N/A</v>
      </c>
      <c r="J874" s="48" t="str">
        <f t="array" ref="J874">XLOOKUP($D874,REGOLITOS!$A:$A,REGOLITOS!J:J)</f>
        <v>#N/A</v>
      </c>
      <c r="K874" s="48" t="str">
        <f t="array" ref="K874">XLOOKUP($D874,REGOLITOS!$A:$A,REGOLITOS!K:K)</f>
        <v>#N/A</v>
      </c>
      <c r="L874" s="76"/>
      <c r="M874" s="5" t="s">
        <v>1080</v>
      </c>
      <c r="N874" s="5" t="s">
        <v>1080</v>
      </c>
      <c r="O874" s="5" t="s">
        <v>1080</v>
      </c>
      <c r="P874" s="5" t="s">
        <v>1080</v>
      </c>
      <c r="Q874" s="5" t="s">
        <v>1080</v>
      </c>
      <c r="X874" s="71">
        <f t="shared" si="5"/>
        <v>0</v>
      </c>
      <c r="Y874" s="5" t="b">
        <v>0</v>
      </c>
    </row>
    <row r="875">
      <c r="B875" s="5" t="str">
        <f t="array" ref="B875">XLOOKUP(A875, CURSOS!A:A, CURSOS!B:B)</f>
        <v>#N/A</v>
      </c>
      <c r="C875" s="75" t="str">
        <f t="array" ref="C875">XLOOKUP(A875, CURSOS!A:A, CURSOS!C:C)</f>
        <v>#N/A</v>
      </c>
      <c r="D875" s="70" t="e">
        <v>#N/A</v>
      </c>
      <c r="E875" s="48"/>
      <c r="F875" s="48" t="str">
        <f t="array" ref="F875">XLOOKUP($D875,REGOLITOS!$A:$A,REGOLITOS!F:F)</f>
        <v>#N/A</v>
      </c>
      <c r="G875" s="48" t="str">
        <f t="array" ref="G875">XLOOKUP($D875,REGOLITOS!$A:$A,REGOLITOS!G:G)</f>
        <v>#N/A</v>
      </c>
      <c r="H875" s="48" t="str">
        <f t="array" ref="H875">XLOOKUP($D875,REGOLITOS!$A:$A,REGOLITOS!H:H)</f>
        <v>#N/A</v>
      </c>
      <c r="I875" s="48" t="str">
        <f t="array" ref="I875">XLOOKUP($D875,REGOLITOS!$A:$A,REGOLITOS!I:I)</f>
        <v>#N/A</v>
      </c>
      <c r="J875" s="48" t="str">
        <f t="array" ref="J875">XLOOKUP($D875,REGOLITOS!$A:$A,REGOLITOS!J:J)</f>
        <v>#N/A</v>
      </c>
      <c r="K875" s="48" t="str">
        <f t="array" ref="K875">XLOOKUP($D875,REGOLITOS!$A:$A,REGOLITOS!K:K)</f>
        <v>#N/A</v>
      </c>
      <c r="L875" s="76"/>
      <c r="M875" s="5" t="s">
        <v>1080</v>
      </c>
      <c r="N875" s="5" t="s">
        <v>1080</v>
      </c>
      <c r="O875" s="5" t="s">
        <v>1080</v>
      </c>
      <c r="P875" s="5" t="s">
        <v>1080</v>
      </c>
      <c r="Q875" s="5" t="s">
        <v>1080</v>
      </c>
      <c r="X875" s="71">
        <f t="shared" si="5"/>
        <v>0</v>
      </c>
      <c r="Y875" s="5" t="b">
        <v>0</v>
      </c>
    </row>
    <row r="876">
      <c r="B876" s="5" t="str">
        <f t="array" ref="B876">XLOOKUP(A876, CURSOS!A:A, CURSOS!B:B)</f>
        <v>#N/A</v>
      </c>
      <c r="C876" s="75" t="str">
        <f t="array" ref="C876">XLOOKUP(A876, CURSOS!A:A, CURSOS!C:C)</f>
        <v>#N/A</v>
      </c>
      <c r="D876" s="70" t="e">
        <v>#N/A</v>
      </c>
      <c r="E876" s="48"/>
      <c r="F876" s="48" t="str">
        <f t="array" ref="F876">XLOOKUP($D876,REGOLITOS!$A:$A,REGOLITOS!F:F)</f>
        <v>#N/A</v>
      </c>
      <c r="G876" s="48" t="str">
        <f t="array" ref="G876">XLOOKUP($D876,REGOLITOS!$A:$A,REGOLITOS!G:G)</f>
        <v>#N/A</v>
      </c>
      <c r="H876" s="48" t="str">
        <f t="array" ref="H876">XLOOKUP($D876,REGOLITOS!$A:$A,REGOLITOS!H:H)</f>
        <v>#N/A</v>
      </c>
      <c r="I876" s="48" t="str">
        <f t="array" ref="I876">XLOOKUP($D876,REGOLITOS!$A:$A,REGOLITOS!I:I)</f>
        <v>#N/A</v>
      </c>
      <c r="J876" s="48" t="str">
        <f t="array" ref="J876">XLOOKUP($D876,REGOLITOS!$A:$A,REGOLITOS!J:J)</f>
        <v>#N/A</v>
      </c>
      <c r="K876" s="48" t="str">
        <f t="array" ref="K876">XLOOKUP($D876,REGOLITOS!$A:$A,REGOLITOS!K:K)</f>
        <v>#N/A</v>
      </c>
      <c r="L876" s="76"/>
      <c r="M876" s="5" t="s">
        <v>1080</v>
      </c>
      <c r="N876" s="5" t="s">
        <v>1080</v>
      </c>
      <c r="O876" s="5" t="s">
        <v>1080</v>
      </c>
      <c r="P876" s="5" t="s">
        <v>1080</v>
      </c>
      <c r="Q876" s="5" t="s">
        <v>1080</v>
      </c>
      <c r="X876" s="71">
        <f t="shared" si="5"/>
        <v>0</v>
      </c>
      <c r="Y876" s="5" t="b">
        <v>0</v>
      </c>
    </row>
    <row r="877">
      <c r="B877" s="5" t="str">
        <f t="array" ref="B877">XLOOKUP(A877, CURSOS!A:A, CURSOS!B:B)</f>
        <v>#N/A</v>
      </c>
      <c r="C877" s="75" t="str">
        <f t="array" ref="C877">XLOOKUP(A877, CURSOS!A:A, CURSOS!C:C)</f>
        <v>#N/A</v>
      </c>
      <c r="D877" s="70" t="e">
        <v>#N/A</v>
      </c>
      <c r="E877" s="48"/>
      <c r="F877" s="48" t="str">
        <f t="array" ref="F877">XLOOKUP($D877,REGOLITOS!$A:$A,REGOLITOS!F:F)</f>
        <v>#N/A</v>
      </c>
      <c r="G877" s="48" t="str">
        <f t="array" ref="G877">XLOOKUP($D877,REGOLITOS!$A:$A,REGOLITOS!G:G)</f>
        <v>#N/A</v>
      </c>
      <c r="H877" s="48" t="str">
        <f t="array" ref="H877">XLOOKUP($D877,REGOLITOS!$A:$A,REGOLITOS!H:H)</f>
        <v>#N/A</v>
      </c>
      <c r="I877" s="48" t="str">
        <f t="array" ref="I877">XLOOKUP($D877,REGOLITOS!$A:$A,REGOLITOS!I:I)</f>
        <v>#N/A</v>
      </c>
      <c r="J877" s="48" t="str">
        <f t="array" ref="J877">XLOOKUP($D877,REGOLITOS!$A:$A,REGOLITOS!J:J)</f>
        <v>#N/A</v>
      </c>
      <c r="K877" s="48" t="str">
        <f t="array" ref="K877">XLOOKUP($D877,REGOLITOS!$A:$A,REGOLITOS!K:K)</f>
        <v>#N/A</v>
      </c>
      <c r="L877" s="76"/>
      <c r="M877" s="5" t="s">
        <v>1080</v>
      </c>
      <c r="N877" s="5" t="s">
        <v>1080</v>
      </c>
      <c r="O877" s="5" t="s">
        <v>1080</v>
      </c>
      <c r="P877" s="5" t="s">
        <v>1080</v>
      </c>
      <c r="Q877" s="5" t="s">
        <v>1080</v>
      </c>
      <c r="X877" s="71">
        <f t="shared" si="5"/>
        <v>0</v>
      </c>
      <c r="Y877" s="5" t="b">
        <v>0</v>
      </c>
    </row>
    <row r="878">
      <c r="B878" s="5" t="str">
        <f t="array" ref="B878">XLOOKUP(A878, CURSOS!A:A, CURSOS!B:B)</f>
        <v>#N/A</v>
      </c>
      <c r="C878" s="75" t="str">
        <f t="array" ref="C878">XLOOKUP(A878, CURSOS!A:A, CURSOS!C:C)</f>
        <v>#N/A</v>
      </c>
      <c r="D878" s="70" t="e">
        <v>#N/A</v>
      </c>
      <c r="E878" s="48"/>
      <c r="F878" s="48" t="str">
        <f t="array" ref="F878">XLOOKUP($D878,REGOLITOS!$A:$A,REGOLITOS!F:F)</f>
        <v>#N/A</v>
      </c>
      <c r="G878" s="48" t="str">
        <f t="array" ref="G878">XLOOKUP($D878,REGOLITOS!$A:$A,REGOLITOS!G:G)</f>
        <v>#N/A</v>
      </c>
      <c r="H878" s="48" t="str">
        <f t="array" ref="H878">XLOOKUP($D878,REGOLITOS!$A:$A,REGOLITOS!H:H)</f>
        <v>#N/A</v>
      </c>
      <c r="I878" s="48" t="str">
        <f t="array" ref="I878">XLOOKUP($D878,REGOLITOS!$A:$A,REGOLITOS!I:I)</f>
        <v>#N/A</v>
      </c>
      <c r="J878" s="48" t="str">
        <f t="array" ref="J878">XLOOKUP($D878,REGOLITOS!$A:$A,REGOLITOS!J:J)</f>
        <v>#N/A</v>
      </c>
      <c r="K878" s="48" t="str">
        <f t="array" ref="K878">XLOOKUP($D878,REGOLITOS!$A:$A,REGOLITOS!K:K)</f>
        <v>#N/A</v>
      </c>
      <c r="L878" s="76"/>
      <c r="M878" s="5" t="s">
        <v>1080</v>
      </c>
      <c r="N878" s="5" t="s">
        <v>1080</v>
      </c>
      <c r="O878" s="5" t="s">
        <v>1080</v>
      </c>
      <c r="P878" s="5" t="s">
        <v>1080</v>
      </c>
      <c r="Q878" s="5" t="s">
        <v>1080</v>
      </c>
      <c r="X878" s="71">
        <f t="shared" si="5"/>
        <v>0</v>
      </c>
      <c r="Y878" s="5" t="b">
        <v>0</v>
      </c>
    </row>
    <row r="879">
      <c r="B879" s="5" t="str">
        <f t="array" ref="B879">XLOOKUP(A879, CURSOS!A:A, CURSOS!B:B)</f>
        <v>#N/A</v>
      </c>
      <c r="C879" s="75" t="str">
        <f t="array" ref="C879">XLOOKUP(A879, CURSOS!A:A, CURSOS!C:C)</f>
        <v>#N/A</v>
      </c>
      <c r="D879" s="70" t="e">
        <v>#N/A</v>
      </c>
      <c r="E879" s="48"/>
      <c r="F879" s="48" t="str">
        <f t="array" ref="F879">XLOOKUP($D879,REGOLITOS!$A:$A,REGOLITOS!F:F)</f>
        <v>#N/A</v>
      </c>
      <c r="G879" s="48" t="str">
        <f t="array" ref="G879">XLOOKUP($D879,REGOLITOS!$A:$A,REGOLITOS!G:G)</f>
        <v>#N/A</v>
      </c>
      <c r="H879" s="48" t="str">
        <f t="array" ref="H879">XLOOKUP($D879,REGOLITOS!$A:$A,REGOLITOS!H:H)</f>
        <v>#N/A</v>
      </c>
      <c r="I879" s="48" t="str">
        <f t="array" ref="I879">XLOOKUP($D879,REGOLITOS!$A:$A,REGOLITOS!I:I)</f>
        <v>#N/A</v>
      </c>
      <c r="J879" s="48" t="str">
        <f t="array" ref="J879">XLOOKUP($D879,REGOLITOS!$A:$A,REGOLITOS!J:J)</f>
        <v>#N/A</v>
      </c>
      <c r="K879" s="48" t="str">
        <f t="array" ref="K879">XLOOKUP($D879,REGOLITOS!$A:$A,REGOLITOS!K:K)</f>
        <v>#N/A</v>
      </c>
      <c r="L879" s="76"/>
      <c r="M879" s="5" t="s">
        <v>1080</v>
      </c>
      <c r="N879" s="5" t="s">
        <v>1080</v>
      </c>
      <c r="O879" s="5" t="s">
        <v>1080</v>
      </c>
      <c r="P879" s="5" t="s">
        <v>1080</v>
      </c>
      <c r="Q879" s="5" t="s">
        <v>1080</v>
      </c>
      <c r="X879" s="71">
        <f t="shared" si="5"/>
        <v>0</v>
      </c>
      <c r="Y879" s="5" t="b">
        <v>0</v>
      </c>
    </row>
    <row r="880">
      <c r="B880" s="5" t="str">
        <f t="array" ref="B880">XLOOKUP(A880, CURSOS!A:A, CURSOS!B:B)</f>
        <v>#N/A</v>
      </c>
      <c r="C880" s="75" t="str">
        <f t="array" ref="C880">XLOOKUP(A880, CURSOS!A:A, CURSOS!C:C)</f>
        <v>#N/A</v>
      </c>
      <c r="D880" s="70" t="e">
        <v>#N/A</v>
      </c>
      <c r="E880" s="48"/>
      <c r="F880" s="48" t="str">
        <f t="array" ref="F880">XLOOKUP($D880,REGOLITOS!$A:$A,REGOLITOS!F:F)</f>
        <v>#N/A</v>
      </c>
      <c r="G880" s="48" t="str">
        <f t="array" ref="G880">XLOOKUP($D880,REGOLITOS!$A:$A,REGOLITOS!G:G)</f>
        <v>#N/A</v>
      </c>
      <c r="H880" s="48" t="str">
        <f t="array" ref="H880">XLOOKUP($D880,REGOLITOS!$A:$A,REGOLITOS!H:H)</f>
        <v>#N/A</v>
      </c>
      <c r="I880" s="48" t="str">
        <f t="array" ref="I880">XLOOKUP($D880,REGOLITOS!$A:$A,REGOLITOS!I:I)</f>
        <v>#N/A</v>
      </c>
      <c r="J880" s="48" t="str">
        <f t="array" ref="J880">XLOOKUP($D880,REGOLITOS!$A:$A,REGOLITOS!J:J)</f>
        <v>#N/A</v>
      </c>
      <c r="K880" s="48" t="str">
        <f t="array" ref="K880">XLOOKUP($D880,REGOLITOS!$A:$A,REGOLITOS!K:K)</f>
        <v>#N/A</v>
      </c>
      <c r="L880" s="76"/>
      <c r="M880" s="5" t="s">
        <v>1080</v>
      </c>
      <c r="N880" s="5" t="s">
        <v>1080</v>
      </c>
      <c r="O880" s="5" t="s">
        <v>1080</v>
      </c>
      <c r="P880" s="5" t="s">
        <v>1080</v>
      </c>
      <c r="Q880" s="5" t="s">
        <v>1080</v>
      </c>
      <c r="X880" s="71">
        <f t="shared" si="5"/>
        <v>0</v>
      </c>
      <c r="Y880" s="5" t="b">
        <v>0</v>
      </c>
    </row>
    <row r="881">
      <c r="B881" s="5" t="str">
        <f t="array" ref="B881">XLOOKUP(A881, CURSOS!A:A, CURSOS!B:B)</f>
        <v>#N/A</v>
      </c>
      <c r="C881" s="75" t="str">
        <f t="array" ref="C881">XLOOKUP(A881, CURSOS!A:A, CURSOS!C:C)</f>
        <v>#N/A</v>
      </c>
      <c r="D881" s="70" t="e">
        <v>#N/A</v>
      </c>
      <c r="E881" s="48"/>
      <c r="F881" s="48" t="str">
        <f t="array" ref="F881">XLOOKUP($D881,REGOLITOS!$A:$A,REGOLITOS!F:F)</f>
        <v>#N/A</v>
      </c>
      <c r="G881" s="48" t="str">
        <f t="array" ref="G881">XLOOKUP($D881,REGOLITOS!$A:$A,REGOLITOS!G:G)</f>
        <v>#N/A</v>
      </c>
      <c r="H881" s="48" t="str">
        <f t="array" ref="H881">XLOOKUP($D881,REGOLITOS!$A:$A,REGOLITOS!H:H)</f>
        <v>#N/A</v>
      </c>
      <c r="I881" s="48" t="str">
        <f t="array" ref="I881">XLOOKUP($D881,REGOLITOS!$A:$A,REGOLITOS!I:I)</f>
        <v>#N/A</v>
      </c>
      <c r="J881" s="48" t="str">
        <f t="array" ref="J881">XLOOKUP($D881,REGOLITOS!$A:$A,REGOLITOS!J:J)</f>
        <v>#N/A</v>
      </c>
      <c r="K881" s="48" t="str">
        <f t="array" ref="K881">XLOOKUP($D881,REGOLITOS!$A:$A,REGOLITOS!K:K)</f>
        <v>#N/A</v>
      </c>
      <c r="L881" s="76"/>
      <c r="M881" s="5" t="s">
        <v>1080</v>
      </c>
      <c r="N881" s="5" t="s">
        <v>1080</v>
      </c>
      <c r="O881" s="5" t="s">
        <v>1080</v>
      </c>
      <c r="P881" s="5" t="s">
        <v>1080</v>
      </c>
      <c r="Q881" s="5" t="s">
        <v>1080</v>
      </c>
      <c r="X881" s="71">
        <f t="shared" si="5"/>
        <v>0</v>
      </c>
      <c r="Y881" s="5" t="b">
        <v>0</v>
      </c>
    </row>
    <row r="882">
      <c r="B882" s="5" t="str">
        <f t="array" ref="B882">XLOOKUP(A882, CURSOS!A:A, CURSOS!B:B)</f>
        <v>#N/A</v>
      </c>
      <c r="C882" s="75" t="str">
        <f t="array" ref="C882">XLOOKUP(A882, CURSOS!A:A, CURSOS!C:C)</f>
        <v>#N/A</v>
      </c>
      <c r="D882" s="70" t="e">
        <v>#N/A</v>
      </c>
      <c r="E882" s="48"/>
      <c r="F882" s="48" t="str">
        <f t="array" ref="F882">XLOOKUP($D882,REGOLITOS!$A:$A,REGOLITOS!F:F)</f>
        <v>#N/A</v>
      </c>
      <c r="G882" s="48" t="str">
        <f t="array" ref="G882">XLOOKUP($D882,REGOLITOS!$A:$A,REGOLITOS!G:G)</f>
        <v>#N/A</v>
      </c>
      <c r="H882" s="48" t="str">
        <f t="array" ref="H882">XLOOKUP($D882,REGOLITOS!$A:$A,REGOLITOS!H:H)</f>
        <v>#N/A</v>
      </c>
      <c r="I882" s="48" t="str">
        <f t="array" ref="I882">XLOOKUP($D882,REGOLITOS!$A:$A,REGOLITOS!I:I)</f>
        <v>#N/A</v>
      </c>
      <c r="J882" s="48" t="str">
        <f t="array" ref="J882">XLOOKUP($D882,REGOLITOS!$A:$A,REGOLITOS!J:J)</f>
        <v>#N/A</v>
      </c>
      <c r="K882" s="48" t="str">
        <f t="array" ref="K882">XLOOKUP($D882,REGOLITOS!$A:$A,REGOLITOS!K:K)</f>
        <v>#N/A</v>
      </c>
      <c r="L882" s="76"/>
      <c r="M882" s="5" t="s">
        <v>1080</v>
      </c>
      <c r="N882" s="5" t="s">
        <v>1080</v>
      </c>
      <c r="O882" s="5" t="s">
        <v>1080</v>
      </c>
      <c r="P882" s="5" t="s">
        <v>1080</v>
      </c>
      <c r="Q882" s="5" t="s">
        <v>1080</v>
      </c>
      <c r="X882" s="71">
        <f t="shared" si="5"/>
        <v>0</v>
      </c>
      <c r="Y882" s="5" t="b">
        <v>0</v>
      </c>
    </row>
    <row r="883">
      <c r="B883" s="5" t="str">
        <f t="array" ref="B883">XLOOKUP(A883, CURSOS!A:A, CURSOS!B:B)</f>
        <v>#N/A</v>
      </c>
      <c r="C883" s="75" t="str">
        <f t="array" ref="C883">XLOOKUP(A883, CURSOS!A:A, CURSOS!C:C)</f>
        <v>#N/A</v>
      </c>
      <c r="D883" s="70" t="e">
        <v>#N/A</v>
      </c>
      <c r="E883" s="48"/>
      <c r="F883" s="48" t="str">
        <f t="array" ref="F883">XLOOKUP($D883,REGOLITOS!$A:$A,REGOLITOS!F:F)</f>
        <v>#N/A</v>
      </c>
      <c r="G883" s="48" t="str">
        <f t="array" ref="G883">XLOOKUP($D883,REGOLITOS!$A:$A,REGOLITOS!G:G)</f>
        <v>#N/A</v>
      </c>
      <c r="H883" s="48" t="str">
        <f t="array" ref="H883">XLOOKUP($D883,REGOLITOS!$A:$A,REGOLITOS!H:H)</f>
        <v>#N/A</v>
      </c>
      <c r="I883" s="48" t="str">
        <f t="array" ref="I883">XLOOKUP($D883,REGOLITOS!$A:$A,REGOLITOS!I:I)</f>
        <v>#N/A</v>
      </c>
      <c r="J883" s="48" t="str">
        <f t="array" ref="J883">XLOOKUP($D883,REGOLITOS!$A:$A,REGOLITOS!J:J)</f>
        <v>#N/A</v>
      </c>
      <c r="K883" s="48" t="str">
        <f t="array" ref="K883">XLOOKUP($D883,REGOLITOS!$A:$A,REGOLITOS!K:K)</f>
        <v>#N/A</v>
      </c>
      <c r="L883" s="76"/>
      <c r="M883" s="5" t="s">
        <v>1080</v>
      </c>
      <c r="N883" s="5" t="s">
        <v>1080</v>
      </c>
      <c r="O883" s="5" t="s">
        <v>1080</v>
      </c>
      <c r="P883" s="5" t="s">
        <v>1080</v>
      </c>
      <c r="Q883" s="5" t="s">
        <v>1080</v>
      </c>
      <c r="X883" s="71">
        <f t="shared" si="5"/>
        <v>0</v>
      </c>
      <c r="Y883" s="5" t="b">
        <v>0</v>
      </c>
    </row>
    <row r="884">
      <c r="B884" s="5" t="str">
        <f t="array" ref="B884">XLOOKUP(A884, CURSOS!A:A, CURSOS!B:B)</f>
        <v>#N/A</v>
      </c>
      <c r="C884" s="75" t="str">
        <f t="array" ref="C884">XLOOKUP(A884, CURSOS!A:A, CURSOS!C:C)</f>
        <v>#N/A</v>
      </c>
      <c r="D884" s="70" t="e">
        <v>#N/A</v>
      </c>
      <c r="E884" s="48"/>
      <c r="F884" s="48" t="str">
        <f t="array" ref="F884">XLOOKUP($D884,REGOLITOS!$A:$A,REGOLITOS!F:F)</f>
        <v>#N/A</v>
      </c>
      <c r="G884" s="48" t="str">
        <f t="array" ref="G884">XLOOKUP($D884,REGOLITOS!$A:$A,REGOLITOS!G:G)</f>
        <v>#N/A</v>
      </c>
      <c r="H884" s="48" t="str">
        <f t="array" ref="H884">XLOOKUP($D884,REGOLITOS!$A:$A,REGOLITOS!H:H)</f>
        <v>#N/A</v>
      </c>
      <c r="I884" s="48" t="str">
        <f t="array" ref="I884">XLOOKUP($D884,REGOLITOS!$A:$A,REGOLITOS!I:I)</f>
        <v>#N/A</v>
      </c>
      <c r="J884" s="48" t="str">
        <f t="array" ref="J884">XLOOKUP($D884,REGOLITOS!$A:$A,REGOLITOS!J:J)</f>
        <v>#N/A</v>
      </c>
      <c r="K884" s="48" t="str">
        <f t="array" ref="K884">XLOOKUP($D884,REGOLITOS!$A:$A,REGOLITOS!K:K)</f>
        <v>#N/A</v>
      </c>
      <c r="L884" s="76"/>
      <c r="M884" s="5" t="s">
        <v>1080</v>
      </c>
      <c r="N884" s="5" t="s">
        <v>1080</v>
      </c>
      <c r="O884" s="5" t="s">
        <v>1080</v>
      </c>
      <c r="P884" s="5" t="s">
        <v>1080</v>
      </c>
      <c r="Q884" s="5" t="s">
        <v>1080</v>
      </c>
      <c r="X884" s="71">
        <f t="shared" si="5"/>
        <v>0</v>
      </c>
      <c r="Y884" s="5" t="b">
        <v>0</v>
      </c>
    </row>
    <row r="885">
      <c r="B885" s="5" t="str">
        <f t="array" ref="B885">XLOOKUP(A885, CURSOS!A:A, CURSOS!B:B)</f>
        <v>#N/A</v>
      </c>
      <c r="C885" s="75" t="str">
        <f t="array" ref="C885">XLOOKUP(A885, CURSOS!A:A, CURSOS!C:C)</f>
        <v>#N/A</v>
      </c>
      <c r="D885" s="70" t="e">
        <v>#N/A</v>
      </c>
      <c r="E885" s="48"/>
      <c r="F885" s="48" t="str">
        <f t="array" ref="F885">XLOOKUP($D885,REGOLITOS!$A:$A,REGOLITOS!F:F)</f>
        <v>#N/A</v>
      </c>
      <c r="G885" s="48" t="str">
        <f t="array" ref="G885">XLOOKUP($D885,REGOLITOS!$A:$A,REGOLITOS!G:G)</f>
        <v>#N/A</v>
      </c>
      <c r="H885" s="48" t="str">
        <f t="array" ref="H885">XLOOKUP($D885,REGOLITOS!$A:$A,REGOLITOS!H:H)</f>
        <v>#N/A</v>
      </c>
      <c r="I885" s="48" t="str">
        <f t="array" ref="I885">XLOOKUP($D885,REGOLITOS!$A:$A,REGOLITOS!I:I)</f>
        <v>#N/A</v>
      </c>
      <c r="J885" s="48" t="str">
        <f t="array" ref="J885">XLOOKUP($D885,REGOLITOS!$A:$A,REGOLITOS!J:J)</f>
        <v>#N/A</v>
      </c>
      <c r="K885" s="48" t="str">
        <f t="array" ref="K885">XLOOKUP($D885,REGOLITOS!$A:$A,REGOLITOS!K:K)</f>
        <v>#N/A</v>
      </c>
      <c r="L885" s="76"/>
      <c r="M885" s="5" t="s">
        <v>1080</v>
      </c>
      <c r="N885" s="5" t="s">
        <v>1080</v>
      </c>
      <c r="O885" s="5" t="s">
        <v>1080</v>
      </c>
      <c r="P885" s="5" t="s">
        <v>1080</v>
      </c>
      <c r="Q885" s="5" t="s">
        <v>1080</v>
      </c>
      <c r="X885" s="71">
        <f t="shared" si="5"/>
        <v>0</v>
      </c>
      <c r="Y885" s="5" t="b">
        <v>0</v>
      </c>
    </row>
    <row r="886">
      <c r="B886" s="5" t="str">
        <f t="array" ref="B886">XLOOKUP(A886, CURSOS!A:A, CURSOS!B:B)</f>
        <v>#N/A</v>
      </c>
      <c r="C886" s="75" t="str">
        <f t="array" ref="C886">XLOOKUP(A886, CURSOS!A:A, CURSOS!C:C)</f>
        <v>#N/A</v>
      </c>
      <c r="D886" s="70" t="e">
        <v>#N/A</v>
      </c>
      <c r="E886" s="48"/>
      <c r="F886" s="48" t="str">
        <f t="array" ref="F886">XLOOKUP($D886,REGOLITOS!$A:$A,REGOLITOS!F:F)</f>
        <v>#N/A</v>
      </c>
      <c r="G886" s="48" t="str">
        <f t="array" ref="G886">XLOOKUP($D886,REGOLITOS!$A:$A,REGOLITOS!G:G)</f>
        <v>#N/A</v>
      </c>
      <c r="H886" s="48" t="str">
        <f t="array" ref="H886">XLOOKUP($D886,REGOLITOS!$A:$A,REGOLITOS!H:H)</f>
        <v>#N/A</v>
      </c>
      <c r="I886" s="48" t="str">
        <f t="array" ref="I886">XLOOKUP($D886,REGOLITOS!$A:$A,REGOLITOS!I:I)</f>
        <v>#N/A</v>
      </c>
      <c r="J886" s="48" t="str">
        <f t="array" ref="J886">XLOOKUP($D886,REGOLITOS!$A:$A,REGOLITOS!J:J)</f>
        <v>#N/A</v>
      </c>
      <c r="K886" s="48" t="str">
        <f t="array" ref="K886">XLOOKUP($D886,REGOLITOS!$A:$A,REGOLITOS!K:K)</f>
        <v>#N/A</v>
      </c>
      <c r="L886" s="76"/>
      <c r="M886" s="5" t="s">
        <v>1080</v>
      </c>
      <c r="N886" s="5" t="s">
        <v>1080</v>
      </c>
      <c r="O886" s="5" t="s">
        <v>1080</v>
      </c>
      <c r="P886" s="5" t="s">
        <v>1080</v>
      </c>
      <c r="Q886" s="5" t="s">
        <v>1080</v>
      </c>
      <c r="X886" s="71">
        <f t="shared" si="5"/>
        <v>0</v>
      </c>
      <c r="Y886" s="5" t="b">
        <v>0</v>
      </c>
    </row>
    <row r="887">
      <c r="B887" s="5" t="str">
        <f t="array" ref="B887">XLOOKUP(A887, CURSOS!A:A, CURSOS!B:B)</f>
        <v>#N/A</v>
      </c>
      <c r="C887" s="75" t="str">
        <f t="array" ref="C887">XLOOKUP(A887, CURSOS!A:A, CURSOS!C:C)</f>
        <v>#N/A</v>
      </c>
      <c r="D887" s="70" t="e">
        <v>#N/A</v>
      </c>
      <c r="E887" s="48"/>
      <c r="F887" s="48" t="str">
        <f t="array" ref="F887">XLOOKUP($D887,REGOLITOS!$A:$A,REGOLITOS!F:F)</f>
        <v>#N/A</v>
      </c>
      <c r="G887" s="48" t="str">
        <f t="array" ref="G887">XLOOKUP($D887,REGOLITOS!$A:$A,REGOLITOS!G:G)</f>
        <v>#N/A</v>
      </c>
      <c r="H887" s="48" t="str">
        <f t="array" ref="H887">XLOOKUP($D887,REGOLITOS!$A:$A,REGOLITOS!H:H)</f>
        <v>#N/A</v>
      </c>
      <c r="I887" s="48" t="str">
        <f t="array" ref="I887">XLOOKUP($D887,REGOLITOS!$A:$A,REGOLITOS!I:I)</f>
        <v>#N/A</v>
      </c>
      <c r="J887" s="48" t="str">
        <f t="array" ref="J887">XLOOKUP($D887,REGOLITOS!$A:$A,REGOLITOS!J:J)</f>
        <v>#N/A</v>
      </c>
      <c r="K887" s="48" t="str">
        <f t="array" ref="K887">XLOOKUP($D887,REGOLITOS!$A:$A,REGOLITOS!K:K)</f>
        <v>#N/A</v>
      </c>
      <c r="L887" s="76"/>
      <c r="M887" s="5" t="s">
        <v>1080</v>
      </c>
      <c r="N887" s="5" t="s">
        <v>1080</v>
      </c>
      <c r="O887" s="5" t="s">
        <v>1080</v>
      </c>
      <c r="P887" s="5" t="s">
        <v>1080</v>
      </c>
      <c r="Q887" s="5" t="s">
        <v>1080</v>
      </c>
      <c r="X887" s="71">
        <f t="shared" si="5"/>
        <v>0</v>
      </c>
      <c r="Y887" s="5" t="b">
        <v>0</v>
      </c>
    </row>
    <row r="888">
      <c r="B888" s="5" t="str">
        <f t="array" ref="B888">XLOOKUP(A888, CURSOS!A:A, CURSOS!B:B)</f>
        <v>#N/A</v>
      </c>
      <c r="C888" s="75" t="str">
        <f t="array" ref="C888">XLOOKUP(A888, CURSOS!A:A, CURSOS!C:C)</f>
        <v>#N/A</v>
      </c>
      <c r="D888" s="70" t="e">
        <v>#N/A</v>
      </c>
      <c r="E888" s="48"/>
      <c r="F888" s="48" t="str">
        <f t="array" ref="F888">XLOOKUP($D888,REGOLITOS!$A:$A,REGOLITOS!F:F)</f>
        <v>#N/A</v>
      </c>
      <c r="G888" s="48" t="str">
        <f t="array" ref="G888">XLOOKUP($D888,REGOLITOS!$A:$A,REGOLITOS!G:G)</f>
        <v>#N/A</v>
      </c>
      <c r="H888" s="48" t="str">
        <f t="array" ref="H888">XLOOKUP($D888,REGOLITOS!$A:$A,REGOLITOS!H:H)</f>
        <v>#N/A</v>
      </c>
      <c r="I888" s="48" t="str">
        <f t="array" ref="I888">XLOOKUP($D888,REGOLITOS!$A:$A,REGOLITOS!I:I)</f>
        <v>#N/A</v>
      </c>
      <c r="J888" s="48" t="str">
        <f t="array" ref="J888">XLOOKUP($D888,REGOLITOS!$A:$A,REGOLITOS!J:J)</f>
        <v>#N/A</v>
      </c>
      <c r="K888" s="48" t="str">
        <f t="array" ref="K888">XLOOKUP($D888,REGOLITOS!$A:$A,REGOLITOS!K:K)</f>
        <v>#N/A</v>
      </c>
      <c r="L888" s="76"/>
      <c r="M888" s="5" t="s">
        <v>1080</v>
      </c>
      <c r="N888" s="5" t="s">
        <v>1080</v>
      </c>
      <c r="O888" s="5" t="s">
        <v>1080</v>
      </c>
      <c r="P888" s="5" t="s">
        <v>1080</v>
      </c>
      <c r="Q888" s="5" t="s">
        <v>1080</v>
      </c>
      <c r="X888" s="71">
        <f t="shared" si="5"/>
        <v>0</v>
      </c>
      <c r="Y888" s="5" t="b">
        <v>0</v>
      </c>
    </row>
    <row r="889">
      <c r="B889" s="5" t="str">
        <f t="array" ref="B889">XLOOKUP(A889, CURSOS!A:A, CURSOS!B:B)</f>
        <v>#N/A</v>
      </c>
      <c r="C889" s="75" t="str">
        <f t="array" ref="C889">XLOOKUP(A889, CURSOS!A:A, CURSOS!C:C)</f>
        <v>#N/A</v>
      </c>
      <c r="D889" s="70" t="e">
        <v>#N/A</v>
      </c>
      <c r="E889" s="48"/>
      <c r="F889" s="48" t="str">
        <f t="array" ref="F889">XLOOKUP($D889,REGOLITOS!$A:$A,REGOLITOS!F:F)</f>
        <v>#N/A</v>
      </c>
      <c r="G889" s="48" t="str">
        <f t="array" ref="G889">XLOOKUP($D889,REGOLITOS!$A:$A,REGOLITOS!G:G)</f>
        <v>#N/A</v>
      </c>
      <c r="H889" s="48" t="str">
        <f t="array" ref="H889">XLOOKUP($D889,REGOLITOS!$A:$A,REGOLITOS!H:H)</f>
        <v>#N/A</v>
      </c>
      <c r="I889" s="48" t="str">
        <f t="array" ref="I889">XLOOKUP($D889,REGOLITOS!$A:$A,REGOLITOS!I:I)</f>
        <v>#N/A</v>
      </c>
      <c r="J889" s="48" t="str">
        <f t="array" ref="J889">XLOOKUP($D889,REGOLITOS!$A:$A,REGOLITOS!J:J)</f>
        <v>#N/A</v>
      </c>
      <c r="K889" s="48" t="str">
        <f t="array" ref="K889">XLOOKUP($D889,REGOLITOS!$A:$A,REGOLITOS!K:K)</f>
        <v>#N/A</v>
      </c>
      <c r="L889" s="76"/>
      <c r="M889" s="5" t="s">
        <v>1080</v>
      </c>
      <c r="N889" s="5" t="s">
        <v>1080</v>
      </c>
      <c r="O889" s="5" t="s">
        <v>1080</v>
      </c>
      <c r="P889" s="5" t="s">
        <v>1080</v>
      </c>
      <c r="Q889" s="5" t="s">
        <v>1080</v>
      </c>
      <c r="X889" s="71">
        <f t="shared" si="5"/>
        <v>0</v>
      </c>
      <c r="Y889" s="5" t="b">
        <v>0</v>
      </c>
    </row>
    <row r="890">
      <c r="B890" s="5" t="str">
        <f t="array" ref="B890">XLOOKUP(A890, CURSOS!A:A, CURSOS!B:B)</f>
        <v>#N/A</v>
      </c>
      <c r="C890" s="75" t="str">
        <f t="array" ref="C890">XLOOKUP(A890, CURSOS!A:A, CURSOS!C:C)</f>
        <v>#N/A</v>
      </c>
      <c r="D890" s="70" t="e">
        <v>#N/A</v>
      </c>
      <c r="E890" s="48"/>
      <c r="F890" s="48" t="str">
        <f t="array" ref="F890">XLOOKUP($D890,REGOLITOS!$A:$A,REGOLITOS!F:F)</f>
        <v>#N/A</v>
      </c>
      <c r="G890" s="48" t="str">
        <f t="array" ref="G890">XLOOKUP($D890,REGOLITOS!$A:$A,REGOLITOS!G:G)</f>
        <v>#N/A</v>
      </c>
      <c r="H890" s="48" t="str">
        <f t="array" ref="H890">XLOOKUP($D890,REGOLITOS!$A:$A,REGOLITOS!H:H)</f>
        <v>#N/A</v>
      </c>
      <c r="I890" s="48" t="str">
        <f t="array" ref="I890">XLOOKUP($D890,REGOLITOS!$A:$A,REGOLITOS!I:I)</f>
        <v>#N/A</v>
      </c>
      <c r="J890" s="48" t="str">
        <f t="array" ref="J890">XLOOKUP($D890,REGOLITOS!$A:$A,REGOLITOS!J:J)</f>
        <v>#N/A</v>
      </c>
      <c r="K890" s="48" t="str">
        <f t="array" ref="K890">XLOOKUP($D890,REGOLITOS!$A:$A,REGOLITOS!K:K)</f>
        <v>#N/A</v>
      </c>
      <c r="L890" s="76"/>
      <c r="M890" s="5" t="s">
        <v>1080</v>
      </c>
      <c r="N890" s="5" t="s">
        <v>1080</v>
      </c>
      <c r="O890" s="5" t="s">
        <v>1080</v>
      </c>
      <c r="P890" s="5" t="s">
        <v>1080</v>
      </c>
      <c r="Q890" s="5" t="s">
        <v>1080</v>
      </c>
      <c r="X890" s="71">
        <f t="shared" si="5"/>
        <v>0</v>
      </c>
      <c r="Y890" s="5" t="b">
        <v>0</v>
      </c>
    </row>
    <row r="891">
      <c r="B891" s="5" t="str">
        <f t="array" ref="B891">XLOOKUP(A891, CURSOS!A:A, CURSOS!B:B)</f>
        <v>#N/A</v>
      </c>
      <c r="C891" s="75" t="str">
        <f t="array" ref="C891">XLOOKUP(A891, CURSOS!A:A, CURSOS!C:C)</f>
        <v>#N/A</v>
      </c>
      <c r="D891" s="70" t="e">
        <v>#N/A</v>
      </c>
      <c r="E891" s="48"/>
      <c r="F891" s="48" t="str">
        <f t="array" ref="F891">XLOOKUP($D891,REGOLITOS!$A:$A,REGOLITOS!F:F)</f>
        <v>#N/A</v>
      </c>
      <c r="G891" s="48" t="str">
        <f t="array" ref="G891">XLOOKUP($D891,REGOLITOS!$A:$A,REGOLITOS!G:G)</f>
        <v>#N/A</v>
      </c>
      <c r="H891" s="48" t="str">
        <f t="array" ref="H891">XLOOKUP($D891,REGOLITOS!$A:$A,REGOLITOS!H:H)</f>
        <v>#N/A</v>
      </c>
      <c r="I891" s="48" t="str">
        <f t="array" ref="I891">XLOOKUP($D891,REGOLITOS!$A:$A,REGOLITOS!I:I)</f>
        <v>#N/A</v>
      </c>
      <c r="J891" s="48" t="str">
        <f t="array" ref="J891">XLOOKUP($D891,REGOLITOS!$A:$A,REGOLITOS!J:J)</f>
        <v>#N/A</v>
      </c>
      <c r="K891" s="48" t="str">
        <f t="array" ref="K891">XLOOKUP($D891,REGOLITOS!$A:$A,REGOLITOS!K:K)</f>
        <v>#N/A</v>
      </c>
      <c r="L891" s="76"/>
      <c r="M891" s="5" t="s">
        <v>1080</v>
      </c>
      <c r="N891" s="5" t="s">
        <v>1080</v>
      </c>
      <c r="O891" s="5" t="s">
        <v>1080</v>
      </c>
      <c r="P891" s="5" t="s">
        <v>1080</v>
      </c>
      <c r="Q891" s="5" t="s">
        <v>1080</v>
      </c>
      <c r="X891" s="71">
        <f t="shared" si="5"/>
        <v>0</v>
      </c>
      <c r="Y891" s="5" t="b">
        <v>0</v>
      </c>
    </row>
    <row r="892">
      <c r="B892" s="5" t="str">
        <f t="array" ref="B892">XLOOKUP(A892, CURSOS!A:A, CURSOS!B:B)</f>
        <v>#N/A</v>
      </c>
      <c r="C892" s="75" t="str">
        <f t="array" ref="C892">XLOOKUP(A892, CURSOS!A:A, CURSOS!C:C)</f>
        <v>#N/A</v>
      </c>
      <c r="D892" s="70" t="e">
        <v>#N/A</v>
      </c>
      <c r="E892" s="48"/>
      <c r="F892" s="48" t="str">
        <f t="array" ref="F892">XLOOKUP($D892,REGOLITOS!$A:$A,REGOLITOS!F:F)</f>
        <v>#N/A</v>
      </c>
      <c r="G892" s="48" t="str">
        <f t="array" ref="G892">XLOOKUP($D892,REGOLITOS!$A:$A,REGOLITOS!G:G)</f>
        <v>#N/A</v>
      </c>
      <c r="H892" s="48" t="str">
        <f t="array" ref="H892">XLOOKUP($D892,REGOLITOS!$A:$A,REGOLITOS!H:H)</f>
        <v>#N/A</v>
      </c>
      <c r="I892" s="48" t="str">
        <f t="array" ref="I892">XLOOKUP($D892,REGOLITOS!$A:$A,REGOLITOS!I:I)</f>
        <v>#N/A</v>
      </c>
      <c r="J892" s="48" t="str">
        <f t="array" ref="J892">XLOOKUP($D892,REGOLITOS!$A:$A,REGOLITOS!J:J)</f>
        <v>#N/A</v>
      </c>
      <c r="K892" s="48" t="str">
        <f t="array" ref="K892">XLOOKUP($D892,REGOLITOS!$A:$A,REGOLITOS!K:K)</f>
        <v>#N/A</v>
      </c>
      <c r="L892" s="76"/>
      <c r="M892" s="5" t="s">
        <v>1080</v>
      </c>
      <c r="N892" s="5" t="s">
        <v>1080</v>
      </c>
      <c r="O892" s="5" t="s">
        <v>1080</v>
      </c>
      <c r="P892" s="5" t="s">
        <v>1080</v>
      </c>
      <c r="Q892" s="5" t="s">
        <v>1080</v>
      </c>
      <c r="X892" s="71">
        <f t="shared" si="5"/>
        <v>0</v>
      </c>
      <c r="Y892" s="5" t="b">
        <v>0</v>
      </c>
    </row>
    <row r="893">
      <c r="B893" s="5" t="str">
        <f t="array" ref="B893">XLOOKUP(A893, CURSOS!A:A, CURSOS!B:B)</f>
        <v>#N/A</v>
      </c>
      <c r="C893" s="75" t="str">
        <f t="array" ref="C893">XLOOKUP(A893, CURSOS!A:A, CURSOS!C:C)</f>
        <v>#N/A</v>
      </c>
      <c r="D893" s="70" t="e">
        <v>#N/A</v>
      </c>
      <c r="E893" s="48"/>
      <c r="F893" s="48" t="str">
        <f t="array" ref="F893">XLOOKUP($D893,REGOLITOS!$A:$A,REGOLITOS!F:F)</f>
        <v>#N/A</v>
      </c>
      <c r="G893" s="48" t="str">
        <f t="array" ref="G893">XLOOKUP($D893,REGOLITOS!$A:$A,REGOLITOS!G:G)</f>
        <v>#N/A</v>
      </c>
      <c r="H893" s="48" t="str">
        <f t="array" ref="H893">XLOOKUP($D893,REGOLITOS!$A:$A,REGOLITOS!H:H)</f>
        <v>#N/A</v>
      </c>
      <c r="I893" s="48" t="str">
        <f t="array" ref="I893">XLOOKUP($D893,REGOLITOS!$A:$A,REGOLITOS!I:I)</f>
        <v>#N/A</v>
      </c>
      <c r="J893" s="48" t="str">
        <f t="array" ref="J893">XLOOKUP($D893,REGOLITOS!$A:$A,REGOLITOS!J:J)</f>
        <v>#N/A</v>
      </c>
      <c r="K893" s="48" t="str">
        <f t="array" ref="K893">XLOOKUP($D893,REGOLITOS!$A:$A,REGOLITOS!K:K)</f>
        <v>#N/A</v>
      </c>
      <c r="L893" s="76"/>
      <c r="M893" s="5" t="s">
        <v>1080</v>
      </c>
      <c r="N893" s="5" t="s">
        <v>1080</v>
      </c>
      <c r="O893" s="5" t="s">
        <v>1080</v>
      </c>
      <c r="P893" s="5" t="s">
        <v>1080</v>
      </c>
      <c r="Q893" s="5" t="s">
        <v>1080</v>
      </c>
      <c r="X893" s="71">
        <f t="shared" si="5"/>
        <v>0</v>
      </c>
      <c r="Y893" s="5" t="b">
        <v>0</v>
      </c>
    </row>
    <row r="894">
      <c r="B894" s="5" t="str">
        <f t="array" ref="B894">XLOOKUP(A894, CURSOS!A:A, CURSOS!B:B)</f>
        <v>#N/A</v>
      </c>
      <c r="C894" s="75" t="str">
        <f t="array" ref="C894">XLOOKUP(A894, CURSOS!A:A, CURSOS!C:C)</f>
        <v>#N/A</v>
      </c>
      <c r="D894" s="70" t="e">
        <v>#N/A</v>
      </c>
      <c r="E894" s="48"/>
      <c r="F894" s="48" t="str">
        <f t="array" ref="F894">XLOOKUP($D894,REGOLITOS!$A:$A,REGOLITOS!F:F)</f>
        <v>#N/A</v>
      </c>
      <c r="G894" s="48" t="str">
        <f t="array" ref="G894">XLOOKUP($D894,REGOLITOS!$A:$A,REGOLITOS!G:G)</f>
        <v>#N/A</v>
      </c>
      <c r="H894" s="48" t="str">
        <f t="array" ref="H894">XLOOKUP($D894,REGOLITOS!$A:$A,REGOLITOS!H:H)</f>
        <v>#N/A</v>
      </c>
      <c r="I894" s="48" t="str">
        <f t="array" ref="I894">XLOOKUP($D894,REGOLITOS!$A:$A,REGOLITOS!I:I)</f>
        <v>#N/A</v>
      </c>
      <c r="J894" s="48" t="str">
        <f t="array" ref="J894">XLOOKUP($D894,REGOLITOS!$A:$A,REGOLITOS!J:J)</f>
        <v>#N/A</v>
      </c>
      <c r="K894" s="48" t="str">
        <f t="array" ref="K894">XLOOKUP($D894,REGOLITOS!$A:$A,REGOLITOS!K:K)</f>
        <v>#N/A</v>
      </c>
      <c r="L894" s="76"/>
      <c r="M894" s="5" t="s">
        <v>1080</v>
      </c>
      <c r="N894" s="5" t="s">
        <v>1080</v>
      </c>
      <c r="O894" s="5" t="s">
        <v>1080</v>
      </c>
      <c r="P894" s="5" t="s">
        <v>1080</v>
      </c>
      <c r="Q894" s="5" t="s">
        <v>1080</v>
      </c>
      <c r="X894" s="71">
        <f t="shared" si="5"/>
        <v>0</v>
      </c>
      <c r="Y894" s="5" t="b">
        <v>0</v>
      </c>
    </row>
    <row r="895">
      <c r="B895" s="5" t="str">
        <f t="array" ref="B895">XLOOKUP(A895, CURSOS!A:A, CURSOS!B:B)</f>
        <v>#N/A</v>
      </c>
      <c r="C895" s="75" t="str">
        <f t="array" ref="C895">XLOOKUP(A895, CURSOS!A:A, CURSOS!C:C)</f>
        <v>#N/A</v>
      </c>
      <c r="D895" s="70" t="e">
        <v>#N/A</v>
      </c>
      <c r="E895" s="48"/>
      <c r="F895" s="48" t="str">
        <f t="array" ref="F895">XLOOKUP($D895,REGOLITOS!$A:$A,REGOLITOS!F:F)</f>
        <v>#N/A</v>
      </c>
      <c r="G895" s="48" t="str">
        <f t="array" ref="G895">XLOOKUP($D895,REGOLITOS!$A:$A,REGOLITOS!G:G)</f>
        <v>#N/A</v>
      </c>
      <c r="H895" s="48" t="str">
        <f t="array" ref="H895">XLOOKUP($D895,REGOLITOS!$A:$A,REGOLITOS!H:H)</f>
        <v>#N/A</v>
      </c>
      <c r="I895" s="48" t="str">
        <f t="array" ref="I895">XLOOKUP($D895,REGOLITOS!$A:$A,REGOLITOS!I:I)</f>
        <v>#N/A</v>
      </c>
      <c r="J895" s="48" t="str">
        <f t="array" ref="J895">XLOOKUP($D895,REGOLITOS!$A:$A,REGOLITOS!J:J)</f>
        <v>#N/A</v>
      </c>
      <c r="K895" s="48" t="str">
        <f t="array" ref="K895">XLOOKUP($D895,REGOLITOS!$A:$A,REGOLITOS!K:K)</f>
        <v>#N/A</v>
      </c>
      <c r="L895" s="76"/>
      <c r="M895" s="5" t="s">
        <v>1080</v>
      </c>
      <c r="N895" s="5" t="s">
        <v>1080</v>
      </c>
      <c r="O895" s="5" t="s">
        <v>1080</v>
      </c>
      <c r="P895" s="5" t="s">
        <v>1080</v>
      </c>
      <c r="Q895" s="5" t="s">
        <v>1080</v>
      </c>
      <c r="X895" s="71">
        <f t="shared" si="5"/>
        <v>0</v>
      </c>
      <c r="Y895" s="5" t="b">
        <v>0</v>
      </c>
    </row>
    <row r="896">
      <c r="B896" s="5" t="str">
        <f t="array" ref="B896">XLOOKUP(A896, CURSOS!A:A, CURSOS!B:B)</f>
        <v>#N/A</v>
      </c>
      <c r="C896" s="75" t="str">
        <f t="array" ref="C896">XLOOKUP(A896, CURSOS!A:A, CURSOS!C:C)</f>
        <v>#N/A</v>
      </c>
      <c r="D896" s="70" t="e">
        <v>#N/A</v>
      </c>
      <c r="E896" s="48"/>
      <c r="F896" s="48" t="str">
        <f t="array" ref="F896">XLOOKUP($D896,REGOLITOS!$A:$A,REGOLITOS!F:F)</f>
        <v>#N/A</v>
      </c>
      <c r="G896" s="48" t="str">
        <f t="array" ref="G896">XLOOKUP($D896,REGOLITOS!$A:$A,REGOLITOS!G:G)</f>
        <v>#N/A</v>
      </c>
      <c r="H896" s="48" t="str">
        <f t="array" ref="H896">XLOOKUP($D896,REGOLITOS!$A:$A,REGOLITOS!H:H)</f>
        <v>#N/A</v>
      </c>
      <c r="I896" s="48" t="str">
        <f t="array" ref="I896">XLOOKUP($D896,REGOLITOS!$A:$A,REGOLITOS!I:I)</f>
        <v>#N/A</v>
      </c>
      <c r="J896" s="48" t="str">
        <f t="array" ref="J896">XLOOKUP($D896,REGOLITOS!$A:$A,REGOLITOS!J:J)</f>
        <v>#N/A</v>
      </c>
      <c r="K896" s="48" t="str">
        <f t="array" ref="K896">XLOOKUP($D896,REGOLITOS!$A:$A,REGOLITOS!K:K)</f>
        <v>#N/A</v>
      </c>
      <c r="L896" s="76"/>
      <c r="M896" s="5" t="s">
        <v>1080</v>
      </c>
      <c r="N896" s="5" t="s">
        <v>1080</v>
      </c>
      <c r="O896" s="5" t="s">
        <v>1080</v>
      </c>
      <c r="P896" s="5" t="s">
        <v>1080</v>
      </c>
      <c r="Q896" s="5" t="s">
        <v>1080</v>
      </c>
      <c r="X896" s="71">
        <f t="shared" si="5"/>
        <v>0</v>
      </c>
      <c r="Y896" s="5" t="b">
        <v>0</v>
      </c>
    </row>
    <row r="897">
      <c r="B897" s="5" t="str">
        <f t="array" ref="B897">XLOOKUP(A897, CURSOS!A:A, CURSOS!B:B)</f>
        <v>#N/A</v>
      </c>
      <c r="C897" s="75" t="str">
        <f t="array" ref="C897">XLOOKUP(A897, CURSOS!A:A, CURSOS!C:C)</f>
        <v>#N/A</v>
      </c>
      <c r="D897" s="70" t="e">
        <v>#N/A</v>
      </c>
      <c r="E897" s="48"/>
      <c r="F897" s="48" t="str">
        <f t="array" ref="F897">XLOOKUP($D897,REGOLITOS!$A:$A,REGOLITOS!F:F)</f>
        <v>#N/A</v>
      </c>
      <c r="G897" s="48" t="str">
        <f t="array" ref="G897">XLOOKUP($D897,REGOLITOS!$A:$A,REGOLITOS!G:G)</f>
        <v>#N/A</v>
      </c>
      <c r="H897" s="48" t="str">
        <f t="array" ref="H897">XLOOKUP($D897,REGOLITOS!$A:$A,REGOLITOS!H:H)</f>
        <v>#N/A</v>
      </c>
      <c r="I897" s="48" t="str">
        <f t="array" ref="I897">XLOOKUP($D897,REGOLITOS!$A:$A,REGOLITOS!I:I)</f>
        <v>#N/A</v>
      </c>
      <c r="J897" s="48" t="str">
        <f t="array" ref="J897">XLOOKUP($D897,REGOLITOS!$A:$A,REGOLITOS!J:J)</f>
        <v>#N/A</v>
      </c>
      <c r="K897" s="48" t="str">
        <f t="array" ref="K897">XLOOKUP($D897,REGOLITOS!$A:$A,REGOLITOS!K:K)</f>
        <v>#N/A</v>
      </c>
      <c r="L897" s="76"/>
      <c r="M897" s="5" t="s">
        <v>1080</v>
      </c>
      <c r="N897" s="5" t="s">
        <v>1080</v>
      </c>
      <c r="O897" s="5" t="s">
        <v>1080</v>
      </c>
      <c r="P897" s="5" t="s">
        <v>1080</v>
      </c>
      <c r="Q897" s="5" t="s">
        <v>1080</v>
      </c>
      <c r="X897" s="71">
        <f t="shared" si="5"/>
        <v>0</v>
      </c>
      <c r="Y897" s="5" t="b">
        <v>0</v>
      </c>
    </row>
    <row r="898">
      <c r="B898" s="5" t="str">
        <f t="array" ref="B898">XLOOKUP(A898, CURSOS!A:A, CURSOS!B:B)</f>
        <v>#N/A</v>
      </c>
      <c r="C898" s="75" t="str">
        <f t="array" ref="C898">XLOOKUP(A898, CURSOS!A:A, CURSOS!C:C)</f>
        <v>#N/A</v>
      </c>
      <c r="D898" s="70" t="e">
        <v>#N/A</v>
      </c>
      <c r="E898" s="48"/>
      <c r="F898" s="48" t="str">
        <f t="array" ref="F898">XLOOKUP($D898,REGOLITOS!$A:$A,REGOLITOS!F:F)</f>
        <v>#N/A</v>
      </c>
      <c r="G898" s="48" t="str">
        <f t="array" ref="G898">XLOOKUP($D898,REGOLITOS!$A:$A,REGOLITOS!G:G)</f>
        <v>#N/A</v>
      </c>
      <c r="H898" s="48" t="str">
        <f t="array" ref="H898">XLOOKUP($D898,REGOLITOS!$A:$A,REGOLITOS!H:H)</f>
        <v>#N/A</v>
      </c>
      <c r="I898" s="48" t="str">
        <f t="array" ref="I898">XLOOKUP($D898,REGOLITOS!$A:$A,REGOLITOS!I:I)</f>
        <v>#N/A</v>
      </c>
      <c r="J898" s="48" t="str">
        <f t="array" ref="J898">XLOOKUP($D898,REGOLITOS!$A:$A,REGOLITOS!J:J)</f>
        <v>#N/A</v>
      </c>
      <c r="K898" s="48" t="str">
        <f t="array" ref="K898">XLOOKUP($D898,REGOLITOS!$A:$A,REGOLITOS!K:K)</f>
        <v>#N/A</v>
      </c>
      <c r="L898" s="76"/>
      <c r="M898" s="5" t="s">
        <v>1080</v>
      </c>
      <c r="N898" s="5" t="s">
        <v>1080</v>
      </c>
      <c r="O898" s="5" t="s">
        <v>1080</v>
      </c>
      <c r="P898" s="5" t="s">
        <v>1080</v>
      </c>
      <c r="Q898" s="5" t="s">
        <v>1080</v>
      </c>
      <c r="X898" s="71">
        <f t="shared" si="5"/>
        <v>0</v>
      </c>
      <c r="Y898" s="5" t="b">
        <v>0</v>
      </c>
    </row>
    <row r="899">
      <c r="B899" s="5" t="str">
        <f t="array" ref="B899">XLOOKUP(A899, CURSOS!A:A, CURSOS!B:B)</f>
        <v>#N/A</v>
      </c>
      <c r="C899" s="75" t="str">
        <f t="array" ref="C899">XLOOKUP(A899, CURSOS!A:A, CURSOS!C:C)</f>
        <v>#N/A</v>
      </c>
      <c r="D899" s="70" t="e">
        <v>#N/A</v>
      </c>
      <c r="E899" s="48"/>
      <c r="F899" s="48" t="str">
        <f t="array" ref="F899">XLOOKUP($D899,REGOLITOS!$A:$A,REGOLITOS!F:F)</f>
        <v>#N/A</v>
      </c>
      <c r="G899" s="48" t="str">
        <f t="array" ref="G899">XLOOKUP($D899,REGOLITOS!$A:$A,REGOLITOS!G:G)</f>
        <v>#N/A</v>
      </c>
      <c r="H899" s="48" t="str">
        <f t="array" ref="H899">XLOOKUP($D899,REGOLITOS!$A:$A,REGOLITOS!H:H)</f>
        <v>#N/A</v>
      </c>
      <c r="I899" s="48" t="str">
        <f t="array" ref="I899">XLOOKUP($D899,REGOLITOS!$A:$A,REGOLITOS!I:I)</f>
        <v>#N/A</v>
      </c>
      <c r="J899" s="48" t="str">
        <f t="array" ref="J899">XLOOKUP($D899,REGOLITOS!$A:$A,REGOLITOS!J:J)</f>
        <v>#N/A</v>
      </c>
      <c r="K899" s="48" t="str">
        <f t="array" ref="K899">XLOOKUP($D899,REGOLITOS!$A:$A,REGOLITOS!K:K)</f>
        <v>#N/A</v>
      </c>
      <c r="L899" s="76"/>
      <c r="M899" s="5" t="s">
        <v>1080</v>
      </c>
      <c r="N899" s="5" t="s">
        <v>1080</v>
      </c>
      <c r="O899" s="5" t="s">
        <v>1080</v>
      </c>
      <c r="P899" s="5" t="s">
        <v>1080</v>
      </c>
      <c r="Q899" s="5" t="s">
        <v>1080</v>
      </c>
      <c r="X899" s="71">
        <f t="shared" si="5"/>
        <v>0</v>
      </c>
      <c r="Y899" s="5" t="b">
        <v>0</v>
      </c>
    </row>
    <row r="900">
      <c r="B900" s="5" t="str">
        <f t="array" ref="B900">XLOOKUP(A900, CURSOS!A:A, CURSOS!B:B)</f>
        <v>#N/A</v>
      </c>
      <c r="C900" s="75" t="str">
        <f t="array" ref="C900">XLOOKUP(A900, CURSOS!A:A, CURSOS!C:C)</f>
        <v>#N/A</v>
      </c>
      <c r="D900" s="70" t="e">
        <v>#N/A</v>
      </c>
      <c r="E900" s="48"/>
      <c r="F900" s="48" t="str">
        <f t="array" ref="F900">XLOOKUP($D900,REGOLITOS!$A:$A,REGOLITOS!F:F)</f>
        <v>#N/A</v>
      </c>
      <c r="G900" s="48" t="str">
        <f t="array" ref="G900">XLOOKUP($D900,REGOLITOS!$A:$A,REGOLITOS!G:G)</f>
        <v>#N/A</v>
      </c>
      <c r="H900" s="48" t="str">
        <f t="array" ref="H900">XLOOKUP($D900,REGOLITOS!$A:$A,REGOLITOS!H:H)</f>
        <v>#N/A</v>
      </c>
      <c r="I900" s="48" t="str">
        <f t="array" ref="I900">XLOOKUP($D900,REGOLITOS!$A:$A,REGOLITOS!I:I)</f>
        <v>#N/A</v>
      </c>
      <c r="J900" s="48" t="str">
        <f t="array" ref="J900">XLOOKUP($D900,REGOLITOS!$A:$A,REGOLITOS!J:J)</f>
        <v>#N/A</v>
      </c>
      <c r="K900" s="48" t="str">
        <f t="array" ref="K900">XLOOKUP($D900,REGOLITOS!$A:$A,REGOLITOS!K:K)</f>
        <v>#N/A</v>
      </c>
      <c r="L900" s="76"/>
      <c r="M900" s="5" t="s">
        <v>1080</v>
      </c>
      <c r="N900" s="5" t="s">
        <v>1080</v>
      </c>
      <c r="O900" s="5" t="s">
        <v>1080</v>
      </c>
      <c r="P900" s="5" t="s">
        <v>1080</v>
      </c>
      <c r="Q900" s="5" t="s">
        <v>1080</v>
      </c>
      <c r="X900" s="71">
        <f t="shared" si="5"/>
        <v>0</v>
      </c>
      <c r="Y900" s="5" t="b">
        <v>0</v>
      </c>
    </row>
    <row r="901">
      <c r="B901" s="5" t="str">
        <f t="array" ref="B901">XLOOKUP(A901, CURSOS!A:A, CURSOS!B:B)</f>
        <v>#N/A</v>
      </c>
      <c r="C901" s="75" t="str">
        <f t="array" ref="C901">XLOOKUP(A901, CURSOS!A:A, CURSOS!C:C)</f>
        <v>#N/A</v>
      </c>
      <c r="D901" s="70" t="e">
        <v>#N/A</v>
      </c>
      <c r="E901" s="48"/>
      <c r="F901" s="48" t="str">
        <f t="array" ref="F901">XLOOKUP($D901,REGOLITOS!$A:$A,REGOLITOS!F:F)</f>
        <v>#N/A</v>
      </c>
      <c r="G901" s="48" t="str">
        <f t="array" ref="G901">XLOOKUP($D901,REGOLITOS!$A:$A,REGOLITOS!G:G)</f>
        <v>#N/A</v>
      </c>
      <c r="H901" s="48" t="str">
        <f t="array" ref="H901">XLOOKUP($D901,REGOLITOS!$A:$A,REGOLITOS!H:H)</f>
        <v>#N/A</v>
      </c>
      <c r="I901" s="48" t="str">
        <f t="array" ref="I901">XLOOKUP($D901,REGOLITOS!$A:$A,REGOLITOS!I:I)</f>
        <v>#N/A</v>
      </c>
      <c r="J901" s="48" t="str">
        <f t="array" ref="J901">XLOOKUP($D901,REGOLITOS!$A:$A,REGOLITOS!J:J)</f>
        <v>#N/A</v>
      </c>
      <c r="K901" s="48" t="str">
        <f t="array" ref="K901">XLOOKUP($D901,REGOLITOS!$A:$A,REGOLITOS!K:K)</f>
        <v>#N/A</v>
      </c>
      <c r="L901" s="76"/>
      <c r="M901" s="5" t="s">
        <v>1080</v>
      </c>
      <c r="N901" s="5" t="s">
        <v>1080</v>
      </c>
      <c r="O901" s="5" t="s">
        <v>1080</v>
      </c>
      <c r="P901" s="5" t="s">
        <v>1080</v>
      </c>
      <c r="Q901" s="5" t="s">
        <v>1080</v>
      </c>
      <c r="X901" s="71">
        <f t="shared" si="5"/>
        <v>0</v>
      </c>
      <c r="Y901" s="5" t="b">
        <v>0</v>
      </c>
    </row>
    <row r="902">
      <c r="B902" s="5" t="str">
        <f t="array" ref="B902">XLOOKUP(A902, CURSOS!A:A, CURSOS!B:B)</f>
        <v>#N/A</v>
      </c>
      <c r="C902" s="75" t="str">
        <f t="array" ref="C902">XLOOKUP(A902, CURSOS!A:A, CURSOS!C:C)</f>
        <v>#N/A</v>
      </c>
      <c r="D902" s="70" t="e">
        <v>#N/A</v>
      </c>
      <c r="E902" s="48"/>
      <c r="F902" s="48" t="str">
        <f t="array" ref="F902">XLOOKUP($D902,REGOLITOS!$A:$A,REGOLITOS!F:F)</f>
        <v>#N/A</v>
      </c>
      <c r="G902" s="48" t="str">
        <f t="array" ref="G902">XLOOKUP($D902,REGOLITOS!$A:$A,REGOLITOS!G:G)</f>
        <v>#N/A</v>
      </c>
      <c r="H902" s="48" t="str">
        <f t="array" ref="H902">XLOOKUP($D902,REGOLITOS!$A:$A,REGOLITOS!H:H)</f>
        <v>#N/A</v>
      </c>
      <c r="I902" s="48" t="str">
        <f t="array" ref="I902">XLOOKUP($D902,REGOLITOS!$A:$A,REGOLITOS!I:I)</f>
        <v>#N/A</v>
      </c>
      <c r="J902" s="48" t="str">
        <f t="array" ref="J902">XLOOKUP($D902,REGOLITOS!$A:$A,REGOLITOS!J:J)</f>
        <v>#N/A</v>
      </c>
      <c r="K902" s="48" t="str">
        <f t="array" ref="K902">XLOOKUP($D902,REGOLITOS!$A:$A,REGOLITOS!K:K)</f>
        <v>#N/A</v>
      </c>
      <c r="L902" s="76"/>
      <c r="M902" s="5" t="s">
        <v>1080</v>
      </c>
      <c r="N902" s="5" t="s">
        <v>1080</v>
      </c>
      <c r="O902" s="5" t="s">
        <v>1080</v>
      </c>
      <c r="P902" s="5" t="s">
        <v>1080</v>
      </c>
      <c r="Q902" s="5" t="s">
        <v>1080</v>
      </c>
      <c r="X902" s="71">
        <f t="shared" si="5"/>
        <v>0</v>
      </c>
      <c r="Y902" s="5" t="b">
        <v>0</v>
      </c>
    </row>
    <row r="903">
      <c r="B903" s="5" t="str">
        <f t="array" ref="B903">XLOOKUP(A903, CURSOS!A:A, CURSOS!B:B)</f>
        <v>#N/A</v>
      </c>
      <c r="C903" s="75" t="str">
        <f t="array" ref="C903">XLOOKUP(A903, CURSOS!A:A, CURSOS!C:C)</f>
        <v>#N/A</v>
      </c>
      <c r="D903" s="70" t="e">
        <v>#N/A</v>
      </c>
      <c r="E903" s="48"/>
      <c r="F903" s="48" t="str">
        <f t="array" ref="F903">XLOOKUP($D903,REGOLITOS!$A:$A,REGOLITOS!F:F)</f>
        <v>#N/A</v>
      </c>
      <c r="G903" s="48" t="str">
        <f t="array" ref="G903">XLOOKUP($D903,REGOLITOS!$A:$A,REGOLITOS!G:G)</f>
        <v>#N/A</v>
      </c>
      <c r="H903" s="48" t="str">
        <f t="array" ref="H903">XLOOKUP($D903,REGOLITOS!$A:$A,REGOLITOS!H:H)</f>
        <v>#N/A</v>
      </c>
      <c r="I903" s="48" t="str">
        <f t="array" ref="I903">XLOOKUP($D903,REGOLITOS!$A:$A,REGOLITOS!I:I)</f>
        <v>#N/A</v>
      </c>
      <c r="J903" s="48" t="str">
        <f t="array" ref="J903">XLOOKUP($D903,REGOLITOS!$A:$A,REGOLITOS!J:J)</f>
        <v>#N/A</v>
      </c>
      <c r="K903" s="48" t="str">
        <f t="array" ref="K903">XLOOKUP($D903,REGOLITOS!$A:$A,REGOLITOS!K:K)</f>
        <v>#N/A</v>
      </c>
      <c r="L903" s="76"/>
      <c r="M903" s="5" t="s">
        <v>1080</v>
      </c>
      <c r="N903" s="5" t="s">
        <v>1080</v>
      </c>
      <c r="O903" s="5" t="s">
        <v>1080</v>
      </c>
      <c r="P903" s="5" t="s">
        <v>1080</v>
      </c>
      <c r="Q903" s="5" t="s">
        <v>1080</v>
      </c>
      <c r="X903" s="71">
        <f t="shared" si="5"/>
        <v>0</v>
      </c>
      <c r="Y903" s="5" t="b">
        <v>0</v>
      </c>
    </row>
    <row r="904">
      <c r="B904" s="5" t="str">
        <f t="array" ref="B904">XLOOKUP(A904, CURSOS!A:A, CURSOS!B:B)</f>
        <v>#N/A</v>
      </c>
      <c r="C904" s="75" t="str">
        <f t="array" ref="C904">XLOOKUP(A904, CURSOS!A:A, CURSOS!C:C)</f>
        <v>#N/A</v>
      </c>
      <c r="D904" s="70" t="e">
        <v>#N/A</v>
      </c>
      <c r="E904" s="48"/>
      <c r="F904" s="48" t="str">
        <f t="array" ref="F904">XLOOKUP($D904,REGOLITOS!$A:$A,REGOLITOS!F:F)</f>
        <v>#N/A</v>
      </c>
      <c r="G904" s="48" t="str">
        <f t="array" ref="G904">XLOOKUP($D904,REGOLITOS!$A:$A,REGOLITOS!G:G)</f>
        <v>#N/A</v>
      </c>
      <c r="H904" s="48" t="str">
        <f t="array" ref="H904">XLOOKUP($D904,REGOLITOS!$A:$A,REGOLITOS!H:H)</f>
        <v>#N/A</v>
      </c>
      <c r="I904" s="48" t="str">
        <f t="array" ref="I904">XLOOKUP($D904,REGOLITOS!$A:$A,REGOLITOS!I:I)</f>
        <v>#N/A</v>
      </c>
      <c r="J904" s="48" t="str">
        <f t="array" ref="J904">XLOOKUP($D904,REGOLITOS!$A:$A,REGOLITOS!J:J)</f>
        <v>#N/A</v>
      </c>
      <c r="K904" s="48" t="str">
        <f t="array" ref="K904">XLOOKUP($D904,REGOLITOS!$A:$A,REGOLITOS!K:K)</f>
        <v>#N/A</v>
      </c>
      <c r="L904" s="76"/>
      <c r="M904" s="5" t="s">
        <v>1080</v>
      </c>
      <c r="N904" s="5" t="s">
        <v>1080</v>
      </c>
      <c r="O904" s="5" t="s">
        <v>1080</v>
      </c>
      <c r="P904" s="5" t="s">
        <v>1080</v>
      </c>
      <c r="Q904" s="5" t="s">
        <v>1080</v>
      </c>
      <c r="X904" s="71">
        <f t="shared" si="5"/>
        <v>0</v>
      </c>
      <c r="Y904" s="5" t="b">
        <v>0</v>
      </c>
    </row>
    <row r="905">
      <c r="B905" s="5" t="str">
        <f t="array" ref="B905">XLOOKUP(A905, CURSOS!A:A, CURSOS!B:B)</f>
        <v>#N/A</v>
      </c>
      <c r="C905" s="75" t="str">
        <f t="array" ref="C905">XLOOKUP(A905, CURSOS!A:A, CURSOS!C:C)</f>
        <v>#N/A</v>
      </c>
      <c r="D905" s="70" t="e">
        <v>#N/A</v>
      </c>
      <c r="E905" s="48"/>
      <c r="F905" s="48" t="str">
        <f t="array" ref="F905">XLOOKUP($D905,REGOLITOS!$A:$A,REGOLITOS!F:F)</f>
        <v>#N/A</v>
      </c>
      <c r="G905" s="48" t="str">
        <f t="array" ref="G905">XLOOKUP($D905,REGOLITOS!$A:$A,REGOLITOS!G:G)</f>
        <v>#N/A</v>
      </c>
      <c r="H905" s="48" t="str">
        <f t="array" ref="H905">XLOOKUP($D905,REGOLITOS!$A:$A,REGOLITOS!H:H)</f>
        <v>#N/A</v>
      </c>
      <c r="I905" s="48" t="str">
        <f t="array" ref="I905">XLOOKUP($D905,REGOLITOS!$A:$A,REGOLITOS!I:I)</f>
        <v>#N/A</v>
      </c>
      <c r="J905" s="48" t="str">
        <f t="array" ref="J905">XLOOKUP($D905,REGOLITOS!$A:$A,REGOLITOS!J:J)</f>
        <v>#N/A</v>
      </c>
      <c r="K905" s="48" t="str">
        <f t="array" ref="K905">XLOOKUP($D905,REGOLITOS!$A:$A,REGOLITOS!K:K)</f>
        <v>#N/A</v>
      </c>
      <c r="L905" s="76"/>
      <c r="M905" s="5" t="s">
        <v>1080</v>
      </c>
      <c r="N905" s="5" t="s">
        <v>1080</v>
      </c>
      <c r="O905" s="5" t="s">
        <v>1080</v>
      </c>
      <c r="P905" s="5" t="s">
        <v>1080</v>
      </c>
      <c r="Q905" s="5" t="s">
        <v>1080</v>
      </c>
      <c r="X905" s="71">
        <f t="shared" si="5"/>
        <v>0</v>
      </c>
      <c r="Y905" s="5" t="b">
        <v>0</v>
      </c>
    </row>
    <row r="906">
      <c r="B906" s="5" t="str">
        <f t="array" ref="B906">XLOOKUP(A906, CURSOS!A:A, CURSOS!B:B)</f>
        <v>#N/A</v>
      </c>
      <c r="C906" s="75" t="str">
        <f t="array" ref="C906">XLOOKUP(A906, CURSOS!A:A, CURSOS!C:C)</f>
        <v>#N/A</v>
      </c>
      <c r="D906" s="70" t="e">
        <v>#N/A</v>
      </c>
      <c r="E906" s="48"/>
      <c r="F906" s="48" t="str">
        <f t="array" ref="F906">XLOOKUP($D906,REGOLITOS!$A:$A,REGOLITOS!F:F)</f>
        <v>#N/A</v>
      </c>
      <c r="G906" s="48" t="str">
        <f t="array" ref="G906">XLOOKUP($D906,REGOLITOS!$A:$A,REGOLITOS!G:G)</f>
        <v>#N/A</v>
      </c>
      <c r="H906" s="48" t="str">
        <f t="array" ref="H906">XLOOKUP($D906,REGOLITOS!$A:$A,REGOLITOS!H:H)</f>
        <v>#N/A</v>
      </c>
      <c r="I906" s="48" t="str">
        <f t="array" ref="I906">XLOOKUP($D906,REGOLITOS!$A:$A,REGOLITOS!I:I)</f>
        <v>#N/A</v>
      </c>
      <c r="J906" s="48" t="str">
        <f t="array" ref="J906">XLOOKUP($D906,REGOLITOS!$A:$A,REGOLITOS!J:J)</f>
        <v>#N/A</v>
      </c>
      <c r="K906" s="48" t="str">
        <f t="array" ref="K906">XLOOKUP($D906,REGOLITOS!$A:$A,REGOLITOS!K:K)</f>
        <v>#N/A</v>
      </c>
      <c r="L906" s="76"/>
      <c r="M906" s="5" t="s">
        <v>1080</v>
      </c>
      <c r="N906" s="5" t="s">
        <v>1080</v>
      </c>
      <c r="O906" s="5" t="s">
        <v>1080</v>
      </c>
      <c r="P906" s="5" t="s">
        <v>1080</v>
      </c>
      <c r="Q906" s="5" t="s">
        <v>1080</v>
      </c>
      <c r="X906" s="71">
        <f t="shared" si="5"/>
        <v>0</v>
      </c>
      <c r="Y906" s="5" t="b">
        <v>0</v>
      </c>
    </row>
    <row r="907">
      <c r="B907" s="5" t="str">
        <f t="array" ref="B907">XLOOKUP(A907, CURSOS!A:A, CURSOS!B:B)</f>
        <v>#N/A</v>
      </c>
      <c r="C907" s="75" t="str">
        <f t="array" ref="C907">XLOOKUP(A907, CURSOS!A:A, CURSOS!C:C)</f>
        <v>#N/A</v>
      </c>
      <c r="D907" s="70" t="e">
        <v>#N/A</v>
      </c>
      <c r="E907" s="48"/>
      <c r="F907" s="48" t="str">
        <f t="array" ref="F907">XLOOKUP($D907,REGOLITOS!$A:$A,REGOLITOS!F:F)</f>
        <v>#N/A</v>
      </c>
      <c r="G907" s="48" t="str">
        <f t="array" ref="G907">XLOOKUP($D907,REGOLITOS!$A:$A,REGOLITOS!G:G)</f>
        <v>#N/A</v>
      </c>
      <c r="H907" s="48" t="str">
        <f t="array" ref="H907">XLOOKUP($D907,REGOLITOS!$A:$A,REGOLITOS!H:H)</f>
        <v>#N/A</v>
      </c>
      <c r="I907" s="48" t="str">
        <f t="array" ref="I907">XLOOKUP($D907,REGOLITOS!$A:$A,REGOLITOS!I:I)</f>
        <v>#N/A</v>
      </c>
      <c r="J907" s="48" t="str">
        <f t="array" ref="J907">XLOOKUP($D907,REGOLITOS!$A:$A,REGOLITOS!J:J)</f>
        <v>#N/A</v>
      </c>
      <c r="K907" s="48" t="str">
        <f t="array" ref="K907">XLOOKUP($D907,REGOLITOS!$A:$A,REGOLITOS!K:K)</f>
        <v>#N/A</v>
      </c>
      <c r="L907" s="76"/>
      <c r="M907" s="5" t="s">
        <v>1080</v>
      </c>
      <c r="N907" s="5" t="s">
        <v>1080</v>
      </c>
      <c r="O907" s="5" t="s">
        <v>1080</v>
      </c>
      <c r="P907" s="5" t="s">
        <v>1080</v>
      </c>
      <c r="Q907" s="5" t="s">
        <v>1080</v>
      </c>
      <c r="X907" s="71">
        <f t="shared" si="5"/>
        <v>0</v>
      </c>
      <c r="Y907" s="5" t="b">
        <v>0</v>
      </c>
    </row>
    <row r="908">
      <c r="B908" s="5" t="str">
        <f t="array" ref="B908">XLOOKUP(A908, CURSOS!A:A, CURSOS!B:B)</f>
        <v>#N/A</v>
      </c>
      <c r="C908" s="75" t="str">
        <f t="array" ref="C908">XLOOKUP(A908, CURSOS!A:A, CURSOS!C:C)</f>
        <v>#N/A</v>
      </c>
      <c r="D908" s="70" t="e">
        <v>#N/A</v>
      </c>
      <c r="E908" s="48"/>
      <c r="F908" s="48" t="str">
        <f t="array" ref="F908">XLOOKUP($D908,REGOLITOS!$A:$A,REGOLITOS!F:F)</f>
        <v>#N/A</v>
      </c>
      <c r="G908" s="48" t="str">
        <f t="array" ref="G908">XLOOKUP($D908,REGOLITOS!$A:$A,REGOLITOS!G:G)</f>
        <v>#N/A</v>
      </c>
      <c r="H908" s="48" t="str">
        <f t="array" ref="H908">XLOOKUP($D908,REGOLITOS!$A:$A,REGOLITOS!H:H)</f>
        <v>#N/A</v>
      </c>
      <c r="I908" s="48" t="str">
        <f t="array" ref="I908">XLOOKUP($D908,REGOLITOS!$A:$A,REGOLITOS!I:I)</f>
        <v>#N/A</v>
      </c>
      <c r="J908" s="48" t="str">
        <f t="array" ref="J908">XLOOKUP($D908,REGOLITOS!$A:$A,REGOLITOS!J:J)</f>
        <v>#N/A</v>
      </c>
      <c r="K908" s="48" t="str">
        <f t="array" ref="K908">XLOOKUP($D908,REGOLITOS!$A:$A,REGOLITOS!K:K)</f>
        <v>#N/A</v>
      </c>
      <c r="L908" s="76"/>
      <c r="M908" s="5" t="s">
        <v>1080</v>
      </c>
      <c r="N908" s="5" t="s">
        <v>1080</v>
      </c>
      <c r="O908" s="5" t="s">
        <v>1080</v>
      </c>
      <c r="P908" s="5" t="s">
        <v>1080</v>
      </c>
      <c r="Q908" s="5" t="s">
        <v>1080</v>
      </c>
      <c r="X908" s="71">
        <f t="shared" si="5"/>
        <v>0</v>
      </c>
      <c r="Y908" s="5" t="b">
        <v>0</v>
      </c>
    </row>
    <row r="909">
      <c r="B909" s="5" t="str">
        <f t="array" ref="B909">XLOOKUP(A909, CURSOS!A:A, CURSOS!B:B)</f>
        <v>#N/A</v>
      </c>
      <c r="C909" s="75" t="str">
        <f t="array" ref="C909">XLOOKUP(A909, CURSOS!A:A, CURSOS!C:C)</f>
        <v>#N/A</v>
      </c>
      <c r="D909" s="70" t="e">
        <v>#N/A</v>
      </c>
      <c r="E909" s="48"/>
      <c r="F909" s="48" t="str">
        <f t="array" ref="F909">XLOOKUP($D909,REGOLITOS!$A:$A,REGOLITOS!F:F)</f>
        <v>#N/A</v>
      </c>
      <c r="G909" s="48" t="str">
        <f t="array" ref="G909">XLOOKUP($D909,REGOLITOS!$A:$A,REGOLITOS!G:G)</f>
        <v>#N/A</v>
      </c>
      <c r="H909" s="48" t="str">
        <f t="array" ref="H909">XLOOKUP($D909,REGOLITOS!$A:$A,REGOLITOS!H:H)</f>
        <v>#N/A</v>
      </c>
      <c r="I909" s="48" t="str">
        <f t="array" ref="I909">XLOOKUP($D909,REGOLITOS!$A:$A,REGOLITOS!I:I)</f>
        <v>#N/A</v>
      </c>
      <c r="J909" s="48" t="str">
        <f t="array" ref="J909">XLOOKUP($D909,REGOLITOS!$A:$A,REGOLITOS!J:J)</f>
        <v>#N/A</v>
      </c>
      <c r="K909" s="48" t="str">
        <f t="array" ref="K909">XLOOKUP($D909,REGOLITOS!$A:$A,REGOLITOS!K:K)</f>
        <v>#N/A</v>
      </c>
      <c r="L909" s="76"/>
      <c r="M909" s="5" t="s">
        <v>1080</v>
      </c>
      <c r="N909" s="5" t="s">
        <v>1080</v>
      </c>
      <c r="O909" s="5" t="s">
        <v>1080</v>
      </c>
      <c r="P909" s="5" t="s">
        <v>1080</v>
      </c>
      <c r="Q909" s="5" t="s">
        <v>1080</v>
      </c>
      <c r="X909" s="71">
        <f t="shared" si="5"/>
        <v>0</v>
      </c>
      <c r="Y909" s="5" t="b">
        <v>0</v>
      </c>
    </row>
    <row r="910">
      <c r="B910" s="5" t="str">
        <f t="array" ref="B910">XLOOKUP(A910, CURSOS!A:A, CURSOS!B:B)</f>
        <v>#N/A</v>
      </c>
      <c r="C910" s="75" t="str">
        <f t="array" ref="C910">XLOOKUP(A910, CURSOS!A:A, CURSOS!C:C)</f>
        <v>#N/A</v>
      </c>
      <c r="D910" s="70" t="e">
        <v>#N/A</v>
      </c>
      <c r="E910" s="48"/>
      <c r="F910" s="48" t="str">
        <f t="array" ref="F910">XLOOKUP($D910,REGOLITOS!$A:$A,REGOLITOS!F:F)</f>
        <v>#N/A</v>
      </c>
      <c r="G910" s="48" t="str">
        <f t="array" ref="G910">XLOOKUP($D910,REGOLITOS!$A:$A,REGOLITOS!G:G)</f>
        <v>#N/A</v>
      </c>
      <c r="H910" s="48" t="str">
        <f t="array" ref="H910">XLOOKUP($D910,REGOLITOS!$A:$A,REGOLITOS!H:H)</f>
        <v>#N/A</v>
      </c>
      <c r="I910" s="48" t="str">
        <f t="array" ref="I910">XLOOKUP($D910,REGOLITOS!$A:$A,REGOLITOS!I:I)</f>
        <v>#N/A</v>
      </c>
      <c r="J910" s="48" t="str">
        <f t="array" ref="J910">XLOOKUP($D910,REGOLITOS!$A:$A,REGOLITOS!J:J)</f>
        <v>#N/A</v>
      </c>
      <c r="K910" s="48" t="str">
        <f t="array" ref="K910">XLOOKUP($D910,REGOLITOS!$A:$A,REGOLITOS!K:K)</f>
        <v>#N/A</v>
      </c>
      <c r="L910" s="76"/>
      <c r="M910" s="5" t="s">
        <v>1080</v>
      </c>
      <c r="N910" s="5" t="s">
        <v>1080</v>
      </c>
      <c r="O910" s="5" t="s">
        <v>1080</v>
      </c>
      <c r="P910" s="5" t="s">
        <v>1080</v>
      </c>
      <c r="Q910" s="5" t="s">
        <v>1080</v>
      </c>
      <c r="X910" s="71">
        <f t="shared" si="5"/>
        <v>0</v>
      </c>
      <c r="Y910" s="5" t="b">
        <v>0</v>
      </c>
    </row>
    <row r="911">
      <c r="B911" s="5" t="str">
        <f t="array" ref="B911">XLOOKUP(A911, CURSOS!A:A, CURSOS!B:B)</f>
        <v>#N/A</v>
      </c>
      <c r="C911" s="75" t="str">
        <f t="array" ref="C911">XLOOKUP(A911, CURSOS!A:A, CURSOS!C:C)</f>
        <v>#N/A</v>
      </c>
      <c r="D911" s="70" t="e">
        <v>#N/A</v>
      </c>
      <c r="E911" s="48"/>
      <c r="F911" s="48" t="str">
        <f t="array" ref="F911">XLOOKUP($D911,REGOLITOS!$A:$A,REGOLITOS!F:F)</f>
        <v>#N/A</v>
      </c>
      <c r="G911" s="48" t="str">
        <f t="array" ref="G911">XLOOKUP($D911,REGOLITOS!$A:$A,REGOLITOS!G:G)</f>
        <v>#N/A</v>
      </c>
      <c r="H911" s="48" t="str">
        <f t="array" ref="H911">XLOOKUP($D911,REGOLITOS!$A:$A,REGOLITOS!H:H)</f>
        <v>#N/A</v>
      </c>
      <c r="I911" s="48" t="str">
        <f t="array" ref="I911">XLOOKUP($D911,REGOLITOS!$A:$A,REGOLITOS!I:I)</f>
        <v>#N/A</v>
      </c>
      <c r="J911" s="48" t="str">
        <f t="array" ref="J911">XLOOKUP($D911,REGOLITOS!$A:$A,REGOLITOS!J:J)</f>
        <v>#N/A</v>
      </c>
      <c r="K911" s="48" t="str">
        <f t="array" ref="K911">XLOOKUP($D911,REGOLITOS!$A:$A,REGOLITOS!K:K)</f>
        <v>#N/A</v>
      </c>
      <c r="L911" s="76"/>
      <c r="M911" s="5" t="s">
        <v>1080</v>
      </c>
      <c r="N911" s="5" t="s">
        <v>1080</v>
      </c>
      <c r="O911" s="5" t="s">
        <v>1080</v>
      </c>
      <c r="P911" s="5" t="s">
        <v>1080</v>
      </c>
      <c r="Q911" s="5" t="s">
        <v>1080</v>
      </c>
      <c r="X911" s="71">
        <f t="shared" si="5"/>
        <v>0</v>
      </c>
      <c r="Y911" s="5" t="b">
        <v>0</v>
      </c>
    </row>
    <row r="912">
      <c r="B912" s="5" t="str">
        <f t="array" ref="B912">XLOOKUP(A912, CURSOS!A:A, CURSOS!B:B)</f>
        <v>#N/A</v>
      </c>
      <c r="C912" s="75" t="str">
        <f t="array" ref="C912">XLOOKUP(A912, CURSOS!A:A, CURSOS!C:C)</f>
        <v>#N/A</v>
      </c>
      <c r="D912" s="70" t="e">
        <v>#N/A</v>
      </c>
      <c r="E912" s="48"/>
      <c r="F912" s="48" t="str">
        <f t="array" ref="F912">XLOOKUP($D912,REGOLITOS!$A:$A,REGOLITOS!F:F)</f>
        <v>#N/A</v>
      </c>
      <c r="G912" s="48" t="str">
        <f t="array" ref="G912">XLOOKUP($D912,REGOLITOS!$A:$A,REGOLITOS!G:G)</f>
        <v>#N/A</v>
      </c>
      <c r="H912" s="48" t="str">
        <f t="array" ref="H912">XLOOKUP($D912,REGOLITOS!$A:$A,REGOLITOS!H:H)</f>
        <v>#N/A</v>
      </c>
      <c r="I912" s="48" t="str">
        <f t="array" ref="I912">XLOOKUP($D912,REGOLITOS!$A:$A,REGOLITOS!I:I)</f>
        <v>#N/A</v>
      </c>
      <c r="J912" s="48" t="str">
        <f t="array" ref="J912">XLOOKUP($D912,REGOLITOS!$A:$A,REGOLITOS!J:J)</f>
        <v>#N/A</v>
      </c>
      <c r="K912" s="48" t="str">
        <f t="array" ref="K912">XLOOKUP($D912,REGOLITOS!$A:$A,REGOLITOS!K:K)</f>
        <v>#N/A</v>
      </c>
      <c r="L912" s="76"/>
      <c r="M912" s="5" t="s">
        <v>1080</v>
      </c>
      <c r="N912" s="5" t="s">
        <v>1080</v>
      </c>
      <c r="O912" s="5" t="s">
        <v>1080</v>
      </c>
      <c r="P912" s="5" t="s">
        <v>1080</v>
      </c>
      <c r="Q912" s="5" t="s">
        <v>1080</v>
      </c>
      <c r="X912" s="71">
        <f t="shared" si="5"/>
        <v>0</v>
      </c>
      <c r="Y912" s="5" t="b">
        <v>0</v>
      </c>
    </row>
    <row r="913">
      <c r="B913" s="5" t="str">
        <f t="array" ref="B913">XLOOKUP(A913, CURSOS!A:A, CURSOS!B:B)</f>
        <v>#N/A</v>
      </c>
      <c r="C913" s="75" t="str">
        <f t="array" ref="C913">XLOOKUP(A913, CURSOS!A:A, CURSOS!C:C)</f>
        <v>#N/A</v>
      </c>
      <c r="D913" s="70" t="e">
        <v>#N/A</v>
      </c>
      <c r="E913" s="48"/>
      <c r="F913" s="48" t="str">
        <f t="array" ref="F913">XLOOKUP($D913,REGOLITOS!$A:$A,REGOLITOS!F:F)</f>
        <v>#N/A</v>
      </c>
      <c r="G913" s="48" t="str">
        <f t="array" ref="G913">XLOOKUP($D913,REGOLITOS!$A:$A,REGOLITOS!G:G)</f>
        <v>#N/A</v>
      </c>
      <c r="H913" s="48" t="str">
        <f t="array" ref="H913">XLOOKUP($D913,REGOLITOS!$A:$A,REGOLITOS!H:H)</f>
        <v>#N/A</v>
      </c>
      <c r="I913" s="48" t="str">
        <f t="array" ref="I913">XLOOKUP($D913,REGOLITOS!$A:$A,REGOLITOS!I:I)</f>
        <v>#N/A</v>
      </c>
      <c r="J913" s="48" t="str">
        <f t="array" ref="J913">XLOOKUP($D913,REGOLITOS!$A:$A,REGOLITOS!J:J)</f>
        <v>#N/A</v>
      </c>
      <c r="K913" s="48" t="str">
        <f t="array" ref="K913">XLOOKUP($D913,REGOLITOS!$A:$A,REGOLITOS!K:K)</f>
        <v>#N/A</v>
      </c>
      <c r="L913" s="76"/>
      <c r="M913" s="5" t="s">
        <v>1080</v>
      </c>
      <c r="N913" s="5" t="s">
        <v>1080</v>
      </c>
      <c r="O913" s="5" t="s">
        <v>1080</v>
      </c>
      <c r="P913" s="5" t="s">
        <v>1080</v>
      </c>
      <c r="Q913" s="5" t="s">
        <v>1080</v>
      </c>
      <c r="X913" s="71">
        <f t="shared" si="5"/>
        <v>0</v>
      </c>
      <c r="Y913" s="5" t="b">
        <v>0</v>
      </c>
    </row>
    <row r="914">
      <c r="B914" s="5" t="str">
        <f t="array" ref="B914">XLOOKUP(A914, CURSOS!A:A, CURSOS!B:B)</f>
        <v>#N/A</v>
      </c>
      <c r="C914" s="75" t="str">
        <f t="array" ref="C914">XLOOKUP(A914, CURSOS!A:A, CURSOS!C:C)</f>
        <v>#N/A</v>
      </c>
      <c r="D914" s="70" t="e">
        <v>#N/A</v>
      </c>
      <c r="E914" s="48"/>
      <c r="F914" s="48" t="str">
        <f t="array" ref="F914">XLOOKUP($D914,REGOLITOS!$A:$A,REGOLITOS!F:F)</f>
        <v>#N/A</v>
      </c>
      <c r="G914" s="48" t="str">
        <f t="array" ref="G914">XLOOKUP($D914,REGOLITOS!$A:$A,REGOLITOS!G:G)</f>
        <v>#N/A</v>
      </c>
      <c r="H914" s="48" t="str">
        <f t="array" ref="H914">XLOOKUP($D914,REGOLITOS!$A:$A,REGOLITOS!H:H)</f>
        <v>#N/A</v>
      </c>
      <c r="I914" s="48" t="str">
        <f t="array" ref="I914">XLOOKUP($D914,REGOLITOS!$A:$A,REGOLITOS!I:I)</f>
        <v>#N/A</v>
      </c>
      <c r="J914" s="48" t="str">
        <f t="array" ref="J914">XLOOKUP($D914,REGOLITOS!$A:$A,REGOLITOS!J:J)</f>
        <v>#N/A</v>
      </c>
      <c r="K914" s="48" t="str">
        <f t="array" ref="K914">XLOOKUP($D914,REGOLITOS!$A:$A,REGOLITOS!K:K)</f>
        <v>#N/A</v>
      </c>
      <c r="L914" s="76"/>
      <c r="M914" s="5" t="s">
        <v>1080</v>
      </c>
      <c r="N914" s="5" t="s">
        <v>1080</v>
      </c>
      <c r="O914" s="5" t="s">
        <v>1080</v>
      </c>
      <c r="P914" s="5" t="s">
        <v>1080</v>
      </c>
      <c r="Q914" s="5" t="s">
        <v>1080</v>
      </c>
      <c r="X914" s="71">
        <f t="shared" si="5"/>
        <v>0</v>
      </c>
      <c r="Y914" s="5" t="b">
        <v>0</v>
      </c>
    </row>
    <row r="915">
      <c r="B915" s="5" t="str">
        <f t="array" ref="B915">XLOOKUP(A915, CURSOS!A:A, CURSOS!B:B)</f>
        <v>#N/A</v>
      </c>
      <c r="C915" s="75" t="str">
        <f t="array" ref="C915">XLOOKUP(A915, CURSOS!A:A, CURSOS!C:C)</f>
        <v>#N/A</v>
      </c>
      <c r="D915" s="70" t="e">
        <v>#N/A</v>
      </c>
      <c r="E915" s="48"/>
      <c r="F915" s="48" t="str">
        <f t="array" ref="F915">XLOOKUP($D915,REGOLITOS!$A:$A,REGOLITOS!F:F)</f>
        <v>#N/A</v>
      </c>
      <c r="G915" s="48" t="str">
        <f t="array" ref="G915">XLOOKUP($D915,REGOLITOS!$A:$A,REGOLITOS!G:G)</f>
        <v>#N/A</v>
      </c>
      <c r="H915" s="48" t="str">
        <f t="array" ref="H915">XLOOKUP($D915,REGOLITOS!$A:$A,REGOLITOS!H:H)</f>
        <v>#N/A</v>
      </c>
      <c r="I915" s="48" t="str">
        <f t="array" ref="I915">XLOOKUP($D915,REGOLITOS!$A:$A,REGOLITOS!I:I)</f>
        <v>#N/A</v>
      </c>
      <c r="J915" s="48" t="str">
        <f t="array" ref="J915">XLOOKUP($D915,REGOLITOS!$A:$A,REGOLITOS!J:J)</f>
        <v>#N/A</v>
      </c>
      <c r="K915" s="48" t="str">
        <f t="array" ref="K915">XLOOKUP($D915,REGOLITOS!$A:$A,REGOLITOS!K:K)</f>
        <v>#N/A</v>
      </c>
      <c r="L915" s="76"/>
      <c r="M915" s="5" t="s">
        <v>1080</v>
      </c>
      <c r="N915" s="5" t="s">
        <v>1080</v>
      </c>
      <c r="O915" s="5" t="s">
        <v>1080</v>
      </c>
      <c r="P915" s="5" t="s">
        <v>1080</v>
      </c>
      <c r="Q915" s="5" t="s">
        <v>1080</v>
      </c>
      <c r="X915" s="71">
        <f t="shared" si="5"/>
        <v>0</v>
      </c>
      <c r="Y915" s="5" t="b">
        <v>0</v>
      </c>
    </row>
    <row r="916">
      <c r="B916" s="5" t="str">
        <f t="array" ref="B916">XLOOKUP(A916, CURSOS!A:A, CURSOS!B:B)</f>
        <v>#N/A</v>
      </c>
      <c r="C916" s="75" t="str">
        <f t="array" ref="C916">XLOOKUP(A916, CURSOS!A:A, CURSOS!C:C)</f>
        <v>#N/A</v>
      </c>
      <c r="D916" s="70" t="e">
        <v>#N/A</v>
      </c>
      <c r="E916" s="48"/>
      <c r="F916" s="48" t="str">
        <f t="array" ref="F916">XLOOKUP($D916,REGOLITOS!$A:$A,REGOLITOS!F:F)</f>
        <v>#N/A</v>
      </c>
      <c r="G916" s="48" t="str">
        <f t="array" ref="G916">XLOOKUP($D916,REGOLITOS!$A:$A,REGOLITOS!G:G)</f>
        <v>#N/A</v>
      </c>
      <c r="H916" s="48" t="str">
        <f t="array" ref="H916">XLOOKUP($D916,REGOLITOS!$A:$A,REGOLITOS!H:H)</f>
        <v>#N/A</v>
      </c>
      <c r="I916" s="48" t="str">
        <f t="array" ref="I916">XLOOKUP($D916,REGOLITOS!$A:$A,REGOLITOS!I:I)</f>
        <v>#N/A</v>
      </c>
      <c r="J916" s="48" t="str">
        <f t="array" ref="J916">XLOOKUP($D916,REGOLITOS!$A:$A,REGOLITOS!J:J)</f>
        <v>#N/A</v>
      </c>
      <c r="K916" s="48" t="str">
        <f t="array" ref="K916">XLOOKUP($D916,REGOLITOS!$A:$A,REGOLITOS!K:K)</f>
        <v>#N/A</v>
      </c>
      <c r="L916" s="76"/>
      <c r="M916" s="5" t="s">
        <v>1080</v>
      </c>
      <c r="N916" s="5" t="s">
        <v>1080</v>
      </c>
      <c r="O916" s="5" t="s">
        <v>1080</v>
      </c>
      <c r="P916" s="5" t="s">
        <v>1080</v>
      </c>
      <c r="Q916" s="5" t="s">
        <v>1080</v>
      </c>
      <c r="X916" s="71">
        <f t="shared" si="5"/>
        <v>0</v>
      </c>
      <c r="Y916" s="5" t="b">
        <v>0</v>
      </c>
    </row>
    <row r="917">
      <c r="B917" s="5" t="str">
        <f t="array" ref="B917">XLOOKUP(A917, CURSOS!A:A, CURSOS!B:B)</f>
        <v>#N/A</v>
      </c>
      <c r="C917" s="75" t="str">
        <f t="array" ref="C917">XLOOKUP(A917, CURSOS!A:A, CURSOS!C:C)</f>
        <v>#N/A</v>
      </c>
      <c r="D917" s="70" t="e">
        <v>#N/A</v>
      </c>
      <c r="E917" s="48"/>
      <c r="F917" s="48" t="str">
        <f t="array" ref="F917">XLOOKUP($D917,REGOLITOS!$A:$A,REGOLITOS!F:F)</f>
        <v>#N/A</v>
      </c>
      <c r="G917" s="48" t="str">
        <f t="array" ref="G917">XLOOKUP($D917,REGOLITOS!$A:$A,REGOLITOS!G:G)</f>
        <v>#N/A</v>
      </c>
      <c r="H917" s="48" t="str">
        <f t="array" ref="H917">XLOOKUP($D917,REGOLITOS!$A:$A,REGOLITOS!H:H)</f>
        <v>#N/A</v>
      </c>
      <c r="I917" s="48" t="str">
        <f t="array" ref="I917">XLOOKUP($D917,REGOLITOS!$A:$A,REGOLITOS!I:I)</f>
        <v>#N/A</v>
      </c>
      <c r="J917" s="48" t="str">
        <f t="array" ref="J917">XLOOKUP($D917,REGOLITOS!$A:$A,REGOLITOS!J:J)</f>
        <v>#N/A</v>
      </c>
      <c r="K917" s="48" t="str">
        <f t="array" ref="K917">XLOOKUP($D917,REGOLITOS!$A:$A,REGOLITOS!K:K)</f>
        <v>#N/A</v>
      </c>
      <c r="L917" s="76"/>
      <c r="M917" s="5" t="s">
        <v>1080</v>
      </c>
      <c r="N917" s="5" t="s">
        <v>1080</v>
      </c>
      <c r="O917" s="5" t="s">
        <v>1080</v>
      </c>
      <c r="P917" s="5" t="s">
        <v>1080</v>
      </c>
      <c r="Q917" s="5" t="s">
        <v>1080</v>
      </c>
      <c r="X917" s="71">
        <f t="shared" si="5"/>
        <v>0</v>
      </c>
      <c r="Y917" s="5" t="b">
        <v>0</v>
      </c>
    </row>
    <row r="918">
      <c r="B918" s="5" t="str">
        <f t="array" ref="B918">XLOOKUP(A918, CURSOS!A:A, CURSOS!B:B)</f>
        <v>#N/A</v>
      </c>
      <c r="C918" s="75" t="str">
        <f t="array" ref="C918">XLOOKUP(A918, CURSOS!A:A, CURSOS!C:C)</f>
        <v>#N/A</v>
      </c>
      <c r="D918" s="70" t="e">
        <v>#N/A</v>
      </c>
      <c r="E918" s="48"/>
      <c r="F918" s="48" t="str">
        <f t="array" ref="F918">XLOOKUP($D918,REGOLITOS!$A:$A,REGOLITOS!F:F)</f>
        <v>#N/A</v>
      </c>
      <c r="G918" s="48" t="str">
        <f t="array" ref="G918">XLOOKUP($D918,REGOLITOS!$A:$A,REGOLITOS!G:G)</f>
        <v>#N/A</v>
      </c>
      <c r="H918" s="48" t="str">
        <f t="array" ref="H918">XLOOKUP($D918,REGOLITOS!$A:$A,REGOLITOS!H:H)</f>
        <v>#N/A</v>
      </c>
      <c r="I918" s="48" t="str">
        <f t="array" ref="I918">XLOOKUP($D918,REGOLITOS!$A:$A,REGOLITOS!I:I)</f>
        <v>#N/A</v>
      </c>
      <c r="J918" s="48" t="str">
        <f t="array" ref="J918">XLOOKUP($D918,REGOLITOS!$A:$A,REGOLITOS!J:J)</f>
        <v>#N/A</v>
      </c>
      <c r="K918" s="48" t="str">
        <f t="array" ref="K918">XLOOKUP($D918,REGOLITOS!$A:$A,REGOLITOS!K:K)</f>
        <v>#N/A</v>
      </c>
      <c r="L918" s="76"/>
      <c r="M918" s="5" t="s">
        <v>1080</v>
      </c>
      <c r="N918" s="5" t="s">
        <v>1080</v>
      </c>
      <c r="O918" s="5" t="s">
        <v>1080</v>
      </c>
      <c r="P918" s="5" t="s">
        <v>1080</v>
      </c>
      <c r="Q918" s="5" t="s">
        <v>1080</v>
      </c>
      <c r="X918" s="71">
        <f t="shared" si="5"/>
        <v>0</v>
      </c>
      <c r="Y918" s="5" t="b">
        <v>0</v>
      </c>
    </row>
    <row r="919">
      <c r="B919" s="5" t="str">
        <f t="array" ref="B919">XLOOKUP(A919, CURSOS!A:A, CURSOS!B:B)</f>
        <v>#N/A</v>
      </c>
      <c r="C919" s="75" t="str">
        <f t="array" ref="C919">XLOOKUP(A919, CURSOS!A:A, CURSOS!C:C)</f>
        <v>#N/A</v>
      </c>
      <c r="D919" s="70" t="e">
        <v>#N/A</v>
      </c>
      <c r="E919" s="48"/>
      <c r="F919" s="48" t="str">
        <f t="array" ref="F919">XLOOKUP($D919,REGOLITOS!$A:$A,REGOLITOS!F:F)</f>
        <v>#N/A</v>
      </c>
      <c r="G919" s="48" t="str">
        <f t="array" ref="G919">XLOOKUP($D919,REGOLITOS!$A:$A,REGOLITOS!G:G)</f>
        <v>#N/A</v>
      </c>
      <c r="H919" s="48" t="str">
        <f t="array" ref="H919">XLOOKUP($D919,REGOLITOS!$A:$A,REGOLITOS!H:H)</f>
        <v>#N/A</v>
      </c>
      <c r="I919" s="48" t="str">
        <f t="array" ref="I919">XLOOKUP($D919,REGOLITOS!$A:$A,REGOLITOS!I:I)</f>
        <v>#N/A</v>
      </c>
      <c r="J919" s="48" t="str">
        <f t="array" ref="J919">XLOOKUP($D919,REGOLITOS!$A:$A,REGOLITOS!J:J)</f>
        <v>#N/A</v>
      </c>
      <c r="K919" s="48" t="str">
        <f t="array" ref="K919">XLOOKUP($D919,REGOLITOS!$A:$A,REGOLITOS!K:K)</f>
        <v>#N/A</v>
      </c>
      <c r="L919" s="76"/>
      <c r="M919" s="5" t="s">
        <v>1080</v>
      </c>
      <c r="N919" s="5" t="s">
        <v>1080</v>
      </c>
      <c r="O919" s="5" t="s">
        <v>1080</v>
      </c>
      <c r="P919" s="5" t="s">
        <v>1080</v>
      </c>
      <c r="Q919" s="5" t="s">
        <v>1080</v>
      </c>
      <c r="X919" s="71">
        <f t="shared" si="5"/>
        <v>0</v>
      </c>
      <c r="Y919" s="5" t="b">
        <v>0</v>
      </c>
    </row>
    <row r="920">
      <c r="B920" s="5" t="str">
        <f t="array" ref="B920">XLOOKUP(A920, CURSOS!A:A, CURSOS!B:B)</f>
        <v>#N/A</v>
      </c>
      <c r="C920" s="75" t="str">
        <f t="array" ref="C920">XLOOKUP(A920, CURSOS!A:A, CURSOS!C:C)</f>
        <v>#N/A</v>
      </c>
      <c r="D920" s="70" t="e">
        <v>#N/A</v>
      </c>
      <c r="E920" s="48"/>
      <c r="F920" s="48" t="str">
        <f t="array" ref="F920">XLOOKUP($D920,REGOLITOS!$A:$A,REGOLITOS!F:F)</f>
        <v>#N/A</v>
      </c>
      <c r="G920" s="48" t="str">
        <f t="array" ref="G920">XLOOKUP($D920,REGOLITOS!$A:$A,REGOLITOS!G:G)</f>
        <v>#N/A</v>
      </c>
      <c r="H920" s="48" t="str">
        <f t="array" ref="H920">XLOOKUP($D920,REGOLITOS!$A:$A,REGOLITOS!H:H)</f>
        <v>#N/A</v>
      </c>
      <c r="I920" s="48" t="str">
        <f t="array" ref="I920">XLOOKUP($D920,REGOLITOS!$A:$A,REGOLITOS!I:I)</f>
        <v>#N/A</v>
      </c>
      <c r="J920" s="48" t="str">
        <f t="array" ref="J920">XLOOKUP($D920,REGOLITOS!$A:$A,REGOLITOS!J:J)</f>
        <v>#N/A</v>
      </c>
      <c r="K920" s="48" t="str">
        <f t="array" ref="K920">XLOOKUP($D920,REGOLITOS!$A:$A,REGOLITOS!K:K)</f>
        <v>#N/A</v>
      </c>
      <c r="L920" s="76"/>
      <c r="M920" s="5" t="s">
        <v>1080</v>
      </c>
      <c r="N920" s="5" t="s">
        <v>1080</v>
      </c>
      <c r="O920" s="5" t="s">
        <v>1080</v>
      </c>
      <c r="P920" s="5" t="s">
        <v>1080</v>
      </c>
      <c r="Q920" s="5" t="s">
        <v>1080</v>
      </c>
      <c r="X920" s="71">
        <f t="shared" si="5"/>
        <v>0</v>
      </c>
      <c r="Y920" s="5" t="b">
        <v>0</v>
      </c>
    </row>
    <row r="921">
      <c r="B921" s="5" t="str">
        <f t="array" ref="B921">XLOOKUP(A921, CURSOS!A:A, CURSOS!B:B)</f>
        <v>#N/A</v>
      </c>
      <c r="C921" s="75" t="str">
        <f t="array" ref="C921">XLOOKUP(A921, CURSOS!A:A, CURSOS!C:C)</f>
        <v>#N/A</v>
      </c>
      <c r="D921" s="70" t="e">
        <v>#N/A</v>
      </c>
      <c r="E921" s="48"/>
      <c r="F921" s="48" t="str">
        <f t="array" ref="F921">XLOOKUP($D921,REGOLITOS!$A:$A,REGOLITOS!F:F)</f>
        <v>#N/A</v>
      </c>
      <c r="G921" s="48" t="str">
        <f t="array" ref="G921">XLOOKUP($D921,REGOLITOS!$A:$A,REGOLITOS!G:G)</f>
        <v>#N/A</v>
      </c>
      <c r="H921" s="48" t="str">
        <f t="array" ref="H921">XLOOKUP($D921,REGOLITOS!$A:$A,REGOLITOS!H:H)</f>
        <v>#N/A</v>
      </c>
      <c r="I921" s="48" t="str">
        <f t="array" ref="I921">XLOOKUP($D921,REGOLITOS!$A:$A,REGOLITOS!I:I)</f>
        <v>#N/A</v>
      </c>
      <c r="J921" s="48" t="str">
        <f t="array" ref="J921">XLOOKUP($D921,REGOLITOS!$A:$A,REGOLITOS!J:J)</f>
        <v>#N/A</v>
      </c>
      <c r="K921" s="48" t="str">
        <f t="array" ref="K921">XLOOKUP($D921,REGOLITOS!$A:$A,REGOLITOS!K:K)</f>
        <v>#N/A</v>
      </c>
      <c r="L921" s="76"/>
      <c r="M921" s="5" t="s">
        <v>1080</v>
      </c>
      <c r="N921" s="5" t="s">
        <v>1080</v>
      </c>
      <c r="O921" s="5" t="s">
        <v>1080</v>
      </c>
      <c r="P921" s="5" t="s">
        <v>1080</v>
      </c>
      <c r="Q921" s="5" t="s">
        <v>1080</v>
      </c>
      <c r="X921" s="71">
        <f t="shared" si="5"/>
        <v>0</v>
      </c>
      <c r="Y921" s="5" t="b">
        <v>0</v>
      </c>
    </row>
    <row r="922">
      <c r="B922" s="5" t="str">
        <f t="array" ref="B922">XLOOKUP(A922, CURSOS!A:A, CURSOS!B:B)</f>
        <v>#N/A</v>
      </c>
      <c r="C922" s="75" t="str">
        <f t="array" ref="C922">XLOOKUP(A922, CURSOS!A:A, CURSOS!C:C)</f>
        <v>#N/A</v>
      </c>
      <c r="D922" s="70" t="e">
        <v>#N/A</v>
      </c>
      <c r="E922" s="48"/>
      <c r="F922" s="48" t="str">
        <f t="array" ref="F922">XLOOKUP($D922,REGOLITOS!$A:$A,REGOLITOS!F:F)</f>
        <v>#N/A</v>
      </c>
      <c r="G922" s="48" t="str">
        <f t="array" ref="G922">XLOOKUP($D922,REGOLITOS!$A:$A,REGOLITOS!G:G)</f>
        <v>#N/A</v>
      </c>
      <c r="H922" s="48" t="str">
        <f t="array" ref="H922">XLOOKUP($D922,REGOLITOS!$A:$A,REGOLITOS!H:H)</f>
        <v>#N/A</v>
      </c>
      <c r="I922" s="48" t="str">
        <f t="array" ref="I922">XLOOKUP($D922,REGOLITOS!$A:$A,REGOLITOS!I:I)</f>
        <v>#N/A</v>
      </c>
      <c r="J922" s="48" t="str">
        <f t="array" ref="J922">XLOOKUP($D922,REGOLITOS!$A:$A,REGOLITOS!J:J)</f>
        <v>#N/A</v>
      </c>
      <c r="K922" s="48" t="str">
        <f t="array" ref="K922">XLOOKUP($D922,REGOLITOS!$A:$A,REGOLITOS!K:K)</f>
        <v>#N/A</v>
      </c>
      <c r="L922" s="76"/>
      <c r="M922" s="5" t="s">
        <v>1080</v>
      </c>
      <c r="N922" s="5" t="s">
        <v>1080</v>
      </c>
      <c r="O922" s="5" t="s">
        <v>1080</v>
      </c>
      <c r="P922" s="5" t="s">
        <v>1080</v>
      </c>
      <c r="Q922" s="5" t="s">
        <v>1080</v>
      </c>
      <c r="X922" s="71">
        <f t="shared" si="5"/>
        <v>0</v>
      </c>
      <c r="Y922" s="5" t="b">
        <v>0</v>
      </c>
    </row>
    <row r="923">
      <c r="B923" s="5" t="str">
        <f t="array" ref="B923">XLOOKUP(A923, CURSOS!A:A, CURSOS!B:B)</f>
        <v>#N/A</v>
      </c>
      <c r="C923" s="75" t="str">
        <f t="array" ref="C923">XLOOKUP(A923, CURSOS!A:A, CURSOS!C:C)</f>
        <v>#N/A</v>
      </c>
      <c r="D923" s="70" t="e">
        <v>#N/A</v>
      </c>
      <c r="E923" s="48"/>
      <c r="F923" s="48" t="str">
        <f t="array" ref="F923">XLOOKUP($D923,REGOLITOS!$A:$A,REGOLITOS!F:F)</f>
        <v>#N/A</v>
      </c>
      <c r="G923" s="48" t="str">
        <f t="array" ref="G923">XLOOKUP($D923,REGOLITOS!$A:$A,REGOLITOS!G:G)</f>
        <v>#N/A</v>
      </c>
      <c r="H923" s="48" t="str">
        <f t="array" ref="H923">XLOOKUP($D923,REGOLITOS!$A:$A,REGOLITOS!H:H)</f>
        <v>#N/A</v>
      </c>
      <c r="I923" s="48" t="str">
        <f t="array" ref="I923">XLOOKUP($D923,REGOLITOS!$A:$A,REGOLITOS!I:I)</f>
        <v>#N/A</v>
      </c>
      <c r="J923" s="48" t="str">
        <f t="array" ref="J923">XLOOKUP($D923,REGOLITOS!$A:$A,REGOLITOS!J:J)</f>
        <v>#N/A</v>
      </c>
      <c r="K923" s="48" t="str">
        <f t="array" ref="K923">XLOOKUP($D923,REGOLITOS!$A:$A,REGOLITOS!K:K)</f>
        <v>#N/A</v>
      </c>
      <c r="L923" s="76"/>
      <c r="M923" s="5" t="s">
        <v>1080</v>
      </c>
      <c r="N923" s="5" t="s">
        <v>1080</v>
      </c>
      <c r="O923" s="5" t="s">
        <v>1080</v>
      </c>
      <c r="P923" s="5" t="s">
        <v>1080</v>
      </c>
      <c r="Q923" s="5" t="s">
        <v>1080</v>
      </c>
      <c r="X923" s="71">
        <f t="shared" si="5"/>
        <v>0</v>
      </c>
      <c r="Y923" s="5" t="b">
        <v>0</v>
      </c>
    </row>
    <row r="924">
      <c r="B924" s="5" t="str">
        <f t="array" ref="B924">XLOOKUP(A924, CURSOS!A:A, CURSOS!B:B)</f>
        <v>#N/A</v>
      </c>
      <c r="C924" s="75" t="str">
        <f t="array" ref="C924">XLOOKUP(A924, CURSOS!A:A, CURSOS!C:C)</f>
        <v>#N/A</v>
      </c>
      <c r="D924" s="70" t="e">
        <v>#N/A</v>
      </c>
      <c r="E924" s="48"/>
      <c r="F924" s="48" t="str">
        <f t="array" ref="F924">XLOOKUP($D924,REGOLITOS!$A:$A,REGOLITOS!F:F)</f>
        <v>#N/A</v>
      </c>
      <c r="G924" s="48" t="str">
        <f t="array" ref="G924">XLOOKUP($D924,REGOLITOS!$A:$A,REGOLITOS!G:G)</f>
        <v>#N/A</v>
      </c>
      <c r="H924" s="48" t="str">
        <f t="array" ref="H924">XLOOKUP($D924,REGOLITOS!$A:$A,REGOLITOS!H:H)</f>
        <v>#N/A</v>
      </c>
      <c r="I924" s="48" t="str">
        <f t="array" ref="I924">XLOOKUP($D924,REGOLITOS!$A:$A,REGOLITOS!I:I)</f>
        <v>#N/A</v>
      </c>
      <c r="J924" s="48" t="str">
        <f t="array" ref="J924">XLOOKUP($D924,REGOLITOS!$A:$A,REGOLITOS!J:J)</f>
        <v>#N/A</v>
      </c>
      <c r="K924" s="48" t="str">
        <f t="array" ref="K924">XLOOKUP($D924,REGOLITOS!$A:$A,REGOLITOS!K:K)</f>
        <v>#N/A</v>
      </c>
      <c r="L924" s="76"/>
      <c r="M924" s="5" t="s">
        <v>1080</v>
      </c>
      <c r="N924" s="5" t="s">
        <v>1080</v>
      </c>
      <c r="O924" s="5" t="s">
        <v>1080</v>
      </c>
      <c r="P924" s="5" t="s">
        <v>1080</v>
      </c>
      <c r="Q924" s="5" t="s">
        <v>1080</v>
      </c>
      <c r="X924" s="71">
        <f t="shared" si="5"/>
        <v>0</v>
      </c>
      <c r="Y924" s="5" t="b">
        <v>0</v>
      </c>
    </row>
    <row r="925">
      <c r="B925" s="5" t="str">
        <f t="array" ref="B925">XLOOKUP(A925, CURSOS!A:A, CURSOS!B:B)</f>
        <v>#N/A</v>
      </c>
      <c r="C925" s="75" t="str">
        <f t="array" ref="C925">XLOOKUP(A925, CURSOS!A:A, CURSOS!C:C)</f>
        <v>#N/A</v>
      </c>
      <c r="D925" s="70" t="e">
        <v>#N/A</v>
      </c>
      <c r="E925" s="48"/>
      <c r="F925" s="48" t="str">
        <f t="array" ref="F925">XLOOKUP($D925,REGOLITOS!$A:$A,REGOLITOS!F:F)</f>
        <v>#N/A</v>
      </c>
      <c r="G925" s="48" t="str">
        <f t="array" ref="G925">XLOOKUP($D925,REGOLITOS!$A:$A,REGOLITOS!G:G)</f>
        <v>#N/A</v>
      </c>
      <c r="H925" s="48" t="str">
        <f t="array" ref="H925">XLOOKUP($D925,REGOLITOS!$A:$A,REGOLITOS!H:H)</f>
        <v>#N/A</v>
      </c>
      <c r="I925" s="48" t="str">
        <f t="array" ref="I925">XLOOKUP($D925,REGOLITOS!$A:$A,REGOLITOS!I:I)</f>
        <v>#N/A</v>
      </c>
      <c r="J925" s="48" t="str">
        <f t="array" ref="J925">XLOOKUP($D925,REGOLITOS!$A:$A,REGOLITOS!J:J)</f>
        <v>#N/A</v>
      </c>
      <c r="K925" s="48" t="str">
        <f t="array" ref="K925">XLOOKUP($D925,REGOLITOS!$A:$A,REGOLITOS!K:K)</f>
        <v>#N/A</v>
      </c>
      <c r="L925" s="76"/>
      <c r="M925" s="5" t="s">
        <v>1080</v>
      </c>
      <c r="N925" s="5" t="s">
        <v>1080</v>
      </c>
      <c r="O925" s="5" t="s">
        <v>1080</v>
      </c>
      <c r="P925" s="5" t="s">
        <v>1080</v>
      </c>
      <c r="Q925" s="5" t="s">
        <v>1080</v>
      </c>
      <c r="X925" s="71">
        <f t="shared" si="5"/>
        <v>0</v>
      </c>
      <c r="Y925" s="5" t="b">
        <v>0</v>
      </c>
    </row>
    <row r="926">
      <c r="B926" s="5" t="str">
        <f t="array" ref="B926">XLOOKUP(A926, CURSOS!A:A, CURSOS!B:B)</f>
        <v>#N/A</v>
      </c>
      <c r="C926" s="75" t="str">
        <f t="array" ref="C926">XLOOKUP(A926, CURSOS!A:A, CURSOS!C:C)</f>
        <v>#N/A</v>
      </c>
      <c r="D926" s="70" t="e">
        <v>#N/A</v>
      </c>
      <c r="E926" s="48"/>
      <c r="F926" s="48" t="str">
        <f t="array" ref="F926">XLOOKUP($D926,REGOLITOS!$A:$A,REGOLITOS!F:F)</f>
        <v>#N/A</v>
      </c>
      <c r="G926" s="48" t="str">
        <f t="array" ref="G926">XLOOKUP($D926,REGOLITOS!$A:$A,REGOLITOS!G:G)</f>
        <v>#N/A</v>
      </c>
      <c r="H926" s="48" t="str">
        <f t="array" ref="H926">XLOOKUP($D926,REGOLITOS!$A:$A,REGOLITOS!H:H)</f>
        <v>#N/A</v>
      </c>
      <c r="I926" s="48" t="str">
        <f t="array" ref="I926">XLOOKUP($D926,REGOLITOS!$A:$A,REGOLITOS!I:I)</f>
        <v>#N/A</v>
      </c>
      <c r="J926" s="48" t="str">
        <f t="array" ref="J926">XLOOKUP($D926,REGOLITOS!$A:$A,REGOLITOS!J:J)</f>
        <v>#N/A</v>
      </c>
      <c r="K926" s="48" t="str">
        <f t="array" ref="K926">XLOOKUP($D926,REGOLITOS!$A:$A,REGOLITOS!K:K)</f>
        <v>#N/A</v>
      </c>
      <c r="L926" s="76"/>
      <c r="M926" s="5" t="s">
        <v>1080</v>
      </c>
      <c r="N926" s="5" t="s">
        <v>1080</v>
      </c>
      <c r="O926" s="5" t="s">
        <v>1080</v>
      </c>
      <c r="P926" s="5" t="s">
        <v>1080</v>
      </c>
      <c r="Q926" s="5" t="s">
        <v>1080</v>
      </c>
      <c r="X926" s="71">
        <f t="shared" si="5"/>
        <v>0</v>
      </c>
      <c r="Y926" s="5" t="b">
        <v>0</v>
      </c>
    </row>
    <row r="927">
      <c r="B927" s="5" t="str">
        <f t="array" ref="B927">XLOOKUP(A927, CURSOS!A:A, CURSOS!B:B)</f>
        <v>#N/A</v>
      </c>
      <c r="C927" s="75" t="str">
        <f t="array" ref="C927">XLOOKUP(A927, CURSOS!A:A, CURSOS!C:C)</f>
        <v>#N/A</v>
      </c>
      <c r="D927" s="70" t="e">
        <v>#N/A</v>
      </c>
      <c r="E927" s="48"/>
      <c r="F927" s="48" t="str">
        <f t="array" ref="F927">XLOOKUP($D927,REGOLITOS!$A:$A,REGOLITOS!F:F)</f>
        <v>#N/A</v>
      </c>
      <c r="G927" s="48" t="str">
        <f t="array" ref="G927">XLOOKUP($D927,REGOLITOS!$A:$A,REGOLITOS!G:G)</f>
        <v>#N/A</v>
      </c>
      <c r="H927" s="48" t="str">
        <f t="array" ref="H927">XLOOKUP($D927,REGOLITOS!$A:$A,REGOLITOS!H:H)</f>
        <v>#N/A</v>
      </c>
      <c r="I927" s="48" t="str">
        <f t="array" ref="I927">XLOOKUP($D927,REGOLITOS!$A:$A,REGOLITOS!I:I)</f>
        <v>#N/A</v>
      </c>
      <c r="J927" s="48" t="str">
        <f t="array" ref="J927">XLOOKUP($D927,REGOLITOS!$A:$A,REGOLITOS!J:J)</f>
        <v>#N/A</v>
      </c>
      <c r="K927" s="48" t="str">
        <f t="array" ref="K927">XLOOKUP($D927,REGOLITOS!$A:$A,REGOLITOS!K:K)</f>
        <v>#N/A</v>
      </c>
      <c r="L927" s="76"/>
      <c r="M927" s="5" t="s">
        <v>1080</v>
      </c>
      <c r="N927" s="5" t="s">
        <v>1080</v>
      </c>
      <c r="O927" s="5" t="s">
        <v>1080</v>
      </c>
      <c r="P927" s="5" t="s">
        <v>1080</v>
      </c>
      <c r="Q927" s="5" t="s">
        <v>1080</v>
      </c>
      <c r="X927" s="71">
        <f t="shared" si="5"/>
        <v>0</v>
      </c>
      <c r="Y927" s="5" t="b">
        <v>0</v>
      </c>
    </row>
    <row r="928">
      <c r="B928" s="5" t="str">
        <f t="array" ref="B928">XLOOKUP(A928, CURSOS!A:A, CURSOS!B:B)</f>
        <v>#N/A</v>
      </c>
      <c r="C928" s="75" t="str">
        <f t="array" ref="C928">XLOOKUP(A928, CURSOS!A:A, CURSOS!C:C)</f>
        <v>#N/A</v>
      </c>
      <c r="D928" s="70" t="e">
        <v>#N/A</v>
      </c>
      <c r="E928" s="48"/>
      <c r="F928" s="48" t="str">
        <f t="array" ref="F928">XLOOKUP($D928,REGOLITOS!$A:$A,REGOLITOS!F:F)</f>
        <v>#N/A</v>
      </c>
      <c r="G928" s="48" t="str">
        <f t="array" ref="G928">XLOOKUP($D928,REGOLITOS!$A:$A,REGOLITOS!G:G)</f>
        <v>#N/A</v>
      </c>
      <c r="H928" s="48" t="str">
        <f t="array" ref="H928">XLOOKUP($D928,REGOLITOS!$A:$A,REGOLITOS!H:H)</f>
        <v>#N/A</v>
      </c>
      <c r="I928" s="48" t="str">
        <f t="array" ref="I928">XLOOKUP($D928,REGOLITOS!$A:$A,REGOLITOS!I:I)</f>
        <v>#N/A</v>
      </c>
      <c r="J928" s="48" t="str">
        <f t="array" ref="J928">XLOOKUP($D928,REGOLITOS!$A:$A,REGOLITOS!J:J)</f>
        <v>#N/A</v>
      </c>
      <c r="K928" s="48" t="str">
        <f t="array" ref="K928">XLOOKUP($D928,REGOLITOS!$A:$A,REGOLITOS!K:K)</f>
        <v>#N/A</v>
      </c>
      <c r="L928" s="76"/>
      <c r="M928" s="5" t="s">
        <v>1080</v>
      </c>
      <c r="N928" s="5" t="s">
        <v>1080</v>
      </c>
      <c r="O928" s="5" t="s">
        <v>1080</v>
      </c>
      <c r="P928" s="5" t="s">
        <v>1080</v>
      </c>
      <c r="Q928" s="5" t="s">
        <v>1080</v>
      </c>
      <c r="X928" s="71">
        <f t="shared" si="5"/>
        <v>0</v>
      </c>
      <c r="Y928" s="5" t="b">
        <v>0</v>
      </c>
    </row>
    <row r="929">
      <c r="B929" s="5" t="str">
        <f t="array" ref="B929">XLOOKUP(A929, CURSOS!A:A, CURSOS!B:B)</f>
        <v>#N/A</v>
      </c>
      <c r="C929" s="75" t="str">
        <f t="array" ref="C929">XLOOKUP(A929, CURSOS!A:A, CURSOS!C:C)</f>
        <v>#N/A</v>
      </c>
      <c r="D929" s="70" t="e">
        <v>#N/A</v>
      </c>
      <c r="E929" s="48"/>
      <c r="F929" s="48" t="str">
        <f t="array" ref="F929">XLOOKUP($D929,REGOLITOS!$A:$A,REGOLITOS!F:F)</f>
        <v>#N/A</v>
      </c>
      <c r="G929" s="48" t="str">
        <f t="array" ref="G929">XLOOKUP($D929,REGOLITOS!$A:$A,REGOLITOS!G:G)</f>
        <v>#N/A</v>
      </c>
      <c r="H929" s="48" t="str">
        <f t="array" ref="H929">XLOOKUP($D929,REGOLITOS!$A:$A,REGOLITOS!H:H)</f>
        <v>#N/A</v>
      </c>
      <c r="I929" s="48" t="str">
        <f t="array" ref="I929">XLOOKUP($D929,REGOLITOS!$A:$A,REGOLITOS!I:I)</f>
        <v>#N/A</v>
      </c>
      <c r="J929" s="48" t="str">
        <f t="array" ref="J929">XLOOKUP($D929,REGOLITOS!$A:$A,REGOLITOS!J:J)</f>
        <v>#N/A</v>
      </c>
      <c r="K929" s="48" t="str">
        <f t="array" ref="K929">XLOOKUP($D929,REGOLITOS!$A:$A,REGOLITOS!K:K)</f>
        <v>#N/A</v>
      </c>
      <c r="L929" s="76"/>
      <c r="M929" s="5" t="s">
        <v>1080</v>
      </c>
      <c r="N929" s="5" t="s">
        <v>1080</v>
      </c>
      <c r="O929" s="5" t="s">
        <v>1080</v>
      </c>
      <c r="P929" s="5" t="s">
        <v>1080</v>
      </c>
      <c r="Q929" s="5" t="s">
        <v>1080</v>
      </c>
      <c r="X929" s="71">
        <f t="shared" si="5"/>
        <v>0</v>
      </c>
      <c r="Y929" s="5" t="b">
        <v>0</v>
      </c>
    </row>
    <row r="930">
      <c r="B930" s="5" t="str">
        <f t="array" ref="B930">XLOOKUP(A930, CURSOS!A:A, CURSOS!B:B)</f>
        <v>#N/A</v>
      </c>
      <c r="C930" s="75" t="str">
        <f t="array" ref="C930">XLOOKUP(A930, CURSOS!A:A, CURSOS!C:C)</f>
        <v>#N/A</v>
      </c>
      <c r="D930" s="70" t="e">
        <v>#N/A</v>
      </c>
      <c r="E930" s="48"/>
      <c r="F930" s="48" t="str">
        <f t="array" ref="F930">XLOOKUP($D930,REGOLITOS!$A:$A,REGOLITOS!F:F)</f>
        <v>#N/A</v>
      </c>
      <c r="G930" s="48" t="str">
        <f t="array" ref="G930">XLOOKUP($D930,REGOLITOS!$A:$A,REGOLITOS!G:G)</f>
        <v>#N/A</v>
      </c>
      <c r="H930" s="48" t="str">
        <f t="array" ref="H930">XLOOKUP($D930,REGOLITOS!$A:$A,REGOLITOS!H:H)</f>
        <v>#N/A</v>
      </c>
      <c r="I930" s="48" t="str">
        <f t="array" ref="I930">XLOOKUP($D930,REGOLITOS!$A:$A,REGOLITOS!I:I)</f>
        <v>#N/A</v>
      </c>
      <c r="J930" s="48" t="str">
        <f t="array" ref="J930">XLOOKUP($D930,REGOLITOS!$A:$A,REGOLITOS!J:J)</f>
        <v>#N/A</v>
      </c>
      <c r="K930" s="48" t="str">
        <f t="array" ref="K930">XLOOKUP($D930,REGOLITOS!$A:$A,REGOLITOS!K:K)</f>
        <v>#N/A</v>
      </c>
      <c r="L930" s="76"/>
      <c r="M930" s="5" t="s">
        <v>1080</v>
      </c>
      <c r="N930" s="5" t="s">
        <v>1080</v>
      </c>
      <c r="O930" s="5" t="s">
        <v>1080</v>
      </c>
      <c r="P930" s="5" t="s">
        <v>1080</v>
      </c>
      <c r="Q930" s="5" t="s">
        <v>1080</v>
      </c>
      <c r="X930" s="71">
        <f t="shared" si="5"/>
        <v>0</v>
      </c>
      <c r="Y930" s="5" t="b">
        <v>0</v>
      </c>
    </row>
    <row r="931">
      <c r="B931" s="5" t="str">
        <f t="array" ref="B931">XLOOKUP(A931, CURSOS!A:A, CURSOS!B:B)</f>
        <v>#N/A</v>
      </c>
      <c r="C931" s="75" t="str">
        <f t="array" ref="C931">XLOOKUP(A931, CURSOS!A:A, CURSOS!C:C)</f>
        <v>#N/A</v>
      </c>
      <c r="D931" s="70" t="e">
        <v>#N/A</v>
      </c>
      <c r="E931" s="48"/>
      <c r="F931" s="48" t="str">
        <f t="array" ref="F931">XLOOKUP($D931,REGOLITOS!$A:$A,REGOLITOS!F:F)</f>
        <v>#N/A</v>
      </c>
      <c r="G931" s="48" t="str">
        <f t="array" ref="G931">XLOOKUP($D931,REGOLITOS!$A:$A,REGOLITOS!G:G)</f>
        <v>#N/A</v>
      </c>
      <c r="H931" s="48" t="str">
        <f t="array" ref="H931">XLOOKUP($D931,REGOLITOS!$A:$A,REGOLITOS!H:H)</f>
        <v>#N/A</v>
      </c>
      <c r="I931" s="48" t="str">
        <f t="array" ref="I931">XLOOKUP($D931,REGOLITOS!$A:$A,REGOLITOS!I:I)</f>
        <v>#N/A</v>
      </c>
      <c r="J931" s="48" t="str">
        <f t="array" ref="J931">XLOOKUP($D931,REGOLITOS!$A:$A,REGOLITOS!J:J)</f>
        <v>#N/A</v>
      </c>
      <c r="K931" s="48" t="str">
        <f t="array" ref="K931">XLOOKUP($D931,REGOLITOS!$A:$A,REGOLITOS!K:K)</f>
        <v>#N/A</v>
      </c>
      <c r="L931" s="76"/>
      <c r="M931" s="5" t="s">
        <v>1080</v>
      </c>
      <c r="N931" s="5" t="s">
        <v>1080</v>
      </c>
      <c r="O931" s="5" t="s">
        <v>1080</v>
      </c>
      <c r="P931" s="5" t="s">
        <v>1080</v>
      </c>
      <c r="Q931" s="5" t="s">
        <v>1080</v>
      </c>
      <c r="X931" s="71">
        <f t="shared" si="5"/>
        <v>0</v>
      </c>
      <c r="Y931" s="5" t="b">
        <v>0</v>
      </c>
    </row>
    <row r="932">
      <c r="B932" s="5" t="str">
        <f t="array" ref="B932">XLOOKUP(A932, CURSOS!A:A, CURSOS!B:B)</f>
        <v>#N/A</v>
      </c>
      <c r="C932" s="75" t="str">
        <f t="array" ref="C932">XLOOKUP(A932, CURSOS!A:A, CURSOS!C:C)</f>
        <v>#N/A</v>
      </c>
      <c r="D932" s="70" t="e">
        <v>#N/A</v>
      </c>
      <c r="E932" s="48"/>
      <c r="F932" s="48" t="str">
        <f t="array" ref="F932">XLOOKUP($D932,REGOLITOS!$A:$A,REGOLITOS!F:F)</f>
        <v>#N/A</v>
      </c>
      <c r="G932" s="48" t="str">
        <f t="array" ref="G932">XLOOKUP($D932,REGOLITOS!$A:$A,REGOLITOS!G:G)</f>
        <v>#N/A</v>
      </c>
      <c r="H932" s="48" t="str">
        <f t="array" ref="H932">XLOOKUP($D932,REGOLITOS!$A:$A,REGOLITOS!H:H)</f>
        <v>#N/A</v>
      </c>
      <c r="I932" s="48" t="str">
        <f t="array" ref="I932">XLOOKUP($D932,REGOLITOS!$A:$A,REGOLITOS!I:I)</f>
        <v>#N/A</v>
      </c>
      <c r="J932" s="48" t="str">
        <f t="array" ref="J932">XLOOKUP($D932,REGOLITOS!$A:$A,REGOLITOS!J:J)</f>
        <v>#N/A</v>
      </c>
      <c r="K932" s="48" t="str">
        <f t="array" ref="K932">XLOOKUP($D932,REGOLITOS!$A:$A,REGOLITOS!K:K)</f>
        <v>#N/A</v>
      </c>
      <c r="L932" s="76"/>
      <c r="M932" s="5" t="s">
        <v>1080</v>
      </c>
      <c r="N932" s="5" t="s">
        <v>1080</v>
      </c>
      <c r="O932" s="5" t="s">
        <v>1080</v>
      </c>
      <c r="P932" s="5" t="s">
        <v>1080</v>
      </c>
      <c r="Q932" s="5" t="s">
        <v>1080</v>
      </c>
      <c r="X932" s="71">
        <f t="shared" si="5"/>
        <v>0</v>
      </c>
      <c r="Y932" s="5" t="b">
        <v>0</v>
      </c>
    </row>
    <row r="933">
      <c r="B933" s="5" t="str">
        <f t="array" ref="B933">XLOOKUP(A933, CURSOS!A:A, CURSOS!B:B)</f>
        <v>#N/A</v>
      </c>
      <c r="C933" s="75" t="str">
        <f t="array" ref="C933">XLOOKUP(A933, CURSOS!A:A, CURSOS!C:C)</f>
        <v>#N/A</v>
      </c>
      <c r="D933" s="70" t="e">
        <v>#N/A</v>
      </c>
      <c r="E933" s="48"/>
      <c r="F933" s="48" t="str">
        <f t="array" ref="F933">XLOOKUP($D933,REGOLITOS!$A:$A,REGOLITOS!F:F)</f>
        <v>#N/A</v>
      </c>
      <c r="G933" s="48" t="str">
        <f t="array" ref="G933">XLOOKUP($D933,REGOLITOS!$A:$A,REGOLITOS!G:G)</f>
        <v>#N/A</v>
      </c>
      <c r="H933" s="48" t="str">
        <f t="array" ref="H933">XLOOKUP($D933,REGOLITOS!$A:$A,REGOLITOS!H:H)</f>
        <v>#N/A</v>
      </c>
      <c r="I933" s="48" t="str">
        <f t="array" ref="I933">XLOOKUP($D933,REGOLITOS!$A:$A,REGOLITOS!I:I)</f>
        <v>#N/A</v>
      </c>
      <c r="J933" s="48" t="str">
        <f t="array" ref="J933">XLOOKUP($D933,REGOLITOS!$A:$A,REGOLITOS!J:J)</f>
        <v>#N/A</v>
      </c>
      <c r="K933" s="48" t="str">
        <f t="array" ref="K933">XLOOKUP($D933,REGOLITOS!$A:$A,REGOLITOS!K:K)</f>
        <v>#N/A</v>
      </c>
      <c r="L933" s="76"/>
      <c r="M933" s="5" t="s">
        <v>1080</v>
      </c>
      <c r="N933" s="5" t="s">
        <v>1080</v>
      </c>
      <c r="O933" s="5" t="s">
        <v>1080</v>
      </c>
      <c r="P933" s="5" t="s">
        <v>1080</v>
      </c>
      <c r="Q933" s="5" t="s">
        <v>1080</v>
      </c>
      <c r="X933" s="71">
        <f t="shared" si="5"/>
        <v>0</v>
      </c>
      <c r="Y933" s="5" t="b">
        <v>0</v>
      </c>
    </row>
    <row r="934">
      <c r="B934" s="5" t="str">
        <f t="array" ref="B934">XLOOKUP(A934, CURSOS!A:A, CURSOS!B:B)</f>
        <v>#N/A</v>
      </c>
      <c r="C934" s="75" t="str">
        <f t="array" ref="C934">XLOOKUP(A934, CURSOS!A:A, CURSOS!C:C)</f>
        <v>#N/A</v>
      </c>
      <c r="D934" s="70" t="e">
        <v>#N/A</v>
      </c>
      <c r="E934" s="48"/>
      <c r="F934" s="48" t="str">
        <f t="array" ref="F934">XLOOKUP($D934,REGOLITOS!$A:$A,REGOLITOS!F:F)</f>
        <v>#N/A</v>
      </c>
      <c r="G934" s="48" t="str">
        <f t="array" ref="G934">XLOOKUP($D934,REGOLITOS!$A:$A,REGOLITOS!G:G)</f>
        <v>#N/A</v>
      </c>
      <c r="H934" s="48" t="str">
        <f t="array" ref="H934">XLOOKUP($D934,REGOLITOS!$A:$A,REGOLITOS!H:H)</f>
        <v>#N/A</v>
      </c>
      <c r="I934" s="48" t="str">
        <f t="array" ref="I934">XLOOKUP($D934,REGOLITOS!$A:$A,REGOLITOS!I:I)</f>
        <v>#N/A</v>
      </c>
      <c r="J934" s="48" t="str">
        <f t="array" ref="J934">XLOOKUP($D934,REGOLITOS!$A:$A,REGOLITOS!J:J)</f>
        <v>#N/A</v>
      </c>
      <c r="K934" s="48" t="str">
        <f t="array" ref="K934">XLOOKUP($D934,REGOLITOS!$A:$A,REGOLITOS!K:K)</f>
        <v>#N/A</v>
      </c>
      <c r="L934" s="76"/>
      <c r="M934" s="5" t="s">
        <v>1080</v>
      </c>
      <c r="N934" s="5" t="s">
        <v>1080</v>
      </c>
      <c r="O934" s="5" t="s">
        <v>1080</v>
      </c>
      <c r="P934" s="5" t="s">
        <v>1080</v>
      </c>
      <c r="Q934" s="5" t="s">
        <v>1080</v>
      </c>
      <c r="X934" s="71">
        <f t="shared" si="5"/>
        <v>0</v>
      </c>
      <c r="Y934" s="5" t="b">
        <v>0</v>
      </c>
    </row>
    <row r="935">
      <c r="B935" s="5" t="str">
        <f t="array" ref="B935">XLOOKUP(A935, CURSOS!A:A, CURSOS!B:B)</f>
        <v>#N/A</v>
      </c>
      <c r="C935" s="75" t="str">
        <f t="array" ref="C935">XLOOKUP(A935, CURSOS!A:A, CURSOS!C:C)</f>
        <v>#N/A</v>
      </c>
      <c r="D935" s="70" t="e">
        <v>#N/A</v>
      </c>
      <c r="E935" s="48"/>
      <c r="F935" s="48" t="str">
        <f t="array" ref="F935">XLOOKUP($D935,REGOLITOS!$A:$A,REGOLITOS!F:F)</f>
        <v>#N/A</v>
      </c>
      <c r="G935" s="48" t="str">
        <f t="array" ref="G935">XLOOKUP($D935,REGOLITOS!$A:$A,REGOLITOS!G:G)</f>
        <v>#N/A</v>
      </c>
      <c r="H935" s="48" t="str">
        <f t="array" ref="H935">XLOOKUP($D935,REGOLITOS!$A:$A,REGOLITOS!H:H)</f>
        <v>#N/A</v>
      </c>
      <c r="I935" s="48" t="str">
        <f t="array" ref="I935">XLOOKUP($D935,REGOLITOS!$A:$A,REGOLITOS!I:I)</f>
        <v>#N/A</v>
      </c>
      <c r="J935" s="48" t="str">
        <f t="array" ref="J935">XLOOKUP($D935,REGOLITOS!$A:$A,REGOLITOS!J:J)</f>
        <v>#N/A</v>
      </c>
      <c r="K935" s="48" t="str">
        <f t="array" ref="K935">XLOOKUP($D935,REGOLITOS!$A:$A,REGOLITOS!K:K)</f>
        <v>#N/A</v>
      </c>
      <c r="L935" s="76"/>
      <c r="M935" s="5" t="s">
        <v>1080</v>
      </c>
      <c r="N935" s="5" t="s">
        <v>1080</v>
      </c>
      <c r="O935" s="5" t="s">
        <v>1080</v>
      </c>
      <c r="P935" s="5" t="s">
        <v>1080</v>
      </c>
      <c r="Q935" s="5" t="s">
        <v>1080</v>
      </c>
      <c r="X935" s="71">
        <f t="shared" si="5"/>
        <v>0</v>
      </c>
      <c r="Y935" s="5" t="b">
        <v>0</v>
      </c>
    </row>
    <row r="936">
      <c r="B936" s="5" t="str">
        <f t="array" ref="B936">XLOOKUP(A936, CURSOS!A:A, CURSOS!B:B)</f>
        <v>#N/A</v>
      </c>
      <c r="C936" s="75" t="str">
        <f t="array" ref="C936">XLOOKUP(A936, CURSOS!A:A, CURSOS!C:C)</f>
        <v>#N/A</v>
      </c>
      <c r="D936" s="70" t="e">
        <v>#N/A</v>
      </c>
      <c r="E936" s="48"/>
      <c r="F936" s="48" t="str">
        <f t="array" ref="F936">XLOOKUP($D936,REGOLITOS!$A:$A,REGOLITOS!F:F)</f>
        <v>#N/A</v>
      </c>
      <c r="G936" s="48" t="str">
        <f t="array" ref="G936">XLOOKUP($D936,REGOLITOS!$A:$A,REGOLITOS!G:G)</f>
        <v>#N/A</v>
      </c>
      <c r="H936" s="48" t="str">
        <f t="array" ref="H936">XLOOKUP($D936,REGOLITOS!$A:$A,REGOLITOS!H:H)</f>
        <v>#N/A</v>
      </c>
      <c r="I936" s="48" t="str">
        <f t="array" ref="I936">XLOOKUP($D936,REGOLITOS!$A:$A,REGOLITOS!I:I)</f>
        <v>#N/A</v>
      </c>
      <c r="J936" s="48" t="str">
        <f t="array" ref="J936">XLOOKUP($D936,REGOLITOS!$A:$A,REGOLITOS!J:J)</f>
        <v>#N/A</v>
      </c>
      <c r="K936" s="48" t="str">
        <f t="array" ref="K936">XLOOKUP($D936,REGOLITOS!$A:$A,REGOLITOS!K:K)</f>
        <v>#N/A</v>
      </c>
      <c r="L936" s="76"/>
      <c r="M936" s="5" t="s">
        <v>1080</v>
      </c>
      <c r="N936" s="5" t="s">
        <v>1080</v>
      </c>
      <c r="O936" s="5" t="s">
        <v>1080</v>
      </c>
      <c r="P936" s="5" t="s">
        <v>1080</v>
      </c>
      <c r="Q936" s="5" t="s">
        <v>1080</v>
      </c>
      <c r="X936" s="71">
        <f t="shared" si="5"/>
        <v>0</v>
      </c>
      <c r="Y936" s="5" t="b">
        <v>0</v>
      </c>
    </row>
    <row r="937">
      <c r="B937" s="5" t="str">
        <f t="array" ref="B937">XLOOKUP(A937, CURSOS!A:A, CURSOS!B:B)</f>
        <v>#N/A</v>
      </c>
      <c r="C937" s="75" t="str">
        <f t="array" ref="C937">XLOOKUP(A937, CURSOS!A:A, CURSOS!C:C)</f>
        <v>#N/A</v>
      </c>
      <c r="D937" s="70" t="e">
        <v>#N/A</v>
      </c>
      <c r="E937" s="48"/>
      <c r="F937" s="48" t="str">
        <f t="array" ref="F937">XLOOKUP($D937,REGOLITOS!$A:$A,REGOLITOS!F:F)</f>
        <v>#N/A</v>
      </c>
      <c r="G937" s="48" t="str">
        <f t="array" ref="G937">XLOOKUP($D937,REGOLITOS!$A:$A,REGOLITOS!G:G)</f>
        <v>#N/A</v>
      </c>
      <c r="H937" s="48" t="str">
        <f t="array" ref="H937">XLOOKUP($D937,REGOLITOS!$A:$A,REGOLITOS!H:H)</f>
        <v>#N/A</v>
      </c>
      <c r="I937" s="48" t="str">
        <f t="array" ref="I937">XLOOKUP($D937,REGOLITOS!$A:$A,REGOLITOS!I:I)</f>
        <v>#N/A</v>
      </c>
      <c r="J937" s="48" t="str">
        <f t="array" ref="J937">XLOOKUP($D937,REGOLITOS!$A:$A,REGOLITOS!J:J)</f>
        <v>#N/A</v>
      </c>
      <c r="K937" s="48" t="str">
        <f t="array" ref="K937">XLOOKUP($D937,REGOLITOS!$A:$A,REGOLITOS!K:K)</f>
        <v>#N/A</v>
      </c>
      <c r="L937" s="76"/>
      <c r="M937" s="5" t="s">
        <v>1080</v>
      </c>
      <c r="N937" s="5" t="s">
        <v>1080</v>
      </c>
      <c r="O937" s="5" t="s">
        <v>1080</v>
      </c>
      <c r="P937" s="5" t="s">
        <v>1080</v>
      </c>
      <c r="Q937" s="5" t="s">
        <v>1080</v>
      </c>
      <c r="X937" s="71">
        <f t="shared" si="5"/>
        <v>0</v>
      </c>
      <c r="Y937" s="5" t="b">
        <v>0</v>
      </c>
    </row>
    <row r="938">
      <c r="B938" s="5" t="str">
        <f t="array" ref="B938">XLOOKUP(A938, CURSOS!A:A, CURSOS!B:B)</f>
        <v>#N/A</v>
      </c>
      <c r="C938" s="75" t="str">
        <f t="array" ref="C938">XLOOKUP(A938, CURSOS!A:A, CURSOS!C:C)</f>
        <v>#N/A</v>
      </c>
      <c r="D938" s="70" t="e">
        <v>#N/A</v>
      </c>
      <c r="E938" s="48"/>
      <c r="F938" s="48" t="str">
        <f t="array" ref="F938">XLOOKUP($D938,REGOLITOS!$A:$A,REGOLITOS!F:F)</f>
        <v>#N/A</v>
      </c>
      <c r="G938" s="48" t="str">
        <f t="array" ref="G938">XLOOKUP($D938,REGOLITOS!$A:$A,REGOLITOS!G:G)</f>
        <v>#N/A</v>
      </c>
      <c r="H938" s="48" t="str">
        <f t="array" ref="H938">XLOOKUP($D938,REGOLITOS!$A:$A,REGOLITOS!H:H)</f>
        <v>#N/A</v>
      </c>
      <c r="I938" s="48" t="str">
        <f t="array" ref="I938">XLOOKUP($D938,REGOLITOS!$A:$A,REGOLITOS!I:I)</f>
        <v>#N/A</v>
      </c>
      <c r="J938" s="48" t="str">
        <f t="array" ref="J938">XLOOKUP($D938,REGOLITOS!$A:$A,REGOLITOS!J:J)</f>
        <v>#N/A</v>
      </c>
      <c r="K938" s="48" t="str">
        <f t="array" ref="K938">XLOOKUP($D938,REGOLITOS!$A:$A,REGOLITOS!K:K)</f>
        <v>#N/A</v>
      </c>
      <c r="L938" s="76"/>
      <c r="M938" s="5" t="s">
        <v>1080</v>
      </c>
      <c r="N938" s="5" t="s">
        <v>1080</v>
      </c>
      <c r="O938" s="5" t="s">
        <v>1080</v>
      </c>
      <c r="P938" s="5" t="s">
        <v>1080</v>
      </c>
      <c r="Q938" s="5" t="s">
        <v>1080</v>
      </c>
      <c r="X938" s="71">
        <f t="shared" si="5"/>
        <v>0</v>
      </c>
      <c r="Y938" s="5" t="b">
        <v>0</v>
      </c>
    </row>
    <row r="939">
      <c r="B939" s="5" t="str">
        <f t="array" ref="B939">XLOOKUP(A939, CURSOS!A:A, CURSOS!B:B)</f>
        <v>#N/A</v>
      </c>
      <c r="C939" s="75" t="str">
        <f t="array" ref="C939">XLOOKUP(A939, CURSOS!A:A, CURSOS!C:C)</f>
        <v>#N/A</v>
      </c>
      <c r="D939" s="70" t="e">
        <v>#N/A</v>
      </c>
      <c r="E939" s="48"/>
      <c r="F939" s="48" t="str">
        <f t="array" ref="F939">XLOOKUP($D939,REGOLITOS!$A:$A,REGOLITOS!F:F)</f>
        <v>#N/A</v>
      </c>
      <c r="G939" s="48" t="str">
        <f t="array" ref="G939">XLOOKUP($D939,REGOLITOS!$A:$A,REGOLITOS!G:G)</f>
        <v>#N/A</v>
      </c>
      <c r="H939" s="48" t="str">
        <f t="array" ref="H939">XLOOKUP($D939,REGOLITOS!$A:$A,REGOLITOS!H:H)</f>
        <v>#N/A</v>
      </c>
      <c r="I939" s="48" t="str">
        <f t="array" ref="I939">XLOOKUP($D939,REGOLITOS!$A:$A,REGOLITOS!I:I)</f>
        <v>#N/A</v>
      </c>
      <c r="J939" s="48" t="str">
        <f t="array" ref="J939">XLOOKUP($D939,REGOLITOS!$A:$A,REGOLITOS!J:J)</f>
        <v>#N/A</v>
      </c>
      <c r="K939" s="48" t="str">
        <f t="array" ref="K939">XLOOKUP($D939,REGOLITOS!$A:$A,REGOLITOS!K:K)</f>
        <v>#N/A</v>
      </c>
      <c r="L939" s="76"/>
      <c r="M939" s="5" t="s">
        <v>1080</v>
      </c>
      <c r="N939" s="5" t="s">
        <v>1080</v>
      </c>
      <c r="O939" s="5" t="s">
        <v>1080</v>
      </c>
      <c r="P939" s="5" t="s">
        <v>1080</v>
      </c>
      <c r="Q939" s="5" t="s">
        <v>1080</v>
      </c>
      <c r="X939" s="71">
        <f t="shared" si="5"/>
        <v>0</v>
      </c>
      <c r="Y939" s="5" t="b">
        <v>0</v>
      </c>
    </row>
    <row r="940">
      <c r="B940" s="5" t="str">
        <f t="array" ref="B940">XLOOKUP(A940, CURSOS!A:A, CURSOS!B:B)</f>
        <v>#N/A</v>
      </c>
      <c r="C940" s="75" t="str">
        <f t="array" ref="C940">XLOOKUP(A940, CURSOS!A:A, CURSOS!C:C)</f>
        <v>#N/A</v>
      </c>
      <c r="D940" s="70" t="e">
        <v>#N/A</v>
      </c>
      <c r="E940" s="48"/>
      <c r="F940" s="48" t="str">
        <f t="array" ref="F940">XLOOKUP($D940,REGOLITOS!$A:$A,REGOLITOS!F:F)</f>
        <v>#N/A</v>
      </c>
      <c r="G940" s="48" t="str">
        <f t="array" ref="G940">XLOOKUP($D940,REGOLITOS!$A:$A,REGOLITOS!G:G)</f>
        <v>#N/A</v>
      </c>
      <c r="H940" s="48" t="str">
        <f t="array" ref="H940">XLOOKUP($D940,REGOLITOS!$A:$A,REGOLITOS!H:H)</f>
        <v>#N/A</v>
      </c>
      <c r="I940" s="48" t="str">
        <f t="array" ref="I940">XLOOKUP($D940,REGOLITOS!$A:$A,REGOLITOS!I:I)</f>
        <v>#N/A</v>
      </c>
      <c r="J940" s="48" t="str">
        <f t="array" ref="J940">XLOOKUP($D940,REGOLITOS!$A:$A,REGOLITOS!J:J)</f>
        <v>#N/A</v>
      </c>
      <c r="K940" s="48" t="str">
        <f t="array" ref="K940">XLOOKUP($D940,REGOLITOS!$A:$A,REGOLITOS!K:K)</f>
        <v>#N/A</v>
      </c>
      <c r="L940" s="76"/>
      <c r="M940" s="5" t="s">
        <v>1080</v>
      </c>
      <c r="N940" s="5" t="s">
        <v>1080</v>
      </c>
      <c r="O940" s="5" t="s">
        <v>1080</v>
      </c>
      <c r="P940" s="5" t="s">
        <v>1080</v>
      </c>
      <c r="Q940" s="5" t="s">
        <v>1080</v>
      </c>
      <c r="X940" s="71">
        <f t="shared" si="5"/>
        <v>0</v>
      </c>
      <c r="Y940" s="5" t="b">
        <v>0</v>
      </c>
    </row>
    <row r="941">
      <c r="B941" s="5" t="str">
        <f t="array" ref="B941">XLOOKUP(A941, CURSOS!A:A, CURSOS!B:B)</f>
        <v>#N/A</v>
      </c>
      <c r="C941" s="75" t="str">
        <f t="array" ref="C941">XLOOKUP(A941, CURSOS!A:A, CURSOS!C:C)</f>
        <v>#N/A</v>
      </c>
      <c r="D941" s="70" t="e">
        <v>#N/A</v>
      </c>
      <c r="E941" s="48"/>
      <c r="F941" s="48" t="str">
        <f t="array" ref="F941">XLOOKUP($D941,REGOLITOS!$A:$A,REGOLITOS!F:F)</f>
        <v>#N/A</v>
      </c>
      <c r="G941" s="48" t="str">
        <f t="array" ref="G941">XLOOKUP($D941,REGOLITOS!$A:$A,REGOLITOS!G:G)</f>
        <v>#N/A</v>
      </c>
      <c r="H941" s="48" t="str">
        <f t="array" ref="H941">XLOOKUP($D941,REGOLITOS!$A:$A,REGOLITOS!H:H)</f>
        <v>#N/A</v>
      </c>
      <c r="I941" s="48" t="str">
        <f t="array" ref="I941">XLOOKUP($D941,REGOLITOS!$A:$A,REGOLITOS!I:I)</f>
        <v>#N/A</v>
      </c>
      <c r="J941" s="48" t="str">
        <f t="array" ref="J941">XLOOKUP($D941,REGOLITOS!$A:$A,REGOLITOS!J:J)</f>
        <v>#N/A</v>
      </c>
      <c r="K941" s="48" t="str">
        <f t="array" ref="K941">XLOOKUP($D941,REGOLITOS!$A:$A,REGOLITOS!K:K)</f>
        <v>#N/A</v>
      </c>
      <c r="L941" s="76"/>
      <c r="M941" s="5" t="s">
        <v>1080</v>
      </c>
      <c r="N941" s="5" t="s">
        <v>1080</v>
      </c>
      <c r="O941" s="5" t="s">
        <v>1080</v>
      </c>
      <c r="P941" s="5" t="s">
        <v>1080</v>
      </c>
      <c r="Q941" s="5" t="s">
        <v>1080</v>
      </c>
      <c r="X941" s="71">
        <f t="shared" si="5"/>
        <v>0</v>
      </c>
      <c r="Y941" s="5" t="b">
        <v>0</v>
      </c>
    </row>
    <row r="942">
      <c r="B942" s="5" t="str">
        <f t="array" ref="B942">XLOOKUP(A942, CURSOS!A:A, CURSOS!B:B)</f>
        <v>#N/A</v>
      </c>
      <c r="C942" s="75" t="str">
        <f t="array" ref="C942">XLOOKUP(A942, CURSOS!A:A, CURSOS!C:C)</f>
        <v>#N/A</v>
      </c>
      <c r="D942" s="70" t="e">
        <v>#N/A</v>
      </c>
      <c r="E942" s="48"/>
      <c r="F942" s="48" t="str">
        <f t="array" ref="F942">XLOOKUP($D942,REGOLITOS!$A:$A,REGOLITOS!F:F)</f>
        <v>#N/A</v>
      </c>
      <c r="G942" s="48" t="str">
        <f t="array" ref="G942">XLOOKUP($D942,REGOLITOS!$A:$A,REGOLITOS!G:G)</f>
        <v>#N/A</v>
      </c>
      <c r="H942" s="48" t="str">
        <f t="array" ref="H942">XLOOKUP($D942,REGOLITOS!$A:$A,REGOLITOS!H:H)</f>
        <v>#N/A</v>
      </c>
      <c r="I942" s="48" t="str">
        <f t="array" ref="I942">XLOOKUP($D942,REGOLITOS!$A:$A,REGOLITOS!I:I)</f>
        <v>#N/A</v>
      </c>
      <c r="J942" s="48" t="str">
        <f t="array" ref="J942">XLOOKUP($D942,REGOLITOS!$A:$A,REGOLITOS!J:J)</f>
        <v>#N/A</v>
      </c>
      <c r="K942" s="48" t="str">
        <f t="array" ref="K942">XLOOKUP($D942,REGOLITOS!$A:$A,REGOLITOS!K:K)</f>
        <v>#N/A</v>
      </c>
      <c r="L942" s="76"/>
      <c r="M942" s="5" t="s">
        <v>1080</v>
      </c>
      <c r="N942" s="5" t="s">
        <v>1080</v>
      </c>
      <c r="O942" s="5" t="s">
        <v>1080</v>
      </c>
      <c r="P942" s="5" t="s">
        <v>1080</v>
      </c>
      <c r="Q942" s="5" t="s">
        <v>1080</v>
      </c>
      <c r="X942" s="71">
        <f t="shared" si="5"/>
        <v>0</v>
      </c>
      <c r="Y942" s="5" t="b">
        <v>0</v>
      </c>
    </row>
    <row r="943">
      <c r="B943" s="5" t="str">
        <f t="array" ref="B943">XLOOKUP(A943, CURSOS!A:A, CURSOS!B:B)</f>
        <v>#N/A</v>
      </c>
      <c r="C943" s="75" t="str">
        <f t="array" ref="C943">XLOOKUP(A943, CURSOS!A:A, CURSOS!C:C)</f>
        <v>#N/A</v>
      </c>
      <c r="D943" s="70" t="e">
        <v>#N/A</v>
      </c>
      <c r="E943" s="48"/>
      <c r="F943" s="48" t="str">
        <f t="array" ref="F943">XLOOKUP($D943,REGOLITOS!$A:$A,REGOLITOS!F:F)</f>
        <v>#N/A</v>
      </c>
      <c r="G943" s="48" t="str">
        <f t="array" ref="G943">XLOOKUP($D943,REGOLITOS!$A:$A,REGOLITOS!G:G)</f>
        <v>#N/A</v>
      </c>
      <c r="H943" s="48" t="str">
        <f t="array" ref="H943">XLOOKUP($D943,REGOLITOS!$A:$A,REGOLITOS!H:H)</f>
        <v>#N/A</v>
      </c>
      <c r="I943" s="48" t="str">
        <f t="array" ref="I943">XLOOKUP($D943,REGOLITOS!$A:$A,REGOLITOS!I:I)</f>
        <v>#N/A</v>
      </c>
      <c r="J943" s="48" t="str">
        <f t="array" ref="J943">XLOOKUP($D943,REGOLITOS!$A:$A,REGOLITOS!J:J)</f>
        <v>#N/A</v>
      </c>
      <c r="K943" s="48" t="str">
        <f t="array" ref="K943">XLOOKUP($D943,REGOLITOS!$A:$A,REGOLITOS!K:K)</f>
        <v>#N/A</v>
      </c>
      <c r="L943" s="76"/>
      <c r="M943" s="5" t="s">
        <v>1080</v>
      </c>
      <c r="N943" s="5" t="s">
        <v>1080</v>
      </c>
      <c r="O943" s="5" t="s">
        <v>1080</v>
      </c>
      <c r="P943" s="5" t="s">
        <v>1080</v>
      </c>
      <c r="Q943" s="5" t="s">
        <v>1080</v>
      </c>
      <c r="X943" s="71">
        <f t="shared" si="5"/>
        <v>0</v>
      </c>
      <c r="Y943" s="5" t="b">
        <v>0</v>
      </c>
    </row>
    <row r="944">
      <c r="B944" s="5" t="str">
        <f t="array" ref="B944">XLOOKUP(A944, CURSOS!A:A, CURSOS!B:B)</f>
        <v>#N/A</v>
      </c>
      <c r="C944" s="75" t="str">
        <f t="array" ref="C944">XLOOKUP(A944, CURSOS!A:A, CURSOS!C:C)</f>
        <v>#N/A</v>
      </c>
      <c r="D944" s="70" t="e">
        <v>#N/A</v>
      </c>
      <c r="E944" s="48"/>
      <c r="F944" s="48" t="str">
        <f t="array" ref="F944">XLOOKUP($D944,REGOLITOS!$A:$A,REGOLITOS!F:F)</f>
        <v>#N/A</v>
      </c>
      <c r="G944" s="48" t="str">
        <f t="array" ref="G944">XLOOKUP($D944,REGOLITOS!$A:$A,REGOLITOS!G:G)</f>
        <v>#N/A</v>
      </c>
      <c r="H944" s="48" t="str">
        <f t="array" ref="H944">XLOOKUP($D944,REGOLITOS!$A:$A,REGOLITOS!H:H)</f>
        <v>#N/A</v>
      </c>
      <c r="I944" s="48" t="str">
        <f t="array" ref="I944">XLOOKUP($D944,REGOLITOS!$A:$A,REGOLITOS!I:I)</f>
        <v>#N/A</v>
      </c>
      <c r="J944" s="48" t="str">
        <f t="array" ref="J944">XLOOKUP($D944,REGOLITOS!$A:$A,REGOLITOS!J:J)</f>
        <v>#N/A</v>
      </c>
      <c r="K944" s="48" t="str">
        <f t="array" ref="K944">XLOOKUP($D944,REGOLITOS!$A:$A,REGOLITOS!K:K)</f>
        <v>#N/A</v>
      </c>
      <c r="L944" s="76"/>
      <c r="M944" s="5" t="s">
        <v>1080</v>
      </c>
      <c r="N944" s="5" t="s">
        <v>1080</v>
      </c>
      <c r="O944" s="5" t="s">
        <v>1080</v>
      </c>
      <c r="P944" s="5" t="s">
        <v>1080</v>
      </c>
      <c r="Q944" s="5" t="s">
        <v>1080</v>
      </c>
      <c r="X944" s="71">
        <f t="shared" si="5"/>
        <v>0</v>
      </c>
      <c r="Y944" s="5" t="b">
        <v>0</v>
      </c>
    </row>
    <row r="945">
      <c r="B945" s="5" t="str">
        <f t="array" ref="B945">XLOOKUP(A945, CURSOS!A:A, CURSOS!B:B)</f>
        <v>#N/A</v>
      </c>
      <c r="C945" s="75" t="str">
        <f t="array" ref="C945">XLOOKUP(A945, CURSOS!A:A, CURSOS!C:C)</f>
        <v>#N/A</v>
      </c>
      <c r="D945" s="70" t="e">
        <v>#N/A</v>
      </c>
      <c r="E945" s="48"/>
      <c r="F945" s="48" t="str">
        <f t="array" ref="F945">XLOOKUP($D945,REGOLITOS!$A:$A,REGOLITOS!F:F)</f>
        <v>#N/A</v>
      </c>
      <c r="G945" s="48" t="str">
        <f t="array" ref="G945">XLOOKUP($D945,REGOLITOS!$A:$A,REGOLITOS!G:G)</f>
        <v>#N/A</v>
      </c>
      <c r="H945" s="48" t="str">
        <f t="array" ref="H945">XLOOKUP($D945,REGOLITOS!$A:$A,REGOLITOS!H:H)</f>
        <v>#N/A</v>
      </c>
      <c r="I945" s="48" t="str">
        <f t="array" ref="I945">XLOOKUP($D945,REGOLITOS!$A:$A,REGOLITOS!I:I)</f>
        <v>#N/A</v>
      </c>
      <c r="J945" s="48" t="str">
        <f t="array" ref="J945">XLOOKUP($D945,REGOLITOS!$A:$A,REGOLITOS!J:J)</f>
        <v>#N/A</v>
      </c>
      <c r="K945" s="48" t="str">
        <f t="array" ref="K945">XLOOKUP($D945,REGOLITOS!$A:$A,REGOLITOS!K:K)</f>
        <v>#N/A</v>
      </c>
      <c r="L945" s="76"/>
      <c r="M945" s="5" t="s">
        <v>1080</v>
      </c>
      <c r="N945" s="5" t="s">
        <v>1080</v>
      </c>
      <c r="O945" s="5" t="s">
        <v>1080</v>
      </c>
      <c r="P945" s="5" t="s">
        <v>1080</v>
      </c>
      <c r="Q945" s="5" t="s">
        <v>1080</v>
      </c>
      <c r="X945" s="71">
        <f t="shared" si="5"/>
        <v>0</v>
      </c>
      <c r="Y945" s="5" t="b">
        <v>0</v>
      </c>
    </row>
    <row r="946">
      <c r="B946" s="5" t="str">
        <f t="array" ref="B946">XLOOKUP(A946, CURSOS!A:A, CURSOS!B:B)</f>
        <v>#N/A</v>
      </c>
      <c r="C946" s="75" t="str">
        <f t="array" ref="C946">XLOOKUP(A946, CURSOS!A:A, CURSOS!C:C)</f>
        <v>#N/A</v>
      </c>
      <c r="D946" s="70" t="e">
        <v>#N/A</v>
      </c>
      <c r="E946" s="48"/>
      <c r="F946" s="48" t="str">
        <f t="array" ref="F946">XLOOKUP($D946,REGOLITOS!$A:$A,REGOLITOS!F:F)</f>
        <v>#N/A</v>
      </c>
      <c r="G946" s="48" t="str">
        <f t="array" ref="G946">XLOOKUP($D946,REGOLITOS!$A:$A,REGOLITOS!G:G)</f>
        <v>#N/A</v>
      </c>
      <c r="H946" s="48" t="str">
        <f t="array" ref="H946">XLOOKUP($D946,REGOLITOS!$A:$A,REGOLITOS!H:H)</f>
        <v>#N/A</v>
      </c>
      <c r="I946" s="48" t="str">
        <f t="array" ref="I946">XLOOKUP($D946,REGOLITOS!$A:$A,REGOLITOS!I:I)</f>
        <v>#N/A</v>
      </c>
      <c r="J946" s="48" t="str">
        <f t="array" ref="J946">XLOOKUP($D946,REGOLITOS!$A:$A,REGOLITOS!J:J)</f>
        <v>#N/A</v>
      </c>
      <c r="K946" s="48" t="str">
        <f t="array" ref="K946">XLOOKUP($D946,REGOLITOS!$A:$A,REGOLITOS!K:K)</f>
        <v>#N/A</v>
      </c>
      <c r="L946" s="76"/>
      <c r="M946" s="5" t="s">
        <v>1080</v>
      </c>
      <c r="N946" s="5" t="s">
        <v>1080</v>
      </c>
      <c r="O946" s="5" t="s">
        <v>1080</v>
      </c>
      <c r="P946" s="5" t="s">
        <v>1080</v>
      </c>
      <c r="Q946" s="5" t="s">
        <v>1080</v>
      </c>
      <c r="X946" s="71">
        <f t="shared" si="5"/>
        <v>0</v>
      </c>
      <c r="Y946" s="5" t="b">
        <v>0</v>
      </c>
    </row>
    <row r="947">
      <c r="B947" s="5" t="str">
        <f t="array" ref="B947">XLOOKUP(A947, CURSOS!A:A, CURSOS!B:B)</f>
        <v>#N/A</v>
      </c>
      <c r="C947" s="75" t="str">
        <f t="array" ref="C947">XLOOKUP(A947, CURSOS!A:A, CURSOS!C:C)</f>
        <v>#N/A</v>
      </c>
      <c r="D947" s="70" t="e">
        <v>#N/A</v>
      </c>
      <c r="E947" s="48"/>
      <c r="F947" s="48" t="str">
        <f t="array" ref="F947">XLOOKUP($D947,REGOLITOS!$A:$A,REGOLITOS!F:F)</f>
        <v>#N/A</v>
      </c>
      <c r="G947" s="48" t="str">
        <f t="array" ref="G947">XLOOKUP($D947,REGOLITOS!$A:$A,REGOLITOS!G:G)</f>
        <v>#N/A</v>
      </c>
      <c r="H947" s="48" t="str">
        <f t="array" ref="H947">XLOOKUP($D947,REGOLITOS!$A:$A,REGOLITOS!H:H)</f>
        <v>#N/A</v>
      </c>
      <c r="I947" s="48" t="str">
        <f t="array" ref="I947">XLOOKUP($D947,REGOLITOS!$A:$A,REGOLITOS!I:I)</f>
        <v>#N/A</v>
      </c>
      <c r="J947" s="48" t="str">
        <f t="array" ref="J947">XLOOKUP($D947,REGOLITOS!$A:$A,REGOLITOS!J:J)</f>
        <v>#N/A</v>
      </c>
      <c r="K947" s="48" t="str">
        <f t="array" ref="K947">XLOOKUP($D947,REGOLITOS!$A:$A,REGOLITOS!K:K)</f>
        <v>#N/A</v>
      </c>
      <c r="L947" s="76"/>
      <c r="M947" s="5" t="s">
        <v>1080</v>
      </c>
      <c r="N947" s="5" t="s">
        <v>1080</v>
      </c>
      <c r="O947" s="5" t="s">
        <v>1080</v>
      </c>
      <c r="P947" s="5" t="s">
        <v>1080</v>
      </c>
      <c r="Q947" s="5" t="s">
        <v>1080</v>
      </c>
      <c r="X947" s="71">
        <f t="shared" si="5"/>
        <v>0</v>
      </c>
      <c r="Y947" s="5" t="b">
        <v>0</v>
      </c>
    </row>
    <row r="948">
      <c r="B948" s="5" t="str">
        <f t="array" ref="B948">XLOOKUP(A948, CURSOS!A:A, CURSOS!B:B)</f>
        <v>#N/A</v>
      </c>
      <c r="C948" s="75" t="str">
        <f t="array" ref="C948">XLOOKUP(A948, CURSOS!A:A, CURSOS!C:C)</f>
        <v>#N/A</v>
      </c>
      <c r="D948" s="70" t="e">
        <v>#N/A</v>
      </c>
      <c r="E948" s="48"/>
      <c r="F948" s="48" t="str">
        <f t="array" ref="F948">XLOOKUP($D948,REGOLITOS!$A:$A,REGOLITOS!F:F)</f>
        <v>#N/A</v>
      </c>
      <c r="G948" s="48" t="str">
        <f t="array" ref="G948">XLOOKUP($D948,REGOLITOS!$A:$A,REGOLITOS!G:G)</f>
        <v>#N/A</v>
      </c>
      <c r="H948" s="48" t="str">
        <f t="array" ref="H948">XLOOKUP($D948,REGOLITOS!$A:$A,REGOLITOS!H:H)</f>
        <v>#N/A</v>
      </c>
      <c r="I948" s="48" t="str">
        <f t="array" ref="I948">XLOOKUP($D948,REGOLITOS!$A:$A,REGOLITOS!I:I)</f>
        <v>#N/A</v>
      </c>
      <c r="J948" s="48" t="str">
        <f t="array" ref="J948">XLOOKUP($D948,REGOLITOS!$A:$A,REGOLITOS!J:J)</f>
        <v>#N/A</v>
      </c>
      <c r="K948" s="48" t="str">
        <f t="array" ref="K948">XLOOKUP($D948,REGOLITOS!$A:$A,REGOLITOS!K:K)</f>
        <v>#N/A</v>
      </c>
      <c r="L948" s="76"/>
      <c r="M948" s="5" t="s">
        <v>1080</v>
      </c>
      <c r="N948" s="5" t="s">
        <v>1080</v>
      </c>
      <c r="O948" s="5" t="s">
        <v>1080</v>
      </c>
      <c r="P948" s="5" t="s">
        <v>1080</v>
      </c>
      <c r="Q948" s="5" t="s">
        <v>1080</v>
      </c>
      <c r="X948" s="71">
        <f t="shared" si="5"/>
        <v>0</v>
      </c>
      <c r="Y948" s="5" t="b">
        <v>0</v>
      </c>
    </row>
    <row r="949">
      <c r="B949" s="5" t="str">
        <f t="array" ref="B949">XLOOKUP(A949, CURSOS!A:A, CURSOS!B:B)</f>
        <v>#N/A</v>
      </c>
      <c r="C949" s="75" t="str">
        <f t="array" ref="C949">XLOOKUP(A949, CURSOS!A:A, CURSOS!C:C)</f>
        <v>#N/A</v>
      </c>
      <c r="D949" s="70" t="e">
        <v>#N/A</v>
      </c>
      <c r="E949" s="48"/>
      <c r="F949" s="48" t="str">
        <f t="array" ref="F949">XLOOKUP($D949,REGOLITOS!$A:$A,REGOLITOS!F:F)</f>
        <v>#N/A</v>
      </c>
      <c r="G949" s="48" t="str">
        <f t="array" ref="G949">XLOOKUP($D949,REGOLITOS!$A:$A,REGOLITOS!G:G)</f>
        <v>#N/A</v>
      </c>
      <c r="H949" s="48" t="str">
        <f t="array" ref="H949">XLOOKUP($D949,REGOLITOS!$A:$A,REGOLITOS!H:H)</f>
        <v>#N/A</v>
      </c>
      <c r="I949" s="48" t="str">
        <f t="array" ref="I949">XLOOKUP($D949,REGOLITOS!$A:$A,REGOLITOS!I:I)</f>
        <v>#N/A</v>
      </c>
      <c r="J949" s="48" t="str">
        <f t="array" ref="J949">XLOOKUP($D949,REGOLITOS!$A:$A,REGOLITOS!J:J)</f>
        <v>#N/A</v>
      </c>
      <c r="K949" s="48" t="str">
        <f t="array" ref="K949">XLOOKUP($D949,REGOLITOS!$A:$A,REGOLITOS!K:K)</f>
        <v>#N/A</v>
      </c>
      <c r="L949" s="76"/>
      <c r="M949" s="5" t="s">
        <v>1080</v>
      </c>
      <c r="N949" s="5" t="s">
        <v>1080</v>
      </c>
      <c r="O949" s="5" t="s">
        <v>1080</v>
      </c>
      <c r="P949" s="5" t="s">
        <v>1080</v>
      </c>
      <c r="Q949" s="5" t="s">
        <v>1080</v>
      </c>
      <c r="X949" s="71">
        <f t="shared" si="5"/>
        <v>0</v>
      </c>
      <c r="Y949" s="5" t="b">
        <v>0</v>
      </c>
    </row>
    <row r="950">
      <c r="B950" s="5" t="str">
        <f t="array" ref="B950">XLOOKUP(A950, CURSOS!A:A, CURSOS!B:B)</f>
        <v>#N/A</v>
      </c>
      <c r="C950" s="75" t="str">
        <f t="array" ref="C950">XLOOKUP(A950, CURSOS!A:A, CURSOS!C:C)</f>
        <v>#N/A</v>
      </c>
      <c r="D950" s="70" t="e">
        <v>#N/A</v>
      </c>
      <c r="E950" s="48"/>
      <c r="F950" s="48" t="str">
        <f t="array" ref="F950">XLOOKUP($D950,REGOLITOS!$A:$A,REGOLITOS!F:F)</f>
        <v>#N/A</v>
      </c>
      <c r="G950" s="48" t="str">
        <f t="array" ref="G950">XLOOKUP($D950,REGOLITOS!$A:$A,REGOLITOS!G:G)</f>
        <v>#N/A</v>
      </c>
      <c r="H950" s="48" t="str">
        <f t="array" ref="H950">XLOOKUP($D950,REGOLITOS!$A:$A,REGOLITOS!H:H)</f>
        <v>#N/A</v>
      </c>
      <c r="I950" s="48" t="str">
        <f t="array" ref="I950">XLOOKUP($D950,REGOLITOS!$A:$A,REGOLITOS!I:I)</f>
        <v>#N/A</v>
      </c>
      <c r="J950" s="48" t="str">
        <f t="array" ref="J950">XLOOKUP($D950,REGOLITOS!$A:$A,REGOLITOS!J:J)</f>
        <v>#N/A</v>
      </c>
      <c r="K950" s="48" t="str">
        <f t="array" ref="K950">XLOOKUP($D950,REGOLITOS!$A:$A,REGOLITOS!K:K)</f>
        <v>#N/A</v>
      </c>
      <c r="L950" s="76"/>
      <c r="M950" s="5" t="s">
        <v>1080</v>
      </c>
      <c r="N950" s="5" t="s">
        <v>1080</v>
      </c>
      <c r="O950" s="5" t="s">
        <v>1080</v>
      </c>
      <c r="P950" s="5" t="s">
        <v>1080</v>
      </c>
      <c r="Q950" s="5" t="s">
        <v>1080</v>
      </c>
      <c r="X950" s="71">
        <f t="shared" si="5"/>
        <v>0</v>
      </c>
      <c r="Y950" s="5" t="b">
        <v>0</v>
      </c>
    </row>
    <row r="951">
      <c r="B951" s="5" t="str">
        <f t="array" ref="B951">XLOOKUP(A951, CURSOS!A:A, CURSOS!B:B)</f>
        <v>#N/A</v>
      </c>
      <c r="C951" s="75" t="str">
        <f t="array" ref="C951">XLOOKUP(A951, CURSOS!A:A, CURSOS!C:C)</f>
        <v>#N/A</v>
      </c>
      <c r="D951" s="70" t="e">
        <v>#N/A</v>
      </c>
      <c r="E951" s="48"/>
      <c r="F951" s="48" t="str">
        <f t="array" ref="F951">XLOOKUP($D951,REGOLITOS!$A:$A,REGOLITOS!F:F)</f>
        <v>#N/A</v>
      </c>
      <c r="G951" s="48" t="str">
        <f t="array" ref="G951">XLOOKUP($D951,REGOLITOS!$A:$A,REGOLITOS!G:G)</f>
        <v>#N/A</v>
      </c>
      <c r="H951" s="48" t="str">
        <f t="array" ref="H951">XLOOKUP($D951,REGOLITOS!$A:$A,REGOLITOS!H:H)</f>
        <v>#N/A</v>
      </c>
      <c r="I951" s="48" t="str">
        <f t="array" ref="I951">XLOOKUP($D951,REGOLITOS!$A:$A,REGOLITOS!I:I)</f>
        <v>#N/A</v>
      </c>
      <c r="J951" s="48" t="str">
        <f t="array" ref="J951">XLOOKUP($D951,REGOLITOS!$A:$A,REGOLITOS!J:J)</f>
        <v>#N/A</v>
      </c>
      <c r="K951" s="48" t="str">
        <f t="array" ref="K951">XLOOKUP($D951,REGOLITOS!$A:$A,REGOLITOS!K:K)</f>
        <v>#N/A</v>
      </c>
      <c r="L951" s="76"/>
      <c r="M951" s="5" t="s">
        <v>1080</v>
      </c>
      <c r="N951" s="5" t="s">
        <v>1080</v>
      </c>
      <c r="O951" s="5" t="s">
        <v>1080</v>
      </c>
      <c r="P951" s="5" t="s">
        <v>1080</v>
      </c>
      <c r="Q951" s="5" t="s">
        <v>1080</v>
      </c>
      <c r="X951" s="71">
        <f t="shared" si="5"/>
        <v>0</v>
      </c>
      <c r="Y951" s="5" t="b">
        <v>0</v>
      </c>
    </row>
    <row r="952">
      <c r="B952" s="5" t="str">
        <f t="array" ref="B952">XLOOKUP(A952, CURSOS!A:A, CURSOS!B:B)</f>
        <v>#N/A</v>
      </c>
      <c r="C952" s="75" t="str">
        <f t="array" ref="C952">XLOOKUP(A952, CURSOS!A:A, CURSOS!C:C)</f>
        <v>#N/A</v>
      </c>
      <c r="D952" s="70" t="e">
        <v>#N/A</v>
      </c>
      <c r="E952" s="48"/>
      <c r="F952" s="48" t="str">
        <f t="array" ref="F952">XLOOKUP($D952,REGOLITOS!$A:$A,REGOLITOS!F:F)</f>
        <v>#N/A</v>
      </c>
      <c r="G952" s="48" t="str">
        <f t="array" ref="G952">XLOOKUP($D952,REGOLITOS!$A:$A,REGOLITOS!G:G)</f>
        <v>#N/A</v>
      </c>
      <c r="H952" s="48" t="str">
        <f t="array" ref="H952">XLOOKUP($D952,REGOLITOS!$A:$A,REGOLITOS!H:H)</f>
        <v>#N/A</v>
      </c>
      <c r="I952" s="48" t="str">
        <f t="array" ref="I952">XLOOKUP($D952,REGOLITOS!$A:$A,REGOLITOS!I:I)</f>
        <v>#N/A</v>
      </c>
      <c r="J952" s="48" t="str">
        <f t="array" ref="J952">XLOOKUP($D952,REGOLITOS!$A:$A,REGOLITOS!J:J)</f>
        <v>#N/A</v>
      </c>
      <c r="K952" s="48" t="str">
        <f t="array" ref="K952">XLOOKUP($D952,REGOLITOS!$A:$A,REGOLITOS!K:K)</f>
        <v>#N/A</v>
      </c>
      <c r="L952" s="76"/>
      <c r="M952" s="5" t="s">
        <v>1080</v>
      </c>
      <c r="N952" s="5" t="s">
        <v>1080</v>
      </c>
      <c r="O952" s="5" t="s">
        <v>1080</v>
      </c>
      <c r="P952" s="5" t="s">
        <v>1080</v>
      </c>
      <c r="Q952" s="5" t="s">
        <v>1080</v>
      </c>
      <c r="X952" s="71">
        <f t="shared" si="5"/>
        <v>0</v>
      </c>
      <c r="Y952" s="5" t="b">
        <v>0</v>
      </c>
    </row>
    <row r="953">
      <c r="B953" s="5" t="str">
        <f t="array" ref="B953">XLOOKUP(A953, CURSOS!A:A, CURSOS!B:B)</f>
        <v>#N/A</v>
      </c>
      <c r="C953" s="75" t="str">
        <f t="array" ref="C953">XLOOKUP(A953, CURSOS!A:A, CURSOS!C:C)</f>
        <v>#N/A</v>
      </c>
      <c r="D953" s="70" t="e">
        <v>#N/A</v>
      </c>
      <c r="E953" s="48"/>
      <c r="F953" s="48" t="str">
        <f t="array" ref="F953">XLOOKUP($D953,REGOLITOS!$A:$A,REGOLITOS!F:F)</f>
        <v>#N/A</v>
      </c>
      <c r="G953" s="48" t="str">
        <f t="array" ref="G953">XLOOKUP($D953,REGOLITOS!$A:$A,REGOLITOS!G:G)</f>
        <v>#N/A</v>
      </c>
      <c r="H953" s="48" t="str">
        <f t="array" ref="H953">XLOOKUP($D953,REGOLITOS!$A:$A,REGOLITOS!H:H)</f>
        <v>#N/A</v>
      </c>
      <c r="I953" s="48" t="str">
        <f t="array" ref="I953">XLOOKUP($D953,REGOLITOS!$A:$A,REGOLITOS!I:I)</f>
        <v>#N/A</v>
      </c>
      <c r="J953" s="48" t="str">
        <f t="array" ref="J953">XLOOKUP($D953,REGOLITOS!$A:$A,REGOLITOS!J:J)</f>
        <v>#N/A</v>
      </c>
      <c r="K953" s="48" t="str">
        <f t="array" ref="K953">XLOOKUP($D953,REGOLITOS!$A:$A,REGOLITOS!K:K)</f>
        <v>#N/A</v>
      </c>
      <c r="L953" s="76"/>
      <c r="M953" s="5" t="s">
        <v>1080</v>
      </c>
      <c r="N953" s="5" t="s">
        <v>1080</v>
      </c>
      <c r="O953" s="5" t="s">
        <v>1080</v>
      </c>
      <c r="P953" s="5" t="s">
        <v>1080</v>
      </c>
      <c r="Q953" s="5" t="s">
        <v>1080</v>
      </c>
      <c r="X953" s="71">
        <f t="shared" si="5"/>
        <v>0</v>
      </c>
      <c r="Y953" s="5" t="b">
        <v>0</v>
      </c>
    </row>
    <row r="954">
      <c r="B954" s="5" t="str">
        <f t="array" ref="B954">XLOOKUP(A954, CURSOS!A:A, CURSOS!B:B)</f>
        <v>#N/A</v>
      </c>
      <c r="C954" s="75" t="str">
        <f t="array" ref="C954">XLOOKUP(A954, CURSOS!A:A, CURSOS!C:C)</f>
        <v>#N/A</v>
      </c>
      <c r="D954" s="70" t="e">
        <v>#N/A</v>
      </c>
      <c r="E954" s="48"/>
      <c r="F954" s="48" t="str">
        <f t="array" ref="F954">XLOOKUP($D954,REGOLITOS!$A:$A,REGOLITOS!F:F)</f>
        <v>#N/A</v>
      </c>
      <c r="G954" s="48" t="str">
        <f t="array" ref="G954">XLOOKUP($D954,REGOLITOS!$A:$A,REGOLITOS!G:G)</f>
        <v>#N/A</v>
      </c>
      <c r="H954" s="48" t="str">
        <f t="array" ref="H954">XLOOKUP($D954,REGOLITOS!$A:$A,REGOLITOS!H:H)</f>
        <v>#N/A</v>
      </c>
      <c r="I954" s="48" t="str">
        <f t="array" ref="I954">XLOOKUP($D954,REGOLITOS!$A:$A,REGOLITOS!I:I)</f>
        <v>#N/A</v>
      </c>
      <c r="J954" s="48" t="str">
        <f t="array" ref="J954">XLOOKUP($D954,REGOLITOS!$A:$A,REGOLITOS!J:J)</f>
        <v>#N/A</v>
      </c>
      <c r="K954" s="48" t="str">
        <f t="array" ref="K954">XLOOKUP($D954,REGOLITOS!$A:$A,REGOLITOS!K:K)</f>
        <v>#N/A</v>
      </c>
      <c r="L954" s="76"/>
      <c r="M954" s="5" t="s">
        <v>1080</v>
      </c>
      <c r="N954" s="5" t="s">
        <v>1080</v>
      </c>
      <c r="O954" s="5" t="s">
        <v>1080</v>
      </c>
      <c r="P954" s="5" t="s">
        <v>1080</v>
      </c>
      <c r="Q954" s="5" t="s">
        <v>1080</v>
      </c>
      <c r="X954" s="71">
        <f t="shared" si="5"/>
        <v>0</v>
      </c>
      <c r="Y954" s="5" t="b">
        <v>0</v>
      </c>
    </row>
    <row r="955">
      <c r="B955" s="5" t="str">
        <f t="array" ref="B955">XLOOKUP(A955, CURSOS!A:A, CURSOS!B:B)</f>
        <v>#N/A</v>
      </c>
      <c r="C955" s="75" t="str">
        <f t="array" ref="C955">XLOOKUP(A955, CURSOS!A:A, CURSOS!C:C)</f>
        <v>#N/A</v>
      </c>
      <c r="D955" s="70" t="e">
        <v>#N/A</v>
      </c>
      <c r="E955" s="48"/>
      <c r="F955" s="48" t="str">
        <f t="array" ref="F955">XLOOKUP($D955,REGOLITOS!$A:$A,REGOLITOS!F:F)</f>
        <v>#N/A</v>
      </c>
      <c r="G955" s="48" t="str">
        <f t="array" ref="G955">XLOOKUP($D955,REGOLITOS!$A:$A,REGOLITOS!G:G)</f>
        <v>#N/A</v>
      </c>
      <c r="H955" s="48" t="str">
        <f t="array" ref="H955">XLOOKUP($D955,REGOLITOS!$A:$A,REGOLITOS!H:H)</f>
        <v>#N/A</v>
      </c>
      <c r="I955" s="48" t="str">
        <f t="array" ref="I955">XLOOKUP($D955,REGOLITOS!$A:$A,REGOLITOS!I:I)</f>
        <v>#N/A</v>
      </c>
      <c r="J955" s="48" t="str">
        <f t="array" ref="J955">XLOOKUP($D955,REGOLITOS!$A:$A,REGOLITOS!J:J)</f>
        <v>#N/A</v>
      </c>
      <c r="K955" s="48" t="str">
        <f t="array" ref="K955">XLOOKUP($D955,REGOLITOS!$A:$A,REGOLITOS!K:K)</f>
        <v>#N/A</v>
      </c>
      <c r="L955" s="76"/>
      <c r="M955" s="5" t="s">
        <v>1080</v>
      </c>
      <c r="N955" s="5" t="s">
        <v>1080</v>
      </c>
      <c r="O955" s="5" t="s">
        <v>1080</v>
      </c>
      <c r="P955" s="5" t="s">
        <v>1080</v>
      </c>
      <c r="Q955" s="5" t="s">
        <v>1080</v>
      </c>
      <c r="X955" s="71">
        <f t="shared" si="5"/>
        <v>0</v>
      </c>
      <c r="Y955" s="5" t="b">
        <v>0</v>
      </c>
    </row>
    <row r="956">
      <c r="B956" s="5" t="str">
        <f t="array" ref="B956">XLOOKUP(A956, CURSOS!A:A, CURSOS!B:B)</f>
        <v>#N/A</v>
      </c>
      <c r="C956" s="75" t="str">
        <f t="array" ref="C956">XLOOKUP(A956, CURSOS!A:A, CURSOS!C:C)</f>
        <v>#N/A</v>
      </c>
      <c r="D956" s="70" t="e">
        <v>#N/A</v>
      </c>
      <c r="E956" s="48"/>
      <c r="F956" s="48" t="str">
        <f t="array" ref="F956">XLOOKUP($D956,REGOLITOS!$A:$A,REGOLITOS!F:F)</f>
        <v>#N/A</v>
      </c>
      <c r="G956" s="48" t="str">
        <f t="array" ref="G956">XLOOKUP($D956,REGOLITOS!$A:$A,REGOLITOS!G:G)</f>
        <v>#N/A</v>
      </c>
      <c r="H956" s="48" t="str">
        <f t="array" ref="H956">XLOOKUP($D956,REGOLITOS!$A:$A,REGOLITOS!H:H)</f>
        <v>#N/A</v>
      </c>
      <c r="I956" s="48" t="str">
        <f t="array" ref="I956">XLOOKUP($D956,REGOLITOS!$A:$A,REGOLITOS!I:I)</f>
        <v>#N/A</v>
      </c>
      <c r="J956" s="48" t="str">
        <f t="array" ref="J956">XLOOKUP($D956,REGOLITOS!$A:$A,REGOLITOS!J:J)</f>
        <v>#N/A</v>
      </c>
      <c r="K956" s="48" t="str">
        <f t="array" ref="K956">XLOOKUP($D956,REGOLITOS!$A:$A,REGOLITOS!K:K)</f>
        <v>#N/A</v>
      </c>
      <c r="L956" s="76"/>
      <c r="M956" s="5" t="s">
        <v>1080</v>
      </c>
      <c r="N956" s="5" t="s">
        <v>1080</v>
      </c>
      <c r="O956" s="5" t="s">
        <v>1080</v>
      </c>
      <c r="P956" s="5" t="s">
        <v>1080</v>
      </c>
      <c r="Q956" s="5" t="s">
        <v>1080</v>
      </c>
      <c r="X956" s="71">
        <f t="shared" si="5"/>
        <v>0</v>
      </c>
      <c r="Y956" s="5" t="b">
        <v>0</v>
      </c>
    </row>
    <row r="957">
      <c r="B957" s="5" t="str">
        <f t="array" ref="B957">XLOOKUP(A957, CURSOS!A:A, CURSOS!B:B)</f>
        <v>#N/A</v>
      </c>
      <c r="C957" s="75" t="str">
        <f t="array" ref="C957">XLOOKUP(A957, CURSOS!A:A, CURSOS!C:C)</f>
        <v>#N/A</v>
      </c>
      <c r="D957" s="70" t="e">
        <v>#N/A</v>
      </c>
      <c r="E957" s="48"/>
      <c r="F957" s="48" t="str">
        <f t="array" ref="F957">XLOOKUP($D957,REGOLITOS!$A:$A,REGOLITOS!F:F)</f>
        <v>#N/A</v>
      </c>
      <c r="G957" s="48" t="str">
        <f t="array" ref="G957">XLOOKUP($D957,REGOLITOS!$A:$A,REGOLITOS!G:G)</f>
        <v>#N/A</v>
      </c>
      <c r="H957" s="48" t="str">
        <f t="array" ref="H957">XLOOKUP($D957,REGOLITOS!$A:$A,REGOLITOS!H:H)</f>
        <v>#N/A</v>
      </c>
      <c r="I957" s="48" t="str">
        <f t="array" ref="I957">XLOOKUP($D957,REGOLITOS!$A:$A,REGOLITOS!I:I)</f>
        <v>#N/A</v>
      </c>
      <c r="J957" s="48" t="str">
        <f t="array" ref="J957">XLOOKUP($D957,REGOLITOS!$A:$A,REGOLITOS!J:J)</f>
        <v>#N/A</v>
      </c>
      <c r="K957" s="48" t="str">
        <f t="array" ref="K957">XLOOKUP($D957,REGOLITOS!$A:$A,REGOLITOS!K:K)</f>
        <v>#N/A</v>
      </c>
      <c r="L957" s="76"/>
      <c r="M957" s="5" t="s">
        <v>1080</v>
      </c>
      <c r="N957" s="5" t="s">
        <v>1080</v>
      </c>
      <c r="O957" s="5" t="s">
        <v>1080</v>
      </c>
      <c r="P957" s="5" t="s">
        <v>1080</v>
      </c>
      <c r="Q957" s="5" t="s">
        <v>1080</v>
      </c>
      <c r="X957" s="71">
        <f t="shared" si="5"/>
        <v>0</v>
      </c>
      <c r="Y957" s="5" t="b">
        <v>0</v>
      </c>
    </row>
    <row r="958">
      <c r="B958" s="5" t="str">
        <f t="array" ref="B958">XLOOKUP(A958, CURSOS!A:A, CURSOS!B:B)</f>
        <v>#N/A</v>
      </c>
      <c r="C958" s="75" t="str">
        <f t="array" ref="C958">XLOOKUP(A958, CURSOS!A:A, CURSOS!C:C)</f>
        <v>#N/A</v>
      </c>
      <c r="D958" s="70" t="e">
        <v>#N/A</v>
      </c>
      <c r="E958" s="48"/>
      <c r="F958" s="48" t="str">
        <f t="array" ref="F958">XLOOKUP($D958,REGOLITOS!$A:$A,REGOLITOS!F:F)</f>
        <v>#N/A</v>
      </c>
      <c r="G958" s="48" t="str">
        <f t="array" ref="G958">XLOOKUP($D958,REGOLITOS!$A:$A,REGOLITOS!G:G)</f>
        <v>#N/A</v>
      </c>
      <c r="H958" s="48" t="str">
        <f t="array" ref="H958">XLOOKUP($D958,REGOLITOS!$A:$A,REGOLITOS!H:H)</f>
        <v>#N/A</v>
      </c>
      <c r="I958" s="48" t="str">
        <f t="array" ref="I958">XLOOKUP($D958,REGOLITOS!$A:$A,REGOLITOS!I:I)</f>
        <v>#N/A</v>
      </c>
      <c r="J958" s="48" t="str">
        <f t="array" ref="J958">XLOOKUP($D958,REGOLITOS!$A:$A,REGOLITOS!J:J)</f>
        <v>#N/A</v>
      </c>
      <c r="K958" s="48" t="str">
        <f t="array" ref="K958">XLOOKUP($D958,REGOLITOS!$A:$A,REGOLITOS!K:K)</f>
        <v>#N/A</v>
      </c>
      <c r="L958" s="76"/>
      <c r="M958" s="5" t="s">
        <v>1080</v>
      </c>
      <c r="N958" s="5" t="s">
        <v>1080</v>
      </c>
      <c r="O958" s="5" t="s">
        <v>1080</v>
      </c>
      <c r="P958" s="5" t="s">
        <v>1080</v>
      </c>
      <c r="Q958" s="5" t="s">
        <v>1080</v>
      </c>
      <c r="X958" s="71">
        <f t="shared" si="5"/>
        <v>0</v>
      </c>
      <c r="Y958" s="5" t="b">
        <v>0</v>
      </c>
    </row>
    <row r="959">
      <c r="B959" s="5" t="str">
        <f t="array" ref="B959">XLOOKUP(A959, CURSOS!A:A, CURSOS!B:B)</f>
        <v>#N/A</v>
      </c>
      <c r="C959" s="75" t="str">
        <f t="array" ref="C959">XLOOKUP(A959, CURSOS!A:A, CURSOS!C:C)</f>
        <v>#N/A</v>
      </c>
      <c r="D959" s="70" t="e">
        <v>#N/A</v>
      </c>
      <c r="E959" s="48"/>
      <c r="F959" s="48" t="str">
        <f t="array" ref="F959">XLOOKUP($D959,REGOLITOS!$A:$A,REGOLITOS!F:F)</f>
        <v>#N/A</v>
      </c>
      <c r="G959" s="48" t="str">
        <f t="array" ref="G959">XLOOKUP($D959,REGOLITOS!$A:$A,REGOLITOS!G:G)</f>
        <v>#N/A</v>
      </c>
      <c r="H959" s="48" t="str">
        <f t="array" ref="H959">XLOOKUP($D959,REGOLITOS!$A:$A,REGOLITOS!H:H)</f>
        <v>#N/A</v>
      </c>
      <c r="I959" s="48" t="str">
        <f t="array" ref="I959">XLOOKUP($D959,REGOLITOS!$A:$A,REGOLITOS!I:I)</f>
        <v>#N/A</v>
      </c>
      <c r="J959" s="48" t="str">
        <f t="array" ref="J959">XLOOKUP($D959,REGOLITOS!$A:$A,REGOLITOS!J:J)</f>
        <v>#N/A</v>
      </c>
      <c r="K959" s="48" t="str">
        <f t="array" ref="K959">XLOOKUP($D959,REGOLITOS!$A:$A,REGOLITOS!K:K)</f>
        <v>#N/A</v>
      </c>
      <c r="L959" s="76"/>
      <c r="M959" s="5" t="s">
        <v>1080</v>
      </c>
      <c r="N959" s="5" t="s">
        <v>1080</v>
      </c>
      <c r="O959" s="5" t="s">
        <v>1080</v>
      </c>
      <c r="P959" s="5" t="s">
        <v>1080</v>
      </c>
      <c r="Q959" s="5" t="s">
        <v>1080</v>
      </c>
      <c r="X959" s="71">
        <f t="shared" si="5"/>
        <v>0</v>
      </c>
      <c r="Y959" s="5" t="b">
        <v>0</v>
      </c>
    </row>
    <row r="960">
      <c r="B960" s="5" t="str">
        <f t="array" ref="B960">XLOOKUP(A960, CURSOS!A:A, CURSOS!B:B)</f>
        <v>#N/A</v>
      </c>
      <c r="C960" s="75" t="str">
        <f t="array" ref="C960">XLOOKUP(A960, CURSOS!A:A, CURSOS!C:C)</f>
        <v>#N/A</v>
      </c>
      <c r="D960" s="70" t="e">
        <v>#N/A</v>
      </c>
      <c r="E960" s="48"/>
      <c r="F960" s="48" t="str">
        <f t="array" ref="F960">XLOOKUP($D960,REGOLITOS!$A:$A,REGOLITOS!F:F)</f>
        <v>#N/A</v>
      </c>
      <c r="G960" s="48" t="str">
        <f t="array" ref="G960">XLOOKUP($D960,REGOLITOS!$A:$A,REGOLITOS!G:G)</f>
        <v>#N/A</v>
      </c>
      <c r="H960" s="48" t="str">
        <f t="array" ref="H960">XLOOKUP($D960,REGOLITOS!$A:$A,REGOLITOS!H:H)</f>
        <v>#N/A</v>
      </c>
      <c r="I960" s="48" t="str">
        <f t="array" ref="I960">XLOOKUP($D960,REGOLITOS!$A:$A,REGOLITOS!I:I)</f>
        <v>#N/A</v>
      </c>
      <c r="J960" s="48" t="str">
        <f t="array" ref="J960">XLOOKUP($D960,REGOLITOS!$A:$A,REGOLITOS!J:J)</f>
        <v>#N/A</v>
      </c>
      <c r="K960" s="48" t="str">
        <f t="array" ref="K960">XLOOKUP($D960,REGOLITOS!$A:$A,REGOLITOS!K:K)</f>
        <v>#N/A</v>
      </c>
      <c r="L960" s="76"/>
      <c r="M960" s="5" t="s">
        <v>1080</v>
      </c>
      <c r="N960" s="5" t="s">
        <v>1080</v>
      </c>
      <c r="O960" s="5" t="s">
        <v>1080</v>
      </c>
      <c r="P960" s="5" t="s">
        <v>1080</v>
      </c>
      <c r="Q960" s="5" t="s">
        <v>1080</v>
      </c>
      <c r="X960" s="71">
        <f t="shared" si="5"/>
        <v>0</v>
      </c>
      <c r="Y960" s="5" t="b">
        <v>0</v>
      </c>
    </row>
    <row r="961">
      <c r="B961" s="5" t="str">
        <f t="array" ref="B961">XLOOKUP(A961, CURSOS!A:A, CURSOS!B:B)</f>
        <v>#N/A</v>
      </c>
      <c r="C961" s="75" t="str">
        <f t="array" ref="C961">XLOOKUP(A961, CURSOS!A:A, CURSOS!C:C)</f>
        <v>#N/A</v>
      </c>
      <c r="D961" s="70" t="e">
        <v>#N/A</v>
      </c>
      <c r="E961" s="48"/>
      <c r="F961" s="48" t="str">
        <f t="array" ref="F961">XLOOKUP($D961,REGOLITOS!$A:$A,REGOLITOS!F:F)</f>
        <v>#N/A</v>
      </c>
      <c r="G961" s="48" t="str">
        <f t="array" ref="G961">XLOOKUP($D961,REGOLITOS!$A:$A,REGOLITOS!G:G)</f>
        <v>#N/A</v>
      </c>
      <c r="H961" s="48" t="str">
        <f t="array" ref="H961">XLOOKUP($D961,REGOLITOS!$A:$A,REGOLITOS!H:H)</f>
        <v>#N/A</v>
      </c>
      <c r="I961" s="48" t="str">
        <f t="array" ref="I961">XLOOKUP($D961,REGOLITOS!$A:$A,REGOLITOS!I:I)</f>
        <v>#N/A</v>
      </c>
      <c r="J961" s="48" t="str">
        <f t="array" ref="J961">XLOOKUP($D961,REGOLITOS!$A:$A,REGOLITOS!J:J)</f>
        <v>#N/A</v>
      </c>
      <c r="K961" s="48" t="str">
        <f t="array" ref="K961">XLOOKUP($D961,REGOLITOS!$A:$A,REGOLITOS!K:K)</f>
        <v>#N/A</v>
      </c>
      <c r="L961" s="76"/>
      <c r="M961" s="5" t="s">
        <v>1080</v>
      </c>
      <c r="N961" s="5" t="s">
        <v>1080</v>
      </c>
      <c r="O961" s="5" t="s">
        <v>1080</v>
      </c>
      <c r="P961" s="5" t="s">
        <v>1080</v>
      </c>
      <c r="Q961" s="5" t="s">
        <v>1080</v>
      </c>
      <c r="X961" s="71">
        <f t="shared" si="5"/>
        <v>0</v>
      </c>
      <c r="Y961" s="5" t="b">
        <v>0</v>
      </c>
    </row>
    <row r="962">
      <c r="B962" s="5" t="str">
        <f t="array" ref="B962">XLOOKUP(A962, CURSOS!A:A, CURSOS!B:B)</f>
        <v>#N/A</v>
      </c>
      <c r="C962" s="75" t="str">
        <f t="array" ref="C962">XLOOKUP(A962, CURSOS!A:A, CURSOS!C:C)</f>
        <v>#N/A</v>
      </c>
      <c r="D962" s="70" t="e">
        <v>#N/A</v>
      </c>
      <c r="E962" s="48"/>
      <c r="F962" s="48" t="str">
        <f t="array" ref="F962">XLOOKUP($D962,REGOLITOS!$A:$A,REGOLITOS!F:F)</f>
        <v>#N/A</v>
      </c>
      <c r="G962" s="48" t="str">
        <f t="array" ref="G962">XLOOKUP($D962,REGOLITOS!$A:$A,REGOLITOS!G:G)</f>
        <v>#N/A</v>
      </c>
      <c r="H962" s="48" t="str">
        <f t="array" ref="H962">XLOOKUP($D962,REGOLITOS!$A:$A,REGOLITOS!H:H)</f>
        <v>#N/A</v>
      </c>
      <c r="I962" s="48" t="str">
        <f t="array" ref="I962">XLOOKUP($D962,REGOLITOS!$A:$A,REGOLITOS!I:I)</f>
        <v>#N/A</v>
      </c>
      <c r="J962" s="48" t="str">
        <f t="array" ref="J962">XLOOKUP($D962,REGOLITOS!$A:$A,REGOLITOS!J:J)</f>
        <v>#N/A</v>
      </c>
      <c r="K962" s="48" t="str">
        <f t="array" ref="K962">XLOOKUP($D962,REGOLITOS!$A:$A,REGOLITOS!K:K)</f>
        <v>#N/A</v>
      </c>
      <c r="L962" s="76"/>
      <c r="M962" s="5" t="s">
        <v>1080</v>
      </c>
      <c r="N962" s="5" t="s">
        <v>1080</v>
      </c>
      <c r="O962" s="5" t="s">
        <v>1080</v>
      </c>
      <c r="P962" s="5" t="s">
        <v>1080</v>
      </c>
      <c r="Q962" s="5" t="s">
        <v>1080</v>
      </c>
      <c r="X962" s="71">
        <f t="shared" si="5"/>
        <v>0</v>
      </c>
      <c r="Y962" s="5" t="b">
        <v>0</v>
      </c>
    </row>
    <row r="963">
      <c r="B963" s="5" t="str">
        <f t="array" ref="B963">XLOOKUP(A963, CURSOS!A:A, CURSOS!B:B)</f>
        <v>#N/A</v>
      </c>
      <c r="C963" s="75" t="str">
        <f t="array" ref="C963">XLOOKUP(A963, CURSOS!A:A, CURSOS!C:C)</f>
        <v>#N/A</v>
      </c>
      <c r="D963" s="70" t="e">
        <v>#N/A</v>
      </c>
      <c r="E963" s="48"/>
      <c r="F963" s="48" t="str">
        <f t="array" ref="F963">XLOOKUP($D963,REGOLITOS!$A:$A,REGOLITOS!F:F)</f>
        <v>#N/A</v>
      </c>
      <c r="G963" s="48" t="str">
        <f t="array" ref="G963">XLOOKUP($D963,REGOLITOS!$A:$A,REGOLITOS!G:G)</f>
        <v>#N/A</v>
      </c>
      <c r="H963" s="48" t="str">
        <f t="array" ref="H963">XLOOKUP($D963,REGOLITOS!$A:$A,REGOLITOS!H:H)</f>
        <v>#N/A</v>
      </c>
      <c r="I963" s="48" t="str">
        <f t="array" ref="I963">XLOOKUP($D963,REGOLITOS!$A:$A,REGOLITOS!I:I)</f>
        <v>#N/A</v>
      </c>
      <c r="J963" s="48" t="str">
        <f t="array" ref="J963">XLOOKUP($D963,REGOLITOS!$A:$A,REGOLITOS!J:J)</f>
        <v>#N/A</v>
      </c>
      <c r="K963" s="48" t="str">
        <f t="array" ref="K963">XLOOKUP($D963,REGOLITOS!$A:$A,REGOLITOS!K:K)</f>
        <v>#N/A</v>
      </c>
      <c r="L963" s="76"/>
      <c r="M963" s="5" t="s">
        <v>1080</v>
      </c>
      <c r="N963" s="5" t="s">
        <v>1080</v>
      </c>
      <c r="O963" s="5" t="s">
        <v>1080</v>
      </c>
      <c r="P963" s="5" t="s">
        <v>1080</v>
      </c>
      <c r="Q963" s="5" t="s">
        <v>1080</v>
      </c>
      <c r="X963" s="71">
        <f t="shared" si="5"/>
        <v>0</v>
      </c>
      <c r="Y963" s="5" t="b">
        <v>0</v>
      </c>
    </row>
    <row r="964">
      <c r="B964" s="5" t="str">
        <f t="array" ref="B964">XLOOKUP(A964, CURSOS!A:A, CURSOS!B:B)</f>
        <v>#N/A</v>
      </c>
      <c r="C964" s="75" t="str">
        <f t="array" ref="C964">XLOOKUP(A964, CURSOS!A:A, CURSOS!C:C)</f>
        <v>#N/A</v>
      </c>
      <c r="D964" s="70" t="e">
        <v>#N/A</v>
      </c>
      <c r="E964" s="48"/>
      <c r="F964" s="48" t="str">
        <f t="array" ref="F964">XLOOKUP($D964,REGOLITOS!$A:$A,REGOLITOS!F:F)</f>
        <v>#N/A</v>
      </c>
      <c r="G964" s="48" t="str">
        <f t="array" ref="G964">XLOOKUP($D964,REGOLITOS!$A:$A,REGOLITOS!G:G)</f>
        <v>#N/A</v>
      </c>
      <c r="H964" s="48" t="str">
        <f t="array" ref="H964">XLOOKUP($D964,REGOLITOS!$A:$A,REGOLITOS!H:H)</f>
        <v>#N/A</v>
      </c>
      <c r="I964" s="48" t="str">
        <f t="array" ref="I964">XLOOKUP($D964,REGOLITOS!$A:$A,REGOLITOS!I:I)</f>
        <v>#N/A</v>
      </c>
      <c r="J964" s="48" t="str">
        <f t="array" ref="J964">XLOOKUP($D964,REGOLITOS!$A:$A,REGOLITOS!J:J)</f>
        <v>#N/A</v>
      </c>
      <c r="K964" s="48" t="str">
        <f t="array" ref="K964">XLOOKUP($D964,REGOLITOS!$A:$A,REGOLITOS!K:K)</f>
        <v>#N/A</v>
      </c>
      <c r="L964" s="76"/>
      <c r="M964" s="5" t="s">
        <v>1080</v>
      </c>
      <c r="N964" s="5" t="s">
        <v>1080</v>
      </c>
      <c r="O964" s="5" t="s">
        <v>1080</v>
      </c>
      <c r="P964" s="5" t="s">
        <v>1080</v>
      </c>
      <c r="Q964" s="5" t="s">
        <v>1080</v>
      </c>
      <c r="X964" s="71">
        <f t="shared" si="5"/>
        <v>0</v>
      </c>
      <c r="Y964" s="5" t="b">
        <v>0</v>
      </c>
    </row>
    <row r="965">
      <c r="B965" s="5" t="str">
        <f t="array" ref="B965">XLOOKUP(A965, CURSOS!A:A, CURSOS!B:B)</f>
        <v>#N/A</v>
      </c>
      <c r="C965" s="75" t="str">
        <f t="array" ref="C965">XLOOKUP(A965, CURSOS!A:A, CURSOS!C:C)</f>
        <v>#N/A</v>
      </c>
      <c r="D965" s="70" t="e">
        <v>#N/A</v>
      </c>
      <c r="E965" s="48"/>
      <c r="F965" s="48" t="str">
        <f t="array" ref="F965">XLOOKUP($D965,REGOLITOS!$A:$A,REGOLITOS!F:F)</f>
        <v>#N/A</v>
      </c>
      <c r="G965" s="48" t="str">
        <f t="array" ref="G965">XLOOKUP($D965,REGOLITOS!$A:$A,REGOLITOS!G:G)</f>
        <v>#N/A</v>
      </c>
      <c r="H965" s="48" t="str">
        <f t="array" ref="H965">XLOOKUP($D965,REGOLITOS!$A:$A,REGOLITOS!H:H)</f>
        <v>#N/A</v>
      </c>
      <c r="I965" s="48" t="str">
        <f t="array" ref="I965">XLOOKUP($D965,REGOLITOS!$A:$A,REGOLITOS!I:I)</f>
        <v>#N/A</v>
      </c>
      <c r="J965" s="48" t="str">
        <f t="array" ref="J965">XLOOKUP($D965,REGOLITOS!$A:$A,REGOLITOS!J:J)</f>
        <v>#N/A</v>
      </c>
      <c r="K965" s="48" t="str">
        <f t="array" ref="K965">XLOOKUP($D965,REGOLITOS!$A:$A,REGOLITOS!K:K)</f>
        <v>#N/A</v>
      </c>
      <c r="L965" s="76"/>
      <c r="M965" s="5" t="s">
        <v>1080</v>
      </c>
      <c r="N965" s="5" t="s">
        <v>1080</v>
      </c>
      <c r="O965" s="5" t="s">
        <v>1080</v>
      </c>
      <c r="P965" s="5" t="s">
        <v>1080</v>
      </c>
      <c r="Q965" s="5" t="s">
        <v>1080</v>
      </c>
      <c r="X965" s="71">
        <f t="shared" si="5"/>
        <v>0</v>
      </c>
      <c r="Y965" s="5" t="b">
        <v>0</v>
      </c>
    </row>
    <row r="966">
      <c r="B966" s="5" t="str">
        <f t="array" ref="B966">XLOOKUP(A966, CURSOS!A:A, CURSOS!B:B)</f>
        <v>#N/A</v>
      </c>
      <c r="C966" s="75" t="str">
        <f t="array" ref="C966">XLOOKUP(A966, CURSOS!A:A, CURSOS!C:C)</f>
        <v>#N/A</v>
      </c>
      <c r="D966" s="70" t="e">
        <v>#N/A</v>
      </c>
      <c r="E966" s="48"/>
      <c r="F966" s="48" t="str">
        <f t="array" ref="F966">XLOOKUP($D966,REGOLITOS!$A:$A,REGOLITOS!F:F)</f>
        <v>#N/A</v>
      </c>
      <c r="G966" s="48" t="str">
        <f t="array" ref="G966">XLOOKUP($D966,REGOLITOS!$A:$A,REGOLITOS!G:G)</f>
        <v>#N/A</v>
      </c>
      <c r="H966" s="48" t="str">
        <f t="array" ref="H966">XLOOKUP($D966,REGOLITOS!$A:$A,REGOLITOS!H:H)</f>
        <v>#N/A</v>
      </c>
      <c r="I966" s="48" t="str">
        <f t="array" ref="I966">XLOOKUP($D966,REGOLITOS!$A:$A,REGOLITOS!I:I)</f>
        <v>#N/A</v>
      </c>
      <c r="J966" s="48" t="str">
        <f t="array" ref="J966">XLOOKUP($D966,REGOLITOS!$A:$A,REGOLITOS!J:J)</f>
        <v>#N/A</v>
      </c>
      <c r="K966" s="48" t="str">
        <f t="array" ref="K966">XLOOKUP($D966,REGOLITOS!$A:$A,REGOLITOS!K:K)</f>
        <v>#N/A</v>
      </c>
      <c r="L966" s="76"/>
      <c r="M966" s="5" t="s">
        <v>1080</v>
      </c>
      <c r="N966" s="5" t="s">
        <v>1080</v>
      </c>
      <c r="O966" s="5" t="s">
        <v>1080</v>
      </c>
      <c r="P966" s="5" t="s">
        <v>1080</v>
      </c>
      <c r="Q966" s="5" t="s">
        <v>1080</v>
      </c>
      <c r="X966" s="71">
        <f t="shared" si="5"/>
        <v>0</v>
      </c>
      <c r="Y966" s="5" t="b">
        <v>0</v>
      </c>
    </row>
    <row r="967">
      <c r="B967" s="5" t="str">
        <f t="array" ref="B967">XLOOKUP(A967, CURSOS!A:A, CURSOS!B:B)</f>
        <v>#N/A</v>
      </c>
      <c r="C967" s="75" t="str">
        <f t="array" ref="C967">XLOOKUP(A967, CURSOS!A:A, CURSOS!C:C)</f>
        <v>#N/A</v>
      </c>
      <c r="D967" s="70" t="e">
        <v>#N/A</v>
      </c>
      <c r="E967" s="48"/>
      <c r="F967" s="48" t="str">
        <f t="array" ref="F967">XLOOKUP($D967,REGOLITOS!$A:$A,REGOLITOS!F:F)</f>
        <v>#N/A</v>
      </c>
      <c r="G967" s="48" t="str">
        <f t="array" ref="G967">XLOOKUP($D967,REGOLITOS!$A:$A,REGOLITOS!G:G)</f>
        <v>#N/A</v>
      </c>
      <c r="H967" s="48" t="str">
        <f t="array" ref="H967">XLOOKUP($D967,REGOLITOS!$A:$A,REGOLITOS!H:H)</f>
        <v>#N/A</v>
      </c>
      <c r="I967" s="48" t="str">
        <f t="array" ref="I967">XLOOKUP($D967,REGOLITOS!$A:$A,REGOLITOS!I:I)</f>
        <v>#N/A</v>
      </c>
      <c r="J967" s="48" t="str">
        <f t="array" ref="J967">XLOOKUP($D967,REGOLITOS!$A:$A,REGOLITOS!J:J)</f>
        <v>#N/A</v>
      </c>
      <c r="K967" s="48" t="str">
        <f t="array" ref="K967">XLOOKUP($D967,REGOLITOS!$A:$A,REGOLITOS!K:K)</f>
        <v>#N/A</v>
      </c>
      <c r="L967" s="76"/>
      <c r="M967" s="5" t="s">
        <v>1080</v>
      </c>
      <c r="N967" s="5" t="s">
        <v>1080</v>
      </c>
      <c r="O967" s="5" t="s">
        <v>1080</v>
      </c>
      <c r="P967" s="5" t="s">
        <v>1080</v>
      </c>
      <c r="Q967" s="5" t="s">
        <v>1080</v>
      </c>
      <c r="X967" s="71">
        <f t="shared" si="5"/>
        <v>0</v>
      </c>
      <c r="Y967" s="5" t="b">
        <v>0</v>
      </c>
    </row>
    <row r="968">
      <c r="B968" s="5" t="str">
        <f t="array" ref="B968">XLOOKUP(A968, CURSOS!A:A, CURSOS!B:B)</f>
        <v>#N/A</v>
      </c>
      <c r="C968" s="75" t="str">
        <f t="array" ref="C968">XLOOKUP(A968, CURSOS!A:A, CURSOS!C:C)</f>
        <v>#N/A</v>
      </c>
      <c r="D968" s="70" t="e">
        <v>#N/A</v>
      </c>
      <c r="E968" s="48"/>
      <c r="F968" s="48" t="str">
        <f t="array" ref="F968">XLOOKUP($D968,REGOLITOS!$A:$A,REGOLITOS!F:F)</f>
        <v>#N/A</v>
      </c>
      <c r="G968" s="48" t="str">
        <f t="array" ref="G968">XLOOKUP($D968,REGOLITOS!$A:$A,REGOLITOS!G:G)</f>
        <v>#N/A</v>
      </c>
      <c r="H968" s="48" t="str">
        <f t="array" ref="H968">XLOOKUP($D968,REGOLITOS!$A:$A,REGOLITOS!H:H)</f>
        <v>#N/A</v>
      </c>
      <c r="I968" s="48" t="str">
        <f t="array" ref="I968">XLOOKUP($D968,REGOLITOS!$A:$A,REGOLITOS!I:I)</f>
        <v>#N/A</v>
      </c>
      <c r="J968" s="48" t="str">
        <f t="array" ref="J968">XLOOKUP($D968,REGOLITOS!$A:$A,REGOLITOS!J:J)</f>
        <v>#N/A</v>
      </c>
      <c r="K968" s="48" t="str">
        <f t="array" ref="K968">XLOOKUP($D968,REGOLITOS!$A:$A,REGOLITOS!K:K)</f>
        <v>#N/A</v>
      </c>
      <c r="L968" s="76"/>
      <c r="M968" s="5" t="s">
        <v>1080</v>
      </c>
      <c r="N968" s="5" t="s">
        <v>1080</v>
      </c>
      <c r="O968" s="5" t="s">
        <v>1080</v>
      </c>
      <c r="P968" s="5" t="s">
        <v>1080</v>
      </c>
      <c r="Q968" s="5" t="s">
        <v>1080</v>
      </c>
      <c r="X968" s="71">
        <f t="shared" si="5"/>
        <v>0</v>
      </c>
      <c r="Y968" s="5" t="b">
        <v>0</v>
      </c>
    </row>
    <row r="969">
      <c r="B969" s="5" t="str">
        <f t="array" ref="B969">XLOOKUP(A969, CURSOS!A:A, CURSOS!B:B)</f>
        <v>#N/A</v>
      </c>
      <c r="C969" s="75" t="str">
        <f t="array" ref="C969">XLOOKUP(A969, CURSOS!A:A, CURSOS!C:C)</f>
        <v>#N/A</v>
      </c>
      <c r="D969" s="70" t="e">
        <v>#N/A</v>
      </c>
      <c r="E969" s="48"/>
      <c r="F969" s="48" t="str">
        <f t="array" ref="F969">XLOOKUP($D969,REGOLITOS!$A:$A,REGOLITOS!F:F)</f>
        <v>#N/A</v>
      </c>
      <c r="G969" s="48" t="str">
        <f t="array" ref="G969">XLOOKUP($D969,REGOLITOS!$A:$A,REGOLITOS!G:G)</f>
        <v>#N/A</v>
      </c>
      <c r="H969" s="48" t="str">
        <f t="array" ref="H969">XLOOKUP($D969,REGOLITOS!$A:$A,REGOLITOS!H:H)</f>
        <v>#N/A</v>
      </c>
      <c r="I969" s="48" t="str">
        <f t="array" ref="I969">XLOOKUP($D969,REGOLITOS!$A:$A,REGOLITOS!I:I)</f>
        <v>#N/A</v>
      </c>
      <c r="J969" s="48" t="str">
        <f t="array" ref="J969">XLOOKUP($D969,REGOLITOS!$A:$A,REGOLITOS!J:J)</f>
        <v>#N/A</v>
      </c>
      <c r="K969" s="48" t="str">
        <f t="array" ref="K969">XLOOKUP($D969,REGOLITOS!$A:$A,REGOLITOS!K:K)</f>
        <v>#N/A</v>
      </c>
      <c r="L969" s="76"/>
      <c r="M969" s="5" t="s">
        <v>1080</v>
      </c>
      <c r="N969" s="5" t="s">
        <v>1080</v>
      </c>
      <c r="O969" s="5" t="s">
        <v>1080</v>
      </c>
      <c r="P969" s="5" t="s">
        <v>1080</v>
      </c>
      <c r="Q969" s="5" t="s">
        <v>1080</v>
      </c>
      <c r="X969" s="71">
        <f t="shared" si="5"/>
        <v>0</v>
      </c>
      <c r="Y969" s="5" t="b">
        <v>0</v>
      </c>
    </row>
    <row r="970">
      <c r="B970" s="5" t="str">
        <f t="array" ref="B970">XLOOKUP(A970, CURSOS!A:A, CURSOS!B:B)</f>
        <v>#N/A</v>
      </c>
      <c r="C970" s="75" t="str">
        <f t="array" ref="C970">XLOOKUP(A970, CURSOS!A:A, CURSOS!C:C)</f>
        <v>#N/A</v>
      </c>
      <c r="D970" s="70" t="e">
        <v>#N/A</v>
      </c>
      <c r="E970" s="48"/>
      <c r="F970" s="48" t="str">
        <f t="array" ref="F970">XLOOKUP($D970,REGOLITOS!$A:$A,REGOLITOS!F:F)</f>
        <v>#N/A</v>
      </c>
      <c r="G970" s="48" t="str">
        <f t="array" ref="G970">XLOOKUP($D970,REGOLITOS!$A:$A,REGOLITOS!G:G)</f>
        <v>#N/A</v>
      </c>
      <c r="H970" s="48" t="str">
        <f t="array" ref="H970">XLOOKUP($D970,REGOLITOS!$A:$A,REGOLITOS!H:H)</f>
        <v>#N/A</v>
      </c>
      <c r="I970" s="48" t="str">
        <f t="array" ref="I970">XLOOKUP($D970,REGOLITOS!$A:$A,REGOLITOS!I:I)</f>
        <v>#N/A</v>
      </c>
      <c r="J970" s="48" t="str">
        <f t="array" ref="J970">XLOOKUP($D970,REGOLITOS!$A:$A,REGOLITOS!J:J)</f>
        <v>#N/A</v>
      </c>
      <c r="K970" s="48" t="str">
        <f t="array" ref="K970">XLOOKUP($D970,REGOLITOS!$A:$A,REGOLITOS!K:K)</f>
        <v>#N/A</v>
      </c>
      <c r="L970" s="76"/>
      <c r="M970" s="5" t="s">
        <v>1080</v>
      </c>
      <c r="N970" s="5" t="s">
        <v>1080</v>
      </c>
      <c r="O970" s="5" t="s">
        <v>1080</v>
      </c>
      <c r="P970" s="5" t="s">
        <v>1080</v>
      </c>
      <c r="Q970" s="5" t="s">
        <v>1080</v>
      </c>
      <c r="X970" s="71">
        <f t="shared" si="5"/>
        <v>0</v>
      </c>
      <c r="Y970" s="5" t="b">
        <v>0</v>
      </c>
    </row>
    <row r="971">
      <c r="B971" s="5" t="str">
        <f t="array" ref="B971">XLOOKUP(A971, CURSOS!A:A, CURSOS!B:B)</f>
        <v>#N/A</v>
      </c>
      <c r="C971" s="75" t="str">
        <f t="array" ref="C971">XLOOKUP(A971, CURSOS!A:A, CURSOS!C:C)</f>
        <v>#N/A</v>
      </c>
      <c r="D971" s="70" t="e">
        <v>#N/A</v>
      </c>
      <c r="E971" s="48"/>
      <c r="F971" s="48" t="str">
        <f t="array" ref="F971">XLOOKUP($D971,REGOLITOS!$A:$A,REGOLITOS!F:F)</f>
        <v>#N/A</v>
      </c>
      <c r="G971" s="48" t="str">
        <f t="array" ref="G971">XLOOKUP($D971,REGOLITOS!$A:$A,REGOLITOS!G:G)</f>
        <v>#N/A</v>
      </c>
      <c r="H971" s="48" t="str">
        <f t="array" ref="H971">XLOOKUP($D971,REGOLITOS!$A:$A,REGOLITOS!H:H)</f>
        <v>#N/A</v>
      </c>
      <c r="I971" s="48" t="str">
        <f t="array" ref="I971">XLOOKUP($D971,REGOLITOS!$A:$A,REGOLITOS!I:I)</f>
        <v>#N/A</v>
      </c>
      <c r="J971" s="48" t="str">
        <f t="array" ref="J971">XLOOKUP($D971,REGOLITOS!$A:$A,REGOLITOS!J:J)</f>
        <v>#N/A</v>
      </c>
      <c r="K971" s="48" t="str">
        <f t="array" ref="K971">XLOOKUP($D971,REGOLITOS!$A:$A,REGOLITOS!K:K)</f>
        <v>#N/A</v>
      </c>
      <c r="L971" s="76"/>
      <c r="M971" s="5" t="s">
        <v>1080</v>
      </c>
      <c r="N971" s="5" t="s">
        <v>1080</v>
      </c>
      <c r="O971" s="5" t="s">
        <v>1080</v>
      </c>
      <c r="P971" s="5" t="s">
        <v>1080</v>
      </c>
      <c r="Q971" s="5" t="s">
        <v>1080</v>
      </c>
      <c r="X971" s="71">
        <f t="shared" si="5"/>
        <v>0</v>
      </c>
      <c r="Y971" s="5" t="b">
        <v>0</v>
      </c>
    </row>
    <row r="972">
      <c r="B972" s="5" t="str">
        <f t="array" ref="B972">XLOOKUP(A972, CURSOS!A:A, CURSOS!B:B)</f>
        <v>#N/A</v>
      </c>
      <c r="C972" s="75" t="str">
        <f t="array" ref="C972">XLOOKUP(A972, CURSOS!A:A, CURSOS!C:C)</f>
        <v>#N/A</v>
      </c>
      <c r="D972" s="70" t="e">
        <v>#N/A</v>
      </c>
      <c r="E972" s="48"/>
      <c r="F972" s="48" t="str">
        <f t="array" ref="F972">XLOOKUP($D972,REGOLITOS!$A:$A,REGOLITOS!F:F)</f>
        <v>#N/A</v>
      </c>
      <c r="G972" s="48" t="str">
        <f t="array" ref="G972">XLOOKUP($D972,REGOLITOS!$A:$A,REGOLITOS!G:G)</f>
        <v>#N/A</v>
      </c>
      <c r="H972" s="48" t="str">
        <f t="array" ref="H972">XLOOKUP($D972,REGOLITOS!$A:$A,REGOLITOS!H:H)</f>
        <v>#N/A</v>
      </c>
      <c r="I972" s="48" t="str">
        <f t="array" ref="I972">XLOOKUP($D972,REGOLITOS!$A:$A,REGOLITOS!I:I)</f>
        <v>#N/A</v>
      </c>
      <c r="J972" s="48" t="str">
        <f t="array" ref="J972">XLOOKUP($D972,REGOLITOS!$A:$A,REGOLITOS!J:J)</f>
        <v>#N/A</v>
      </c>
      <c r="K972" s="48" t="str">
        <f t="array" ref="K972">XLOOKUP($D972,REGOLITOS!$A:$A,REGOLITOS!K:K)</f>
        <v>#N/A</v>
      </c>
      <c r="L972" s="76"/>
      <c r="M972" s="5" t="s">
        <v>1080</v>
      </c>
      <c r="N972" s="5" t="s">
        <v>1080</v>
      </c>
      <c r="O972" s="5" t="s">
        <v>1080</v>
      </c>
      <c r="P972" s="5" t="s">
        <v>1080</v>
      </c>
      <c r="Q972" s="5" t="s">
        <v>1080</v>
      </c>
      <c r="X972" s="71">
        <f t="shared" si="5"/>
        <v>0</v>
      </c>
      <c r="Y972" s="5" t="b">
        <v>0</v>
      </c>
    </row>
    <row r="973">
      <c r="B973" s="5" t="str">
        <f t="array" ref="B973">XLOOKUP(A973, CURSOS!A:A, CURSOS!B:B)</f>
        <v>#N/A</v>
      </c>
      <c r="C973" s="75" t="str">
        <f t="array" ref="C973">XLOOKUP(A973, CURSOS!A:A, CURSOS!C:C)</f>
        <v>#N/A</v>
      </c>
      <c r="D973" s="70" t="e">
        <v>#N/A</v>
      </c>
      <c r="E973" s="48"/>
      <c r="F973" s="48" t="str">
        <f t="array" ref="F973">XLOOKUP($D973,REGOLITOS!$A:$A,REGOLITOS!F:F)</f>
        <v>#N/A</v>
      </c>
      <c r="G973" s="48" t="str">
        <f t="array" ref="G973">XLOOKUP($D973,REGOLITOS!$A:$A,REGOLITOS!G:G)</f>
        <v>#N/A</v>
      </c>
      <c r="H973" s="48" t="str">
        <f t="array" ref="H973">XLOOKUP($D973,REGOLITOS!$A:$A,REGOLITOS!H:H)</f>
        <v>#N/A</v>
      </c>
      <c r="I973" s="48" t="str">
        <f t="array" ref="I973">XLOOKUP($D973,REGOLITOS!$A:$A,REGOLITOS!I:I)</f>
        <v>#N/A</v>
      </c>
      <c r="J973" s="48" t="str">
        <f t="array" ref="J973">XLOOKUP($D973,REGOLITOS!$A:$A,REGOLITOS!J:J)</f>
        <v>#N/A</v>
      </c>
      <c r="K973" s="48" t="str">
        <f t="array" ref="K973">XLOOKUP($D973,REGOLITOS!$A:$A,REGOLITOS!K:K)</f>
        <v>#N/A</v>
      </c>
      <c r="L973" s="76"/>
      <c r="M973" s="5" t="s">
        <v>1080</v>
      </c>
      <c r="N973" s="5" t="s">
        <v>1080</v>
      </c>
      <c r="O973" s="5" t="s">
        <v>1080</v>
      </c>
      <c r="P973" s="5" t="s">
        <v>1080</v>
      </c>
      <c r="Q973" s="5" t="s">
        <v>1080</v>
      </c>
      <c r="X973" s="71">
        <f t="shared" si="5"/>
        <v>0</v>
      </c>
      <c r="Y973" s="5" t="b">
        <v>0</v>
      </c>
    </row>
    <row r="974">
      <c r="B974" s="5" t="str">
        <f t="array" ref="B974">XLOOKUP(A974, CURSOS!A:A, CURSOS!B:B)</f>
        <v>#N/A</v>
      </c>
      <c r="C974" s="75" t="str">
        <f t="array" ref="C974">XLOOKUP(A974, CURSOS!A:A, CURSOS!C:C)</f>
        <v>#N/A</v>
      </c>
      <c r="D974" s="70" t="e">
        <v>#N/A</v>
      </c>
      <c r="E974" s="48"/>
      <c r="F974" s="48" t="str">
        <f t="array" ref="F974">XLOOKUP($D974,REGOLITOS!$A:$A,REGOLITOS!F:F)</f>
        <v>#N/A</v>
      </c>
      <c r="G974" s="48" t="str">
        <f t="array" ref="G974">XLOOKUP($D974,REGOLITOS!$A:$A,REGOLITOS!G:G)</f>
        <v>#N/A</v>
      </c>
      <c r="H974" s="48" t="str">
        <f t="array" ref="H974">XLOOKUP($D974,REGOLITOS!$A:$A,REGOLITOS!H:H)</f>
        <v>#N/A</v>
      </c>
      <c r="I974" s="48" t="str">
        <f t="array" ref="I974">XLOOKUP($D974,REGOLITOS!$A:$A,REGOLITOS!I:I)</f>
        <v>#N/A</v>
      </c>
      <c r="J974" s="48" t="str">
        <f t="array" ref="J974">XLOOKUP($D974,REGOLITOS!$A:$A,REGOLITOS!J:J)</f>
        <v>#N/A</v>
      </c>
      <c r="K974" s="48" t="str">
        <f t="array" ref="K974">XLOOKUP($D974,REGOLITOS!$A:$A,REGOLITOS!K:K)</f>
        <v>#N/A</v>
      </c>
      <c r="L974" s="76"/>
      <c r="M974" s="5" t="s">
        <v>1080</v>
      </c>
      <c r="N974" s="5" t="s">
        <v>1080</v>
      </c>
      <c r="O974" s="5" t="s">
        <v>1080</v>
      </c>
      <c r="P974" s="5" t="s">
        <v>1080</v>
      </c>
      <c r="Q974" s="5" t="s">
        <v>1080</v>
      </c>
      <c r="X974" s="71">
        <f t="shared" si="5"/>
        <v>0</v>
      </c>
      <c r="Y974" s="5" t="b">
        <v>0</v>
      </c>
    </row>
    <row r="975">
      <c r="B975" s="5" t="str">
        <f t="array" ref="B975">XLOOKUP(A975, CURSOS!A:A, CURSOS!B:B)</f>
        <v>#N/A</v>
      </c>
      <c r="C975" s="75" t="str">
        <f t="array" ref="C975">XLOOKUP(A975, CURSOS!A:A, CURSOS!C:C)</f>
        <v>#N/A</v>
      </c>
      <c r="D975" s="70" t="e">
        <v>#N/A</v>
      </c>
      <c r="E975" s="48"/>
      <c r="F975" s="48" t="str">
        <f t="array" ref="F975">XLOOKUP($D975,REGOLITOS!$A:$A,REGOLITOS!F:F)</f>
        <v>#N/A</v>
      </c>
      <c r="G975" s="48" t="str">
        <f t="array" ref="G975">XLOOKUP($D975,REGOLITOS!$A:$A,REGOLITOS!G:G)</f>
        <v>#N/A</v>
      </c>
      <c r="H975" s="48" t="str">
        <f t="array" ref="H975">XLOOKUP($D975,REGOLITOS!$A:$A,REGOLITOS!H:H)</f>
        <v>#N/A</v>
      </c>
      <c r="I975" s="48" t="str">
        <f t="array" ref="I975">XLOOKUP($D975,REGOLITOS!$A:$A,REGOLITOS!I:I)</f>
        <v>#N/A</v>
      </c>
      <c r="J975" s="48" t="str">
        <f t="array" ref="J975">XLOOKUP($D975,REGOLITOS!$A:$A,REGOLITOS!J:J)</f>
        <v>#N/A</v>
      </c>
      <c r="K975" s="48" t="str">
        <f t="array" ref="K975">XLOOKUP($D975,REGOLITOS!$A:$A,REGOLITOS!K:K)</f>
        <v>#N/A</v>
      </c>
      <c r="L975" s="76"/>
      <c r="M975" s="5" t="s">
        <v>1080</v>
      </c>
      <c r="N975" s="5" t="s">
        <v>1080</v>
      </c>
      <c r="O975" s="5" t="s">
        <v>1080</v>
      </c>
      <c r="P975" s="5" t="s">
        <v>1080</v>
      </c>
      <c r="Q975" s="5" t="s">
        <v>1080</v>
      </c>
      <c r="X975" s="71">
        <f t="shared" si="5"/>
        <v>0</v>
      </c>
      <c r="Y975" s="5" t="b">
        <v>0</v>
      </c>
    </row>
    <row r="976">
      <c r="B976" s="5" t="str">
        <f t="array" ref="B976">XLOOKUP(A976, CURSOS!A:A, CURSOS!B:B)</f>
        <v>#N/A</v>
      </c>
      <c r="C976" s="75" t="str">
        <f t="array" ref="C976">XLOOKUP(A976, CURSOS!A:A, CURSOS!C:C)</f>
        <v>#N/A</v>
      </c>
      <c r="D976" s="70" t="e">
        <v>#N/A</v>
      </c>
      <c r="E976" s="48"/>
      <c r="F976" s="48" t="str">
        <f t="array" ref="F976">XLOOKUP($D976,REGOLITOS!$A:$A,REGOLITOS!F:F)</f>
        <v>#N/A</v>
      </c>
      <c r="G976" s="48" t="str">
        <f t="array" ref="G976">XLOOKUP($D976,REGOLITOS!$A:$A,REGOLITOS!G:G)</f>
        <v>#N/A</v>
      </c>
      <c r="H976" s="48" t="str">
        <f t="array" ref="H976">XLOOKUP($D976,REGOLITOS!$A:$A,REGOLITOS!H:H)</f>
        <v>#N/A</v>
      </c>
      <c r="I976" s="48" t="str">
        <f t="array" ref="I976">XLOOKUP($D976,REGOLITOS!$A:$A,REGOLITOS!I:I)</f>
        <v>#N/A</v>
      </c>
      <c r="J976" s="48" t="str">
        <f t="array" ref="J976">XLOOKUP($D976,REGOLITOS!$A:$A,REGOLITOS!J:J)</f>
        <v>#N/A</v>
      </c>
      <c r="K976" s="48" t="str">
        <f t="array" ref="K976">XLOOKUP($D976,REGOLITOS!$A:$A,REGOLITOS!K:K)</f>
        <v>#N/A</v>
      </c>
      <c r="L976" s="76"/>
      <c r="M976" s="5" t="s">
        <v>1080</v>
      </c>
      <c r="N976" s="5" t="s">
        <v>1080</v>
      </c>
      <c r="O976" s="5" t="s">
        <v>1080</v>
      </c>
      <c r="P976" s="5" t="s">
        <v>1080</v>
      </c>
      <c r="Q976" s="5" t="s">
        <v>1080</v>
      </c>
      <c r="X976" s="71">
        <f t="shared" si="5"/>
        <v>0</v>
      </c>
      <c r="Y976" s="5" t="b">
        <v>0</v>
      </c>
    </row>
    <row r="977">
      <c r="B977" s="5" t="str">
        <f t="array" ref="B977">XLOOKUP(A977, CURSOS!A:A, CURSOS!B:B)</f>
        <v>#N/A</v>
      </c>
      <c r="C977" s="75" t="str">
        <f t="array" ref="C977">XLOOKUP(A977, CURSOS!A:A, CURSOS!C:C)</f>
        <v>#N/A</v>
      </c>
      <c r="D977" s="70" t="e">
        <v>#N/A</v>
      </c>
      <c r="E977" s="48"/>
      <c r="F977" s="48" t="str">
        <f t="array" ref="F977">XLOOKUP($D977,REGOLITOS!$A:$A,REGOLITOS!F:F)</f>
        <v>#N/A</v>
      </c>
      <c r="G977" s="48" t="str">
        <f t="array" ref="G977">XLOOKUP($D977,REGOLITOS!$A:$A,REGOLITOS!G:G)</f>
        <v>#N/A</v>
      </c>
      <c r="H977" s="48" t="str">
        <f t="array" ref="H977">XLOOKUP($D977,REGOLITOS!$A:$A,REGOLITOS!H:H)</f>
        <v>#N/A</v>
      </c>
      <c r="I977" s="48" t="str">
        <f t="array" ref="I977">XLOOKUP($D977,REGOLITOS!$A:$A,REGOLITOS!I:I)</f>
        <v>#N/A</v>
      </c>
      <c r="J977" s="48" t="str">
        <f t="array" ref="J977">XLOOKUP($D977,REGOLITOS!$A:$A,REGOLITOS!J:J)</f>
        <v>#N/A</v>
      </c>
      <c r="K977" s="48" t="str">
        <f t="array" ref="K977">XLOOKUP($D977,REGOLITOS!$A:$A,REGOLITOS!K:K)</f>
        <v>#N/A</v>
      </c>
      <c r="L977" s="76"/>
      <c r="M977" s="5" t="s">
        <v>1080</v>
      </c>
      <c r="N977" s="5" t="s">
        <v>1080</v>
      </c>
      <c r="O977" s="5" t="s">
        <v>1080</v>
      </c>
      <c r="P977" s="5" t="s">
        <v>1080</v>
      </c>
      <c r="Q977" s="5" t="s">
        <v>1080</v>
      </c>
      <c r="X977" s="71">
        <f t="shared" si="5"/>
        <v>0</v>
      </c>
      <c r="Y977" s="5" t="b">
        <v>0</v>
      </c>
    </row>
    <row r="978">
      <c r="B978" s="5" t="str">
        <f t="array" ref="B978">XLOOKUP(A978, CURSOS!A:A, CURSOS!B:B)</f>
        <v>#N/A</v>
      </c>
      <c r="C978" s="75" t="str">
        <f t="array" ref="C978">XLOOKUP(A978, CURSOS!A:A, CURSOS!C:C)</f>
        <v>#N/A</v>
      </c>
      <c r="D978" s="70" t="e">
        <v>#N/A</v>
      </c>
      <c r="E978" s="48"/>
      <c r="F978" s="48" t="str">
        <f t="array" ref="F978">XLOOKUP($D978,REGOLITOS!$A:$A,REGOLITOS!F:F)</f>
        <v>#N/A</v>
      </c>
      <c r="G978" s="48" t="str">
        <f t="array" ref="G978">XLOOKUP($D978,REGOLITOS!$A:$A,REGOLITOS!G:G)</f>
        <v>#N/A</v>
      </c>
      <c r="H978" s="48" t="str">
        <f t="array" ref="H978">XLOOKUP($D978,REGOLITOS!$A:$A,REGOLITOS!H:H)</f>
        <v>#N/A</v>
      </c>
      <c r="I978" s="48" t="str">
        <f t="array" ref="I978">XLOOKUP($D978,REGOLITOS!$A:$A,REGOLITOS!I:I)</f>
        <v>#N/A</v>
      </c>
      <c r="J978" s="48" t="str">
        <f t="array" ref="J978">XLOOKUP($D978,REGOLITOS!$A:$A,REGOLITOS!J:J)</f>
        <v>#N/A</v>
      </c>
      <c r="K978" s="48" t="str">
        <f t="array" ref="K978">XLOOKUP($D978,REGOLITOS!$A:$A,REGOLITOS!K:K)</f>
        <v>#N/A</v>
      </c>
      <c r="L978" s="76"/>
      <c r="M978" s="5" t="s">
        <v>1080</v>
      </c>
      <c r="N978" s="5" t="s">
        <v>1080</v>
      </c>
      <c r="O978" s="5" t="s">
        <v>1080</v>
      </c>
      <c r="P978" s="5" t="s">
        <v>1080</v>
      </c>
      <c r="Q978" s="5" t="s">
        <v>1080</v>
      </c>
      <c r="X978" s="71">
        <f t="shared" si="5"/>
        <v>0</v>
      </c>
      <c r="Y978" s="5" t="b">
        <v>0</v>
      </c>
    </row>
    <row r="979">
      <c r="B979" s="5" t="str">
        <f t="array" ref="B979">XLOOKUP(A979, CURSOS!A:A, CURSOS!B:B)</f>
        <v>#N/A</v>
      </c>
      <c r="C979" s="75" t="str">
        <f t="array" ref="C979">XLOOKUP(A979, CURSOS!A:A, CURSOS!C:C)</f>
        <v>#N/A</v>
      </c>
      <c r="D979" s="70" t="e">
        <v>#N/A</v>
      </c>
      <c r="E979" s="48"/>
      <c r="F979" s="48" t="str">
        <f t="array" ref="F979">XLOOKUP($D979,REGOLITOS!$A:$A,REGOLITOS!F:F)</f>
        <v>#N/A</v>
      </c>
      <c r="G979" s="48" t="str">
        <f t="array" ref="G979">XLOOKUP($D979,REGOLITOS!$A:$A,REGOLITOS!G:G)</f>
        <v>#N/A</v>
      </c>
      <c r="H979" s="48" t="str">
        <f t="array" ref="H979">XLOOKUP($D979,REGOLITOS!$A:$A,REGOLITOS!H:H)</f>
        <v>#N/A</v>
      </c>
      <c r="I979" s="48" t="str">
        <f t="array" ref="I979">XLOOKUP($D979,REGOLITOS!$A:$A,REGOLITOS!I:I)</f>
        <v>#N/A</v>
      </c>
      <c r="J979" s="48" t="str">
        <f t="array" ref="J979">XLOOKUP($D979,REGOLITOS!$A:$A,REGOLITOS!J:J)</f>
        <v>#N/A</v>
      </c>
      <c r="K979" s="48" t="str">
        <f t="array" ref="K979">XLOOKUP($D979,REGOLITOS!$A:$A,REGOLITOS!K:K)</f>
        <v>#N/A</v>
      </c>
      <c r="L979" s="76"/>
      <c r="M979" s="5" t="s">
        <v>1080</v>
      </c>
      <c r="N979" s="5" t="s">
        <v>1080</v>
      </c>
      <c r="O979" s="5" t="s">
        <v>1080</v>
      </c>
      <c r="P979" s="5" t="s">
        <v>1080</v>
      </c>
      <c r="Q979" s="5" t="s">
        <v>1080</v>
      </c>
      <c r="X979" s="71">
        <f t="shared" si="5"/>
        <v>0</v>
      </c>
      <c r="Y979" s="5" t="b">
        <v>0</v>
      </c>
    </row>
    <row r="980">
      <c r="B980" s="5" t="str">
        <f t="array" ref="B980">XLOOKUP(A980, CURSOS!A:A, CURSOS!B:B)</f>
        <v>#N/A</v>
      </c>
      <c r="C980" s="75" t="str">
        <f t="array" ref="C980">XLOOKUP(A980, CURSOS!A:A, CURSOS!C:C)</f>
        <v>#N/A</v>
      </c>
      <c r="D980" s="70" t="e">
        <v>#N/A</v>
      </c>
      <c r="E980" s="48"/>
      <c r="F980" s="48" t="str">
        <f t="array" ref="F980">XLOOKUP($D980,REGOLITOS!$A:$A,REGOLITOS!F:F)</f>
        <v>#N/A</v>
      </c>
      <c r="G980" s="48" t="str">
        <f t="array" ref="G980">XLOOKUP($D980,REGOLITOS!$A:$A,REGOLITOS!G:G)</f>
        <v>#N/A</v>
      </c>
      <c r="H980" s="48" t="str">
        <f t="array" ref="H980">XLOOKUP($D980,REGOLITOS!$A:$A,REGOLITOS!H:H)</f>
        <v>#N/A</v>
      </c>
      <c r="I980" s="48" t="str">
        <f t="array" ref="I980">XLOOKUP($D980,REGOLITOS!$A:$A,REGOLITOS!I:I)</f>
        <v>#N/A</v>
      </c>
      <c r="J980" s="48" t="str">
        <f t="array" ref="J980">XLOOKUP($D980,REGOLITOS!$A:$A,REGOLITOS!J:J)</f>
        <v>#N/A</v>
      </c>
      <c r="K980" s="48" t="str">
        <f t="array" ref="K980">XLOOKUP($D980,REGOLITOS!$A:$A,REGOLITOS!K:K)</f>
        <v>#N/A</v>
      </c>
      <c r="L980" s="76"/>
      <c r="M980" s="5" t="s">
        <v>1080</v>
      </c>
      <c r="N980" s="5" t="s">
        <v>1080</v>
      </c>
      <c r="O980" s="5" t="s">
        <v>1080</v>
      </c>
      <c r="P980" s="5" t="s">
        <v>1080</v>
      </c>
      <c r="Q980" s="5" t="s">
        <v>1080</v>
      </c>
      <c r="X980" s="71">
        <f t="shared" si="5"/>
        <v>0</v>
      </c>
      <c r="Y980" s="5" t="b">
        <v>0</v>
      </c>
    </row>
    <row r="981">
      <c r="B981" s="5" t="str">
        <f t="array" ref="B981">XLOOKUP(A981, CURSOS!A:A, CURSOS!B:B)</f>
        <v>#N/A</v>
      </c>
      <c r="C981" s="75" t="str">
        <f t="array" ref="C981">XLOOKUP(A981, CURSOS!A:A, CURSOS!C:C)</f>
        <v>#N/A</v>
      </c>
      <c r="D981" s="70" t="e">
        <v>#N/A</v>
      </c>
      <c r="E981" s="48"/>
      <c r="F981" s="48" t="str">
        <f t="array" ref="F981">XLOOKUP($D981,REGOLITOS!$A:$A,REGOLITOS!F:F)</f>
        <v>#N/A</v>
      </c>
      <c r="G981" s="48" t="str">
        <f t="array" ref="G981">XLOOKUP($D981,REGOLITOS!$A:$A,REGOLITOS!G:G)</f>
        <v>#N/A</v>
      </c>
      <c r="H981" s="48" t="str">
        <f t="array" ref="H981">XLOOKUP($D981,REGOLITOS!$A:$A,REGOLITOS!H:H)</f>
        <v>#N/A</v>
      </c>
      <c r="I981" s="48" t="str">
        <f t="array" ref="I981">XLOOKUP($D981,REGOLITOS!$A:$A,REGOLITOS!I:I)</f>
        <v>#N/A</v>
      </c>
      <c r="J981" s="48" t="str">
        <f t="array" ref="J981">XLOOKUP($D981,REGOLITOS!$A:$A,REGOLITOS!J:J)</f>
        <v>#N/A</v>
      </c>
      <c r="K981" s="48" t="str">
        <f t="array" ref="K981">XLOOKUP($D981,REGOLITOS!$A:$A,REGOLITOS!K:K)</f>
        <v>#N/A</v>
      </c>
      <c r="L981" s="76"/>
      <c r="M981" s="5" t="s">
        <v>1080</v>
      </c>
      <c r="N981" s="5" t="s">
        <v>1080</v>
      </c>
      <c r="O981" s="5" t="s">
        <v>1080</v>
      </c>
      <c r="P981" s="5" t="s">
        <v>1080</v>
      </c>
      <c r="Q981" s="5" t="s">
        <v>1080</v>
      </c>
      <c r="X981" s="71">
        <f t="shared" si="5"/>
        <v>0</v>
      </c>
      <c r="Y981" s="5" t="b">
        <v>0</v>
      </c>
    </row>
    <row r="982">
      <c r="B982" s="5" t="str">
        <f t="array" ref="B982">XLOOKUP(A982, CURSOS!A:A, CURSOS!B:B)</f>
        <v>#N/A</v>
      </c>
      <c r="C982" s="75" t="str">
        <f t="array" ref="C982">XLOOKUP(A982, CURSOS!A:A, CURSOS!C:C)</f>
        <v>#N/A</v>
      </c>
      <c r="D982" s="70" t="e">
        <v>#N/A</v>
      </c>
      <c r="E982" s="48"/>
      <c r="F982" s="48" t="str">
        <f t="array" ref="F982">XLOOKUP($D982,REGOLITOS!$A:$A,REGOLITOS!F:F)</f>
        <v>#N/A</v>
      </c>
      <c r="G982" s="48" t="str">
        <f t="array" ref="G982">XLOOKUP($D982,REGOLITOS!$A:$A,REGOLITOS!G:G)</f>
        <v>#N/A</v>
      </c>
      <c r="H982" s="48" t="str">
        <f t="array" ref="H982">XLOOKUP($D982,REGOLITOS!$A:$A,REGOLITOS!H:H)</f>
        <v>#N/A</v>
      </c>
      <c r="I982" s="48" t="str">
        <f t="array" ref="I982">XLOOKUP($D982,REGOLITOS!$A:$A,REGOLITOS!I:I)</f>
        <v>#N/A</v>
      </c>
      <c r="J982" s="48" t="str">
        <f t="array" ref="J982">XLOOKUP($D982,REGOLITOS!$A:$A,REGOLITOS!J:J)</f>
        <v>#N/A</v>
      </c>
      <c r="K982" s="48" t="str">
        <f t="array" ref="K982">XLOOKUP($D982,REGOLITOS!$A:$A,REGOLITOS!K:K)</f>
        <v>#N/A</v>
      </c>
      <c r="L982" s="76"/>
      <c r="M982" s="5" t="s">
        <v>1080</v>
      </c>
      <c r="N982" s="5" t="s">
        <v>1080</v>
      </c>
      <c r="O982" s="5" t="s">
        <v>1080</v>
      </c>
      <c r="P982" s="5" t="s">
        <v>1080</v>
      </c>
      <c r="Q982" s="5" t="s">
        <v>1080</v>
      </c>
      <c r="X982" s="71">
        <f t="shared" si="5"/>
        <v>0</v>
      </c>
      <c r="Y982" s="5" t="b">
        <v>0</v>
      </c>
    </row>
    <row r="983">
      <c r="B983" s="5" t="str">
        <f t="array" ref="B983">XLOOKUP(A983, CURSOS!A:A, CURSOS!B:B)</f>
        <v>#N/A</v>
      </c>
      <c r="C983" s="75" t="str">
        <f t="array" ref="C983">XLOOKUP(A983, CURSOS!A:A, CURSOS!C:C)</f>
        <v>#N/A</v>
      </c>
      <c r="D983" s="70" t="e">
        <v>#N/A</v>
      </c>
      <c r="E983" s="48"/>
      <c r="F983" s="48" t="str">
        <f t="array" ref="F983">XLOOKUP($D983,REGOLITOS!$A:$A,REGOLITOS!F:F)</f>
        <v>#N/A</v>
      </c>
      <c r="G983" s="48" t="str">
        <f t="array" ref="G983">XLOOKUP($D983,REGOLITOS!$A:$A,REGOLITOS!G:G)</f>
        <v>#N/A</v>
      </c>
      <c r="H983" s="48" t="str">
        <f t="array" ref="H983">XLOOKUP($D983,REGOLITOS!$A:$A,REGOLITOS!H:H)</f>
        <v>#N/A</v>
      </c>
      <c r="I983" s="48" t="str">
        <f t="array" ref="I983">XLOOKUP($D983,REGOLITOS!$A:$A,REGOLITOS!I:I)</f>
        <v>#N/A</v>
      </c>
      <c r="J983" s="48" t="str">
        <f t="array" ref="J983">XLOOKUP($D983,REGOLITOS!$A:$A,REGOLITOS!J:J)</f>
        <v>#N/A</v>
      </c>
      <c r="K983" s="48" t="str">
        <f t="array" ref="K983">XLOOKUP($D983,REGOLITOS!$A:$A,REGOLITOS!K:K)</f>
        <v>#N/A</v>
      </c>
      <c r="L983" s="76"/>
      <c r="M983" s="5" t="s">
        <v>1080</v>
      </c>
      <c r="N983" s="5" t="s">
        <v>1080</v>
      </c>
      <c r="O983" s="5" t="s">
        <v>1080</v>
      </c>
      <c r="P983" s="5" t="s">
        <v>1080</v>
      </c>
      <c r="Q983" s="5" t="s">
        <v>1080</v>
      </c>
      <c r="X983" s="71">
        <f t="shared" si="5"/>
        <v>0</v>
      </c>
      <c r="Y983" s="5" t="b">
        <v>0</v>
      </c>
    </row>
    <row r="984">
      <c r="B984" s="5" t="str">
        <f t="array" ref="B984">XLOOKUP(A984, CURSOS!A:A, CURSOS!B:B)</f>
        <v>#N/A</v>
      </c>
      <c r="C984" s="75" t="str">
        <f t="array" ref="C984">XLOOKUP(A984, CURSOS!A:A, CURSOS!C:C)</f>
        <v>#N/A</v>
      </c>
      <c r="D984" s="70" t="e">
        <v>#N/A</v>
      </c>
      <c r="E984" s="48"/>
      <c r="F984" s="48" t="str">
        <f t="array" ref="F984">XLOOKUP($D984,REGOLITOS!$A:$A,REGOLITOS!F:F)</f>
        <v>#N/A</v>
      </c>
      <c r="G984" s="48" t="str">
        <f t="array" ref="G984">XLOOKUP($D984,REGOLITOS!$A:$A,REGOLITOS!G:G)</f>
        <v>#N/A</v>
      </c>
      <c r="H984" s="48" t="str">
        <f t="array" ref="H984">XLOOKUP($D984,REGOLITOS!$A:$A,REGOLITOS!H:H)</f>
        <v>#N/A</v>
      </c>
      <c r="I984" s="48" t="str">
        <f t="array" ref="I984">XLOOKUP($D984,REGOLITOS!$A:$A,REGOLITOS!I:I)</f>
        <v>#N/A</v>
      </c>
      <c r="J984" s="48" t="str">
        <f t="array" ref="J984">XLOOKUP($D984,REGOLITOS!$A:$A,REGOLITOS!J:J)</f>
        <v>#N/A</v>
      </c>
      <c r="K984" s="48" t="str">
        <f t="array" ref="K984">XLOOKUP($D984,REGOLITOS!$A:$A,REGOLITOS!K:K)</f>
        <v>#N/A</v>
      </c>
      <c r="L984" s="76"/>
      <c r="M984" s="5" t="s">
        <v>1080</v>
      </c>
      <c r="N984" s="5" t="s">
        <v>1080</v>
      </c>
      <c r="O984" s="5" t="s">
        <v>1080</v>
      </c>
      <c r="P984" s="5" t="s">
        <v>1080</v>
      </c>
      <c r="Q984" s="5" t="s">
        <v>1080</v>
      </c>
      <c r="X984" s="71">
        <f t="shared" si="5"/>
        <v>0</v>
      </c>
      <c r="Y984" s="5" t="b">
        <v>0</v>
      </c>
    </row>
    <row r="985">
      <c r="B985" s="5" t="str">
        <f t="array" ref="B985">XLOOKUP(A985, CURSOS!A:A, CURSOS!B:B)</f>
        <v>#N/A</v>
      </c>
      <c r="C985" s="75" t="str">
        <f t="array" ref="C985">XLOOKUP(A985, CURSOS!A:A, CURSOS!C:C)</f>
        <v>#N/A</v>
      </c>
      <c r="D985" s="70" t="e">
        <v>#N/A</v>
      </c>
      <c r="E985" s="48"/>
      <c r="F985" s="48" t="str">
        <f t="array" ref="F985">XLOOKUP($D985,REGOLITOS!$A:$A,REGOLITOS!F:F)</f>
        <v>#N/A</v>
      </c>
      <c r="G985" s="48" t="str">
        <f t="array" ref="G985">XLOOKUP($D985,REGOLITOS!$A:$A,REGOLITOS!G:G)</f>
        <v>#N/A</v>
      </c>
      <c r="H985" s="48" t="str">
        <f t="array" ref="H985">XLOOKUP($D985,REGOLITOS!$A:$A,REGOLITOS!H:H)</f>
        <v>#N/A</v>
      </c>
      <c r="I985" s="48" t="str">
        <f t="array" ref="I985">XLOOKUP($D985,REGOLITOS!$A:$A,REGOLITOS!I:I)</f>
        <v>#N/A</v>
      </c>
      <c r="J985" s="48" t="str">
        <f t="array" ref="J985">XLOOKUP($D985,REGOLITOS!$A:$A,REGOLITOS!J:J)</f>
        <v>#N/A</v>
      </c>
      <c r="K985" s="48" t="str">
        <f t="array" ref="K985">XLOOKUP($D985,REGOLITOS!$A:$A,REGOLITOS!K:K)</f>
        <v>#N/A</v>
      </c>
      <c r="L985" s="76"/>
      <c r="M985" s="5" t="s">
        <v>1080</v>
      </c>
      <c r="N985" s="5" t="s">
        <v>1080</v>
      </c>
      <c r="O985" s="5" t="s">
        <v>1080</v>
      </c>
      <c r="P985" s="5" t="s">
        <v>1080</v>
      </c>
      <c r="Q985" s="5" t="s">
        <v>1080</v>
      </c>
      <c r="X985" s="71">
        <f t="shared" si="5"/>
        <v>0</v>
      </c>
      <c r="Y985" s="5" t="b">
        <v>0</v>
      </c>
    </row>
    <row r="986">
      <c r="B986" s="5" t="str">
        <f t="array" ref="B986">XLOOKUP(A986, CURSOS!A:A, CURSOS!B:B)</f>
        <v>#N/A</v>
      </c>
      <c r="C986" s="75" t="str">
        <f t="array" ref="C986">XLOOKUP(A986, CURSOS!A:A, CURSOS!C:C)</f>
        <v>#N/A</v>
      </c>
      <c r="D986" s="70" t="e">
        <v>#N/A</v>
      </c>
      <c r="E986" s="48"/>
      <c r="F986" s="48" t="str">
        <f t="array" ref="F986">XLOOKUP($D986,REGOLITOS!$A:$A,REGOLITOS!F:F)</f>
        <v>#N/A</v>
      </c>
      <c r="G986" s="48" t="str">
        <f t="array" ref="G986">XLOOKUP($D986,REGOLITOS!$A:$A,REGOLITOS!G:G)</f>
        <v>#N/A</v>
      </c>
      <c r="H986" s="48" t="str">
        <f t="array" ref="H986">XLOOKUP($D986,REGOLITOS!$A:$A,REGOLITOS!H:H)</f>
        <v>#N/A</v>
      </c>
      <c r="I986" s="48" t="str">
        <f t="array" ref="I986">XLOOKUP($D986,REGOLITOS!$A:$A,REGOLITOS!I:I)</f>
        <v>#N/A</v>
      </c>
      <c r="J986" s="48" t="str">
        <f t="array" ref="J986">XLOOKUP($D986,REGOLITOS!$A:$A,REGOLITOS!J:J)</f>
        <v>#N/A</v>
      </c>
      <c r="K986" s="48" t="str">
        <f t="array" ref="K986">XLOOKUP($D986,REGOLITOS!$A:$A,REGOLITOS!K:K)</f>
        <v>#N/A</v>
      </c>
      <c r="L986" s="76"/>
      <c r="M986" s="5" t="s">
        <v>1080</v>
      </c>
      <c r="N986" s="5" t="s">
        <v>1080</v>
      </c>
      <c r="O986" s="5" t="s">
        <v>1080</v>
      </c>
      <c r="P986" s="5" t="s">
        <v>1080</v>
      </c>
      <c r="Q986" s="5" t="s">
        <v>1080</v>
      </c>
      <c r="X986" s="71">
        <f t="shared" si="5"/>
        <v>0</v>
      </c>
      <c r="Y986" s="5" t="b">
        <v>0</v>
      </c>
    </row>
    <row r="987">
      <c r="B987" s="5" t="str">
        <f t="array" ref="B987">XLOOKUP(A987, CURSOS!A:A, CURSOS!B:B)</f>
        <v>#N/A</v>
      </c>
      <c r="C987" s="75" t="str">
        <f t="array" ref="C987">XLOOKUP(A987, CURSOS!A:A, CURSOS!C:C)</f>
        <v>#N/A</v>
      </c>
      <c r="D987" s="70" t="e">
        <v>#N/A</v>
      </c>
      <c r="E987" s="48"/>
      <c r="F987" s="48" t="str">
        <f t="array" ref="F987">XLOOKUP($D987,REGOLITOS!$A:$A,REGOLITOS!F:F)</f>
        <v>#N/A</v>
      </c>
      <c r="G987" s="48" t="str">
        <f t="array" ref="G987">XLOOKUP($D987,REGOLITOS!$A:$A,REGOLITOS!G:G)</f>
        <v>#N/A</v>
      </c>
      <c r="H987" s="48" t="str">
        <f t="array" ref="H987">XLOOKUP($D987,REGOLITOS!$A:$A,REGOLITOS!H:H)</f>
        <v>#N/A</v>
      </c>
      <c r="I987" s="48" t="str">
        <f t="array" ref="I987">XLOOKUP($D987,REGOLITOS!$A:$A,REGOLITOS!I:I)</f>
        <v>#N/A</v>
      </c>
      <c r="J987" s="48" t="str">
        <f t="array" ref="J987">XLOOKUP($D987,REGOLITOS!$A:$A,REGOLITOS!J:J)</f>
        <v>#N/A</v>
      </c>
      <c r="K987" s="48" t="str">
        <f t="array" ref="K987">XLOOKUP($D987,REGOLITOS!$A:$A,REGOLITOS!K:K)</f>
        <v>#N/A</v>
      </c>
      <c r="L987" s="76"/>
      <c r="M987" s="5" t="s">
        <v>1080</v>
      </c>
      <c r="N987" s="5" t="s">
        <v>1080</v>
      </c>
      <c r="O987" s="5" t="s">
        <v>1080</v>
      </c>
      <c r="P987" s="5" t="s">
        <v>1080</v>
      </c>
      <c r="Q987" s="5" t="s">
        <v>1080</v>
      </c>
      <c r="X987" s="71">
        <f t="shared" si="5"/>
        <v>0</v>
      </c>
      <c r="Y987" s="5" t="b">
        <v>0</v>
      </c>
    </row>
    <row r="988">
      <c r="B988" s="5" t="str">
        <f t="array" ref="B988">XLOOKUP(A988, CURSOS!A:A, CURSOS!B:B)</f>
        <v>#N/A</v>
      </c>
      <c r="C988" s="75" t="str">
        <f t="array" ref="C988">XLOOKUP(A988, CURSOS!A:A, CURSOS!C:C)</f>
        <v>#N/A</v>
      </c>
      <c r="D988" s="70" t="e">
        <v>#N/A</v>
      </c>
      <c r="E988" s="48"/>
      <c r="F988" s="48" t="str">
        <f t="array" ref="F988">XLOOKUP($D988,REGOLITOS!$A:$A,REGOLITOS!F:F)</f>
        <v>#N/A</v>
      </c>
      <c r="G988" s="48" t="str">
        <f t="array" ref="G988">XLOOKUP($D988,REGOLITOS!$A:$A,REGOLITOS!G:G)</f>
        <v>#N/A</v>
      </c>
      <c r="H988" s="48" t="str">
        <f t="array" ref="H988">XLOOKUP($D988,REGOLITOS!$A:$A,REGOLITOS!H:H)</f>
        <v>#N/A</v>
      </c>
      <c r="I988" s="48" t="str">
        <f t="array" ref="I988">XLOOKUP($D988,REGOLITOS!$A:$A,REGOLITOS!I:I)</f>
        <v>#N/A</v>
      </c>
      <c r="J988" s="48" t="str">
        <f t="array" ref="J988">XLOOKUP($D988,REGOLITOS!$A:$A,REGOLITOS!J:J)</f>
        <v>#N/A</v>
      </c>
      <c r="K988" s="48" t="str">
        <f t="array" ref="K988">XLOOKUP($D988,REGOLITOS!$A:$A,REGOLITOS!K:K)</f>
        <v>#N/A</v>
      </c>
      <c r="L988" s="76"/>
      <c r="M988" s="5" t="s">
        <v>1080</v>
      </c>
      <c r="N988" s="5" t="s">
        <v>1080</v>
      </c>
      <c r="O988" s="5" t="s">
        <v>1080</v>
      </c>
      <c r="P988" s="5" t="s">
        <v>1080</v>
      </c>
      <c r="Q988" s="5" t="s">
        <v>1080</v>
      </c>
      <c r="X988" s="71">
        <f t="shared" si="5"/>
        <v>0</v>
      </c>
      <c r="Y988" s="5" t="b">
        <v>0</v>
      </c>
    </row>
    <row r="989">
      <c r="B989" s="5" t="str">
        <f t="array" ref="B989">XLOOKUP(A989, CURSOS!A:A, CURSOS!B:B)</f>
        <v>#N/A</v>
      </c>
      <c r="C989" s="75" t="str">
        <f t="array" ref="C989">XLOOKUP(A989, CURSOS!A:A, CURSOS!C:C)</f>
        <v>#N/A</v>
      </c>
      <c r="D989" s="70" t="e">
        <v>#N/A</v>
      </c>
      <c r="E989" s="48"/>
      <c r="F989" s="48" t="str">
        <f t="array" ref="F989">XLOOKUP($D989,REGOLITOS!$A:$A,REGOLITOS!F:F)</f>
        <v>#N/A</v>
      </c>
      <c r="G989" s="48" t="str">
        <f t="array" ref="G989">XLOOKUP($D989,REGOLITOS!$A:$A,REGOLITOS!G:G)</f>
        <v>#N/A</v>
      </c>
      <c r="H989" s="48" t="str">
        <f t="array" ref="H989">XLOOKUP($D989,REGOLITOS!$A:$A,REGOLITOS!H:H)</f>
        <v>#N/A</v>
      </c>
      <c r="I989" s="48" t="str">
        <f t="array" ref="I989">XLOOKUP($D989,REGOLITOS!$A:$A,REGOLITOS!I:I)</f>
        <v>#N/A</v>
      </c>
      <c r="J989" s="48" t="str">
        <f t="array" ref="J989">XLOOKUP($D989,REGOLITOS!$A:$A,REGOLITOS!J:J)</f>
        <v>#N/A</v>
      </c>
      <c r="K989" s="48" t="str">
        <f t="array" ref="K989">XLOOKUP($D989,REGOLITOS!$A:$A,REGOLITOS!K:K)</f>
        <v>#N/A</v>
      </c>
      <c r="L989" s="76"/>
      <c r="M989" s="5" t="s">
        <v>1080</v>
      </c>
      <c r="N989" s="5" t="s">
        <v>1080</v>
      </c>
      <c r="O989" s="5" t="s">
        <v>1080</v>
      </c>
      <c r="P989" s="5" t="s">
        <v>1080</v>
      </c>
      <c r="Q989" s="5" t="s">
        <v>1080</v>
      </c>
      <c r="X989" s="71">
        <f t="shared" si="5"/>
        <v>0</v>
      </c>
      <c r="Y989" s="5" t="b">
        <v>0</v>
      </c>
    </row>
    <row r="990">
      <c r="B990" s="5" t="str">
        <f t="array" ref="B990">XLOOKUP(A990, CURSOS!A:A, CURSOS!B:B)</f>
        <v>#N/A</v>
      </c>
      <c r="C990" s="75" t="str">
        <f t="array" ref="C990">XLOOKUP(A990, CURSOS!A:A, CURSOS!C:C)</f>
        <v>#N/A</v>
      </c>
      <c r="D990" s="70" t="e">
        <v>#N/A</v>
      </c>
      <c r="E990" s="48"/>
      <c r="F990" s="48" t="str">
        <f t="array" ref="F990">XLOOKUP($D990,REGOLITOS!$A:$A,REGOLITOS!F:F)</f>
        <v>#N/A</v>
      </c>
      <c r="G990" s="48" t="str">
        <f t="array" ref="G990">XLOOKUP($D990,REGOLITOS!$A:$A,REGOLITOS!G:G)</f>
        <v>#N/A</v>
      </c>
      <c r="H990" s="48" t="str">
        <f t="array" ref="H990">XLOOKUP($D990,REGOLITOS!$A:$A,REGOLITOS!H:H)</f>
        <v>#N/A</v>
      </c>
      <c r="I990" s="48" t="str">
        <f t="array" ref="I990">XLOOKUP($D990,REGOLITOS!$A:$A,REGOLITOS!I:I)</f>
        <v>#N/A</v>
      </c>
      <c r="J990" s="48" t="str">
        <f t="array" ref="J990">XLOOKUP($D990,REGOLITOS!$A:$A,REGOLITOS!J:J)</f>
        <v>#N/A</v>
      </c>
      <c r="K990" s="48" t="str">
        <f t="array" ref="K990">XLOOKUP($D990,REGOLITOS!$A:$A,REGOLITOS!K:K)</f>
        <v>#N/A</v>
      </c>
      <c r="L990" s="76"/>
      <c r="M990" s="5" t="s">
        <v>1080</v>
      </c>
      <c r="N990" s="5" t="s">
        <v>1080</v>
      </c>
      <c r="O990" s="5" t="s">
        <v>1080</v>
      </c>
      <c r="P990" s="5" t="s">
        <v>1080</v>
      </c>
      <c r="Q990" s="5" t="s">
        <v>1080</v>
      </c>
      <c r="X990" s="71">
        <f t="shared" si="5"/>
        <v>0</v>
      </c>
      <c r="Y990" s="5" t="b">
        <v>0</v>
      </c>
    </row>
    <row r="991">
      <c r="B991" s="5" t="str">
        <f t="array" ref="B991">XLOOKUP(A991, CURSOS!A:A, CURSOS!B:B)</f>
        <v>#N/A</v>
      </c>
      <c r="C991" s="75" t="str">
        <f t="array" ref="C991">XLOOKUP(A991, CURSOS!A:A, CURSOS!C:C)</f>
        <v>#N/A</v>
      </c>
      <c r="D991" s="70" t="e">
        <v>#N/A</v>
      </c>
      <c r="E991" s="48"/>
      <c r="F991" s="48" t="str">
        <f t="array" ref="F991">XLOOKUP($D991,REGOLITOS!$A:$A,REGOLITOS!F:F)</f>
        <v>#N/A</v>
      </c>
      <c r="G991" s="48" t="str">
        <f t="array" ref="G991">XLOOKUP($D991,REGOLITOS!$A:$A,REGOLITOS!G:G)</f>
        <v>#N/A</v>
      </c>
      <c r="H991" s="48" t="str">
        <f t="array" ref="H991">XLOOKUP($D991,REGOLITOS!$A:$A,REGOLITOS!H:H)</f>
        <v>#N/A</v>
      </c>
      <c r="I991" s="48" t="str">
        <f t="array" ref="I991">XLOOKUP($D991,REGOLITOS!$A:$A,REGOLITOS!I:I)</f>
        <v>#N/A</v>
      </c>
      <c r="J991" s="48" t="str">
        <f t="array" ref="J991">XLOOKUP($D991,REGOLITOS!$A:$A,REGOLITOS!J:J)</f>
        <v>#N/A</v>
      </c>
      <c r="K991" s="48" t="str">
        <f t="array" ref="K991">XLOOKUP($D991,REGOLITOS!$A:$A,REGOLITOS!K:K)</f>
        <v>#N/A</v>
      </c>
      <c r="L991" s="76"/>
      <c r="M991" s="5" t="s">
        <v>1080</v>
      </c>
      <c r="N991" s="5" t="s">
        <v>1080</v>
      </c>
      <c r="O991" s="5" t="s">
        <v>1080</v>
      </c>
      <c r="P991" s="5" t="s">
        <v>1080</v>
      </c>
      <c r="Q991" s="5" t="s">
        <v>1080</v>
      </c>
      <c r="X991" s="71">
        <f t="shared" si="5"/>
        <v>0</v>
      </c>
      <c r="Y991" s="5" t="b">
        <v>0</v>
      </c>
    </row>
    <row r="992">
      <c r="B992" s="5" t="str">
        <f t="array" ref="B992">XLOOKUP(A992, CURSOS!A:A, CURSOS!B:B)</f>
        <v>#N/A</v>
      </c>
      <c r="C992" s="75" t="str">
        <f t="array" ref="C992">XLOOKUP(A992, CURSOS!A:A, CURSOS!C:C)</f>
        <v>#N/A</v>
      </c>
      <c r="D992" s="70" t="e">
        <v>#N/A</v>
      </c>
      <c r="E992" s="48"/>
      <c r="F992" s="48" t="str">
        <f t="array" ref="F992">XLOOKUP($D992,REGOLITOS!$A:$A,REGOLITOS!F:F)</f>
        <v>#N/A</v>
      </c>
      <c r="G992" s="48" t="str">
        <f t="array" ref="G992">XLOOKUP($D992,REGOLITOS!$A:$A,REGOLITOS!G:G)</f>
        <v>#N/A</v>
      </c>
      <c r="H992" s="48" t="str">
        <f t="array" ref="H992">XLOOKUP($D992,REGOLITOS!$A:$A,REGOLITOS!H:H)</f>
        <v>#N/A</v>
      </c>
      <c r="I992" s="48" t="str">
        <f t="array" ref="I992">XLOOKUP($D992,REGOLITOS!$A:$A,REGOLITOS!I:I)</f>
        <v>#N/A</v>
      </c>
      <c r="J992" s="48" t="str">
        <f t="array" ref="J992">XLOOKUP($D992,REGOLITOS!$A:$A,REGOLITOS!J:J)</f>
        <v>#N/A</v>
      </c>
      <c r="K992" s="48" t="str">
        <f t="array" ref="K992">XLOOKUP($D992,REGOLITOS!$A:$A,REGOLITOS!K:K)</f>
        <v>#N/A</v>
      </c>
      <c r="L992" s="76"/>
      <c r="M992" s="5" t="s">
        <v>1080</v>
      </c>
      <c r="N992" s="5" t="s">
        <v>1080</v>
      </c>
      <c r="O992" s="5" t="s">
        <v>1080</v>
      </c>
      <c r="P992" s="5" t="s">
        <v>1080</v>
      </c>
      <c r="Q992" s="5" t="s">
        <v>1080</v>
      </c>
      <c r="X992" s="71">
        <f t="shared" si="5"/>
        <v>0</v>
      </c>
      <c r="Y992" s="5" t="b">
        <v>0</v>
      </c>
    </row>
    <row r="993">
      <c r="B993" s="5" t="str">
        <f t="array" ref="B993">XLOOKUP(A993, CURSOS!A:A, CURSOS!B:B)</f>
        <v>#N/A</v>
      </c>
      <c r="C993" s="75" t="str">
        <f t="array" ref="C993">XLOOKUP(A993, CURSOS!A:A, CURSOS!C:C)</f>
        <v>#N/A</v>
      </c>
      <c r="D993" s="70" t="e">
        <v>#N/A</v>
      </c>
      <c r="E993" s="48"/>
      <c r="F993" s="48" t="str">
        <f t="array" ref="F993">XLOOKUP($D993,REGOLITOS!$A:$A,REGOLITOS!F:F)</f>
        <v>#N/A</v>
      </c>
      <c r="G993" s="48" t="str">
        <f t="array" ref="G993">XLOOKUP($D993,REGOLITOS!$A:$A,REGOLITOS!G:G)</f>
        <v>#N/A</v>
      </c>
      <c r="H993" s="48" t="str">
        <f t="array" ref="H993">XLOOKUP($D993,REGOLITOS!$A:$A,REGOLITOS!H:H)</f>
        <v>#N/A</v>
      </c>
      <c r="I993" s="48" t="str">
        <f t="array" ref="I993">XLOOKUP($D993,REGOLITOS!$A:$A,REGOLITOS!I:I)</f>
        <v>#N/A</v>
      </c>
      <c r="J993" s="48" t="str">
        <f t="array" ref="J993">XLOOKUP($D993,REGOLITOS!$A:$A,REGOLITOS!J:J)</f>
        <v>#N/A</v>
      </c>
      <c r="K993" s="48" t="str">
        <f t="array" ref="K993">XLOOKUP($D993,REGOLITOS!$A:$A,REGOLITOS!K:K)</f>
        <v>#N/A</v>
      </c>
      <c r="L993" s="76"/>
      <c r="M993" s="5" t="s">
        <v>1080</v>
      </c>
      <c r="N993" s="5" t="s">
        <v>1080</v>
      </c>
      <c r="O993" s="5" t="s">
        <v>1080</v>
      </c>
      <c r="P993" s="5" t="s">
        <v>1080</v>
      </c>
      <c r="Q993" s="5" t="s">
        <v>1080</v>
      </c>
      <c r="X993" s="71">
        <f t="shared" si="5"/>
        <v>0</v>
      </c>
      <c r="Y993" s="5" t="b">
        <v>0</v>
      </c>
    </row>
    <row r="994">
      <c r="B994" s="5" t="str">
        <f t="array" ref="B994">XLOOKUP(A994, CURSOS!A:A, CURSOS!B:B)</f>
        <v>#N/A</v>
      </c>
      <c r="C994" s="75" t="str">
        <f t="array" ref="C994">XLOOKUP(A994, CURSOS!A:A, CURSOS!C:C)</f>
        <v>#N/A</v>
      </c>
      <c r="D994" s="70" t="e">
        <v>#N/A</v>
      </c>
      <c r="E994" s="48"/>
      <c r="F994" s="48" t="str">
        <f t="array" ref="F994">XLOOKUP($D994,REGOLITOS!$A:$A,REGOLITOS!F:F)</f>
        <v>#N/A</v>
      </c>
      <c r="G994" s="48" t="str">
        <f t="array" ref="G994">XLOOKUP($D994,REGOLITOS!$A:$A,REGOLITOS!G:G)</f>
        <v>#N/A</v>
      </c>
      <c r="H994" s="48" t="str">
        <f t="array" ref="H994">XLOOKUP($D994,REGOLITOS!$A:$A,REGOLITOS!H:H)</f>
        <v>#N/A</v>
      </c>
      <c r="I994" s="48" t="str">
        <f t="array" ref="I994">XLOOKUP($D994,REGOLITOS!$A:$A,REGOLITOS!I:I)</f>
        <v>#N/A</v>
      </c>
      <c r="J994" s="48" t="str">
        <f t="array" ref="J994">XLOOKUP($D994,REGOLITOS!$A:$A,REGOLITOS!J:J)</f>
        <v>#N/A</v>
      </c>
      <c r="K994" s="48" t="str">
        <f t="array" ref="K994">XLOOKUP($D994,REGOLITOS!$A:$A,REGOLITOS!K:K)</f>
        <v>#N/A</v>
      </c>
      <c r="L994" s="76"/>
      <c r="M994" s="5" t="s">
        <v>1080</v>
      </c>
      <c r="N994" s="5" t="s">
        <v>1080</v>
      </c>
      <c r="O994" s="5" t="s">
        <v>1080</v>
      </c>
      <c r="P994" s="5" t="s">
        <v>1080</v>
      </c>
      <c r="Q994" s="5" t="s">
        <v>1080</v>
      </c>
      <c r="X994" s="71">
        <f t="shared" si="5"/>
        <v>0</v>
      </c>
      <c r="Y994" s="5" t="b">
        <v>0</v>
      </c>
    </row>
    <row r="995">
      <c r="B995" s="5" t="str">
        <f t="array" ref="B995">XLOOKUP(A995, CURSOS!A:A, CURSOS!B:B)</f>
        <v>#N/A</v>
      </c>
      <c r="C995" s="75" t="str">
        <f t="array" ref="C995">XLOOKUP(A995, CURSOS!A:A, CURSOS!C:C)</f>
        <v>#N/A</v>
      </c>
      <c r="D995" s="70" t="e">
        <v>#N/A</v>
      </c>
      <c r="E995" s="48"/>
      <c r="F995" s="48" t="str">
        <f t="array" ref="F995">XLOOKUP($D995,REGOLITOS!$A:$A,REGOLITOS!F:F)</f>
        <v>#N/A</v>
      </c>
      <c r="G995" s="48" t="str">
        <f t="array" ref="G995">XLOOKUP($D995,REGOLITOS!$A:$A,REGOLITOS!G:G)</f>
        <v>#N/A</v>
      </c>
      <c r="H995" s="48" t="str">
        <f t="array" ref="H995">XLOOKUP($D995,REGOLITOS!$A:$A,REGOLITOS!H:H)</f>
        <v>#N/A</v>
      </c>
      <c r="I995" s="48" t="str">
        <f t="array" ref="I995">XLOOKUP($D995,REGOLITOS!$A:$A,REGOLITOS!I:I)</f>
        <v>#N/A</v>
      </c>
      <c r="J995" s="48" t="str">
        <f t="array" ref="J995">XLOOKUP($D995,REGOLITOS!$A:$A,REGOLITOS!J:J)</f>
        <v>#N/A</v>
      </c>
      <c r="K995" s="48" t="str">
        <f t="array" ref="K995">XLOOKUP($D995,REGOLITOS!$A:$A,REGOLITOS!K:K)</f>
        <v>#N/A</v>
      </c>
      <c r="L995" s="76"/>
      <c r="M995" s="5" t="s">
        <v>1080</v>
      </c>
      <c r="N995" s="5" t="s">
        <v>1080</v>
      </c>
      <c r="O995" s="5" t="s">
        <v>1080</v>
      </c>
      <c r="P995" s="5" t="s">
        <v>1080</v>
      </c>
      <c r="Q995" s="5" t="s">
        <v>1080</v>
      </c>
      <c r="X995" s="71">
        <f t="shared" si="5"/>
        <v>0</v>
      </c>
      <c r="Y995" s="5" t="b">
        <v>0</v>
      </c>
    </row>
    <row r="996">
      <c r="B996" s="5" t="str">
        <f t="array" ref="B996">XLOOKUP(A996, CURSOS!A:A, CURSOS!B:B)</f>
        <v>#N/A</v>
      </c>
      <c r="C996" s="75" t="str">
        <f t="array" ref="C996">XLOOKUP(A996, CURSOS!A:A, CURSOS!C:C)</f>
        <v>#N/A</v>
      </c>
      <c r="D996" s="70" t="e">
        <v>#N/A</v>
      </c>
      <c r="E996" s="48"/>
      <c r="F996" s="48" t="str">
        <f t="array" ref="F996">XLOOKUP($D996,REGOLITOS!$A:$A,REGOLITOS!F:F)</f>
        <v>#N/A</v>
      </c>
      <c r="G996" s="48" t="str">
        <f t="array" ref="G996">XLOOKUP($D996,REGOLITOS!$A:$A,REGOLITOS!G:G)</f>
        <v>#N/A</v>
      </c>
      <c r="H996" s="48" t="str">
        <f t="array" ref="H996">XLOOKUP($D996,REGOLITOS!$A:$A,REGOLITOS!H:H)</f>
        <v>#N/A</v>
      </c>
      <c r="I996" s="48" t="str">
        <f t="array" ref="I996">XLOOKUP($D996,REGOLITOS!$A:$A,REGOLITOS!I:I)</f>
        <v>#N/A</v>
      </c>
      <c r="J996" s="48" t="str">
        <f t="array" ref="J996">XLOOKUP($D996,REGOLITOS!$A:$A,REGOLITOS!J:J)</f>
        <v>#N/A</v>
      </c>
      <c r="K996" s="48" t="str">
        <f t="array" ref="K996">XLOOKUP($D996,REGOLITOS!$A:$A,REGOLITOS!K:K)</f>
        <v>#N/A</v>
      </c>
      <c r="L996" s="76"/>
      <c r="M996" s="5" t="s">
        <v>1080</v>
      </c>
      <c r="N996" s="5" t="s">
        <v>1080</v>
      </c>
      <c r="O996" s="5" t="s">
        <v>1080</v>
      </c>
      <c r="P996" s="5" t="s">
        <v>1080</v>
      </c>
      <c r="Q996" s="5" t="s">
        <v>1080</v>
      </c>
      <c r="X996" s="71">
        <f t="shared" si="5"/>
        <v>0</v>
      </c>
      <c r="Y996" s="5" t="b">
        <v>0</v>
      </c>
    </row>
    <row r="997">
      <c r="B997" s="5" t="str">
        <f t="array" ref="B997">XLOOKUP(A997, CURSOS!A:A, CURSOS!B:B)</f>
        <v>#N/A</v>
      </c>
      <c r="C997" s="75" t="str">
        <f t="array" ref="C997">XLOOKUP(A997, CURSOS!A:A, CURSOS!C:C)</f>
        <v>#N/A</v>
      </c>
      <c r="D997" s="70" t="e">
        <v>#N/A</v>
      </c>
      <c r="E997" s="48"/>
      <c r="F997" s="48" t="str">
        <f t="array" ref="F997">XLOOKUP($D997,REGOLITOS!$A:$A,REGOLITOS!F:F)</f>
        <v>#N/A</v>
      </c>
      <c r="G997" s="48" t="str">
        <f t="array" ref="G997">XLOOKUP($D997,REGOLITOS!$A:$A,REGOLITOS!G:G)</f>
        <v>#N/A</v>
      </c>
      <c r="H997" s="48" t="str">
        <f t="array" ref="H997">XLOOKUP($D997,REGOLITOS!$A:$A,REGOLITOS!H:H)</f>
        <v>#N/A</v>
      </c>
      <c r="I997" s="48" t="str">
        <f t="array" ref="I997">XLOOKUP($D997,REGOLITOS!$A:$A,REGOLITOS!I:I)</f>
        <v>#N/A</v>
      </c>
      <c r="J997" s="48" t="str">
        <f t="array" ref="J997">XLOOKUP($D997,REGOLITOS!$A:$A,REGOLITOS!J:J)</f>
        <v>#N/A</v>
      </c>
      <c r="K997" s="48" t="str">
        <f t="array" ref="K997">XLOOKUP($D997,REGOLITOS!$A:$A,REGOLITOS!K:K)</f>
        <v>#N/A</v>
      </c>
      <c r="L997" s="76"/>
      <c r="M997" s="5" t="s">
        <v>1080</v>
      </c>
      <c r="N997" s="5" t="s">
        <v>1080</v>
      </c>
      <c r="O997" s="5" t="s">
        <v>1080</v>
      </c>
      <c r="P997" s="5" t="s">
        <v>1080</v>
      </c>
      <c r="Q997" s="5" t="s">
        <v>1080</v>
      </c>
      <c r="X997" s="71">
        <f t="shared" si="5"/>
        <v>0</v>
      </c>
      <c r="Y997" s="5" t="b">
        <v>0</v>
      </c>
    </row>
    <row r="998">
      <c r="B998" s="5" t="str">
        <f t="array" ref="B998">XLOOKUP(A998, CURSOS!A:A, CURSOS!B:B)</f>
        <v>#N/A</v>
      </c>
      <c r="C998" s="75" t="str">
        <f t="array" ref="C998">XLOOKUP(A998, CURSOS!A:A, CURSOS!C:C)</f>
        <v>#N/A</v>
      </c>
      <c r="D998" s="70" t="e">
        <v>#N/A</v>
      </c>
      <c r="E998" s="48"/>
      <c r="F998" s="48" t="str">
        <f t="array" ref="F998">XLOOKUP($D998,REGOLITOS!$A:$A,REGOLITOS!F:F)</f>
        <v>#N/A</v>
      </c>
      <c r="G998" s="48" t="str">
        <f t="array" ref="G998">XLOOKUP($D998,REGOLITOS!$A:$A,REGOLITOS!G:G)</f>
        <v>#N/A</v>
      </c>
      <c r="H998" s="48" t="str">
        <f t="array" ref="H998">XLOOKUP($D998,REGOLITOS!$A:$A,REGOLITOS!H:H)</f>
        <v>#N/A</v>
      </c>
      <c r="I998" s="48" t="str">
        <f t="array" ref="I998">XLOOKUP($D998,REGOLITOS!$A:$A,REGOLITOS!I:I)</f>
        <v>#N/A</v>
      </c>
      <c r="J998" s="48" t="str">
        <f t="array" ref="J998">XLOOKUP($D998,REGOLITOS!$A:$A,REGOLITOS!J:J)</f>
        <v>#N/A</v>
      </c>
      <c r="K998" s="48" t="str">
        <f t="array" ref="K998">XLOOKUP($D998,REGOLITOS!$A:$A,REGOLITOS!K:K)</f>
        <v>#N/A</v>
      </c>
      <c r="L998" s="76"/>
      <c r="M998" s="5" t="s">
        <v>1080</v>
      </c>
      <c r="N998" s="5" t="s">
        <v>1080</v>
      </c>
      <c r="O998" s="5" t="s">
        <v>1080</v>
      </c>
      <c r="P998" s="5" t="s">
        <v>1080</v>
      </c>
      <c r="Q998" s="5" t="s">
        <v>1080</v>
      </c>
      <c r="X998" s="71">
        <f t="shared" si="5"/>
        <v>0</v>
      </c>
      <c r="Y998" s="5" t="b">
        <v>0</v>
      </c>
    </row>
    <row r="999">
      <c r="B999" s="5" t="str">
        <f t="array" ref="B999">XLOOKUP(A999, CURSOS!A:A, CURSOS!B:B)</f>
        <v>#N/A</v>
      </c>
      <c r="C999" s="75" t="str">
        <f t="array" ref="C999">XLOOKUP(A999, CURSOS!A:A, CURSOS!C:C)</f>
        <v>#N/A</v>
      </c>
      <c r="D999" s="70" t="e">
        <v>#N/A</v>
      </c>
      <c r="E999" s="48"/>
      <c r="F999" s="48" t="str">
        <f t="array" ref="F999">XLOOKUP($D999,REGOLITOS!$A:$A,REGOLITOS!F:F)</f>
        <v>#N/A</v>
      </c>
      <c r="G999" s="48" t="str">
        <f t="array" ref="G999">XLOOKUP($D999,REGOLITOS!$A:$A,REGOLITOS!G:G)</f>
        <v>#N/A</v>
      </c>
      <c r="H999" s="48" t="str">
        <f t="array" ref="H999">XLOOKUP($D999,REGOLITOS!$A:$A,REGOLITOS!H:H)</f>
        <v>#N/A</v>
      </c>
      <c r="I999" s="48" t="str">
        <f t="array" ref="I999">XLOOKUP($D999,REGOLITOS!$A:$A,REGOLITOS!I:I)</f>
        <v>#N/A</v>
      </c>
      <c r="J999" s="48" t="str">
        <f t="array" ref="J999">XLOOKUP($D999,REGOLITOS!$A:$A,REGOLITOS!J:J)</f>
        <v>#N/A</v>
      </c>
      <c r="K999" s="48" t="str">
        <f t="array" ref="K999">XLOOKUP($D999,REGOLITOS!$A:$A,REGOLITOS!K:K)</f>
        <v>#N/A</v>
      </c>
      <c r="L999" s="76"/>
      <c r="M999" s="5" t="s">
        <v>1080</v>
      </c>
      <c r="N999" s="5" t="s">
        <v>1080</v>
      </c>
      <c r="O999" s="5" t="s">
        <v>1080</v>
      </c>
      <c r="P999" s="5" t="s">
        <v>1080</v>
      </c>
      <c r="Q999" s="5" t="s">
        <v>1080</v>
      </c>
      <c r="X999" s="71">
        <f t="shared" si="5"/>
        <v>0</v>
      </c>
      <c r="Y999" s="5" t="b">
        <v>0</v>
      </c>
    </row>
    <row r="1000">
      <c r="B1000" s="5" t="str">
        <f t="array" ref="B1000">XLOOKUP(A1000, CURSOS!A:A, CURSOS!B:B)</f>
        <v>#N/A</v>
      </c>
      <c r="C1000" s="75" t="str">
        <f t="array" ref="C1000">XLOOKUP(A1000, CURSOS!A:A, CURSOS!C:C)</f>
        <v>#N/A</v>
      </c>
      <c r="D1000" s="70" t="e">
        <v>#N/A</v>
      </c>
      <c r="E1000" s="48"/>
      <c r="F1000" s="48" t="str">
        <f t="array" ref="F1000">XLOOKUP($D1000,REGOLITOS!$A:$A,REGOLITOS!F:F)</f>
        <v>#N/A</v>
      </c>
      <c r="G1000" s="48" t="str">
        <f t="array" ref="G1000">XLOOKUP($D1000,REGOLITOS!$A:$A,REGOLITOS!G:G)</f>
        <v>#N/A</v>
      </c>
      <c r="H1000" s="48" t="str">
        <f t="array" ref="H1000">XLOOKUP($D1000,REGOLITOS!$A:$A,REGOLITOS!H:H)</f>
        <v>#N/A</v>
      </c>
      <c r="I1000" s="48" t="str">
        <f t="array" ref="I1000">XLOOKUP($D1000,REGOLITOS!$A:$A,REGOLITOS!I:I)</f>
        <v>#N/A</v>
      </c>
      <c r="J1000" s="48" t="str">
        <f t="array" ref="J1000">XLOOKUP($D1000,REGOLITOS!$A:$A,REGOLITOS!J:J)</f>
        <v>#N/A</v>
      </c>
      <c r="K1000" s="48" t="str">
        <f t="array" ref="K1000">XLOOKUP($D1000,REGOLITOS!$A:$A,REGOLITOS!K:K)</f>
        <v>#N/A</v>
      </c>
      <c r="L1000" s="76"/>
      <c r="M1000" s="5" t="s">
        <v>1080</v>
      </c>
      <c r="N1000" s="5" t="s">
        <v>1080</v>
      </c>
      <c r="O1000" s="5" t="s">
        <v>1080</v>
      </c>
      <c r="P1000" s="5" t="s">
        <v>1080</v>
      </c>
      <c r="Q1000" s="5" t="s">
        <v>1080</v>
      </c>
      <c r="X1000" s="71">
        <f t="shared" si="5"/>
        <v>0</v>
      </c>
      <c r="Y1000" s="5" t="b">
        <v>0</v>
      </c>
    </row>
    <row r="1001">
      <c r="B1001" s="5" t="str">
        <f t="array" ref="B1001">XLOOKUP(A1001, CURSOS!A:A, CURSOS!B:B)</f>
        <v>#N/A</v>
      </c>
      <c r="C1001" s="75" t="str">
        <f t="array" ref="C1001">XLOOKUP(A1001, CURSOS!A:A, CURSOS!C:C)</f>
        <v>#N/A</v>
      </c>
      <c r="D1001" s="70" t="e">
        <v>#N/A</v>
      </c>
      <c r="E1001" s="48"/>
      <c r="F1001" s="48" t="str">
        <f t="array" ref="F1001">XLOOKUP($D1001,REGOLITOS!$A:$A,REGOLITOS!F:F)</f>
        <v>#N/A</v>
      </c>
      <c r="G1001" s="48" t="str">
        <f t="array" ref="G1001">XLOOKUP($D1001,REGOLITOS!$A:$A,REGOLITOS!G:G)</f>
        <v>#N/A</v>
      </c>
      <c r="H1001" s="48" t="str">
        <f t="array" ref="H1001">XLOOKUP($D1001,REGOLITOS!$A:$A,REGOLITOS!H:H)</f>
        <v>#N/A</v>
      </c>
      <c r="I1001" s="48" t="str">
        <f t="array" ref="I1001">XLOOKUP($D1001,REGOLITOS!$A:$A,REGOLITOS!I:I)</f>
        <v>#N/A</v>
      </c>
      <c r="J1001" s="48" t="str">
        <f t="array" ref="J1001">XLOOKUP($D1001,REGOLITOS!$A:$A,REGOLITOS!J:J)</f>
        <v>#N/A</v>
      </c>
      <c r="K1001" s="48" t="str">
        <f t="array" ref="K1001">XLOOKUP($D1001,REGOLITOS!$A:$A,REGOLITOS!K:K)</f>
        <v>#N/A</v>
      </c>
      <c r="L1001" s="76"/>
      <c r="M1001" s="5" t="s">
        <v>1080</v>
      </c>
      <c r="N1001" s="5" t="s">
        <v>1080</v>
      </c>
      <c r="O1001" s="5" t="s">
        <v>1080</v>
      </c>
      <c r="P1001" s="5" t="s">
        <v>1080</v>
      </c>
      <c r="Q1001" s="5" t="s">
        <v>1080</v>
      </c>
      <c r="X1001" s="71">
        <f t="shared" si="5"/>
        <v>0</v>
      </c>
      <c r="Y1001" s="5" t="b">
        <v>0</v>
      </c>
    </row>
    <row r="1002">
      <c r="B1002" s="5" t="str">
        <f t="array" ref="B1002">XLOOKUP(A1002, CURSOS!A:A, CURSOS!B:B)</f>
        <v>#N/A</v>
      </c>
      <c r="C1002" s="75" t="str">
        <f t="array" ref="C1002">XLOOKUP(A1002, CURSOS!A:A, CURSOS!C:C)</f>
        <v>#N/A</v>
      </c>
      <c r="D1002" s="70" t="e">
        <v>#N/A</v>
      </c>
      <c r="E1002" s="48"/>
      <c r="F1002" s="48" t="str">
        <f t="array" ref="F1002">XLOOKUP($D1002,REGOLITOS!$A:$A,REGOLITOS!F:F)</f>
        <v>#N/A</v>
      </c>
      <c r="G1002" s="48" t="str">
        <f t="array" ref="G1002">XLOOKUP($D1002,REGOLITOS!$A:$A,REGOLITOS!G:G)</f>
        <v>#N/A</v>
      </c>
      <c r="H1002" s="48" t="str">
        <f t="array" ref="H1002">XLOOKUP($D1002,REGOLITOS!$A:$A,REGOLITOS!H:H)</f>
        <v>#N/A</v>
      </c>
      <c r="I1002" s="48" t="str">
        <f t="array" ref="I1002">XLOOKUP($D1002,REGOLITOS!$A:$A,REGOLITOS!I:I)</f>
        <v>#N/A</v>
      </c>
      <c r="J1002" s="48" t="str">
        <f t="array" ref="J1002">XLOOKUP($D1002,REGOLITOS!$A:$A,REGOLITOS!J:J)</f>
        <v>#N/A</v>
      </c>
      <c r="K1002" s="48" t="str">
        <f t="array" ref="K1002">XLOOKUP($D1002,REGOLITOS!$A:$A,REGOLITOS!K:K)</f>
        <v>#N/A</v>
      </c>
      <c r="L1002" s="76"/>
      <c r="M1002" s="5" t="s">
        <v>1080</v>
      </c>
      <c r="N1002" s="5" t="s">
        <v>1080</v>
      </c>
      <c r="O1002" s="5" t="s">
        <v>1080</v>
      </c>
      <c r="P1002" s="5" t="s">
        <v>1080</v>
      </c>
      <c r="Q1002" s="5" t="s">
        <v>1080</v>
      </c>
      <c r="X1002" s="71">
        <f t="shared" si="5"/>
        <v>0</v>
      </c>
      <c r="Y1002" s="5" t="b">
        <v>0</v>
      </c>
    </row>
    <row r="1003">
      <c r="B1003" s="5" t="str">
        <f t="array" ref="B1003">XLOOKUP(A1003, CURSOS!A:A, CURSOS!B:B)</f>
        <v>#N/A</v>
      </c>
      <c r="C1003" s="75" t="str">
        <f t="array" ref="C1003">XLOOKUP(A1003, CURSOS!A:A, CURSOS!C:C)</f>
        <v>#N/A</v>
      </c>
      <c r="D1003" s="70" t="e">
        <v>#N/A</v>
      </c>
      <c r="E1003" s="48"/>
      <c r="F1003" s="48" t="str">
        <f t="array" ref="F1003">XLOOKUP($D1003,REGOLITOS!$A:$A,REGOLITOS!F:F)</f>
        <v>#N/A</v>
      </c>
      <c r="G1003" s="48" t="str">
        <f t="array" ref="G1003">XLOOKUP($D1003,REGOLITOS!$A:$A,REGOLITOS!G:G)</f>
        <v>#N/A</v>
      </c>
      <c r="H1003" s="48" t="str">
        <f t="array" ref="H1003">XLOOKUP($D1003,REGOLITOS!$A:$A,REGOLITOS!H:H)</f>
        <v>#N/A</v>
      </c>
      <c r="I1003" s="48" t="str">
        <f t="array" ref="I1003">XLOOKUP($D1003,REGOLITOS!$A:$A,REGOLITOS!I:I)</f>
        <v>#N/A</v>
      </c>
      <c r="J1003" s="48" t="str">
        <f t="array" ref="J1003">XLOOKUP($D1003,REGOLITOS!$A:$A,REGOLITOS!J:J)</f>
        <v>#N/A</v>
      </c>
      <c r="K1003" s="48" t="str">
        <f t="array" ref="K1003">XLOOKUP($D1003,REGOLITOS!$A:$A,REGOLITOS!K:K)</f>
        <v>#N/A</v>
      </c>
      <c r="L1003" s="76"/>
      <c r="M1003" s="5" t="s">
        <v>1080</v>
      </c>
      <c r="N1003" s="5" t="s">
        <v>1080</v>
      </c>
      <c r="O1003" s="5" t="s">
        <v>1080</v>
      </c>
      <c r="P1003" s="5" t="s">
        <v>1080</v>
      </c>
      <c r="Q1003" s="5" t="s">
        <v>1080</v>
      </c>
      <c r="X1003" s="71">
        <f t="shared" si="5"/>
        <v>0</v>
      </c>
      <c r="Y1003" s="5" t="b">
        <v>0</v>
      </c>
    </row>
    <row r="1004">
      <c r="B1004" s="5" t="str">
        <f t="array" ref="B1004">XLOOKUP(A1004, CURSOS!A:A, CURSOS!B:B)</f>
        <v>#N/A</v>
      </c>
      <c r="C1004" s="75" t="str">
        <f t="array" ref="C1004">XLOOKUP(A1004, CURSOS!A:A, CURSOS!C:C)</f>
        <v>#N/A</v>
      </c>
      <c r="D1004" s="70" t="e">
        <v>#N/A</v>
      </c>
      <c r="E1004" s="48"/>
      <c r="F1004" s="48" t="str">
        <f t="array" ref="F1004">XLOOKUP($D1004,REGOLITOS!$A:$A,REGOLITOS!F:F)</f>
        <v>#N/A</v>
      </c>
      <c r="G1004" s="48" t="str">
        <f t="array" ref="G1004">XLOOKUP($D1004,REGOLITOS!$A:$A,REGOLITOS!G:G)</f>
        <v>#N/A</v>
      </c>
      <c r="H1004" s="48" t="str">
        <f t="array" ref="H1004">XLOOKUP($D1004,REGOLITOS!$A:$A,REGOLITOS!H:H)</f>
        <v>#N/A</v>
      </c>
      <c r="I1004" s="48" t="str">
        <f t="array" ref="I1004">XLOOKUP($D1004,REGOLITOS!$A:$A,REGOLITOS!I:I)</f>
        <v>#N/A</v>
      </c>
      <c r="J1004" s="48" t="str">
        <f t="array" ref="J1004">XLOOKUP($D1004,REGOLITOS!$A:$A,REGOLITOS!J:J)</f>
        <v>#N/A</v>
      </c>
      <c r="K1004" s="48" t="str">
        <f t="array" ref="K1004">XLOOKUP($D1004,REGOLITOS!$A:$A,REGOLITOS!K:K)</f>
        <v>#N/A</v>
      </c>
      <c r="L1004" s="76"/>
      <c r="M1004" s="5" t="s">
        <v>1080</v>
      </c>
      <c r="N1004" s="5" t="s">
        <v>1080</v>
      </c>
      <c r="O1004" s="5" t="s">
        <v>1080</v>
      </c>
      <c r="P1004" s="5" t="s">
        <v>1080</v>
      </c>
      <c r="Q1004" s="5" t="s">
        <v>1080</v>
      </c>
      <c r="X1004" s="71">
        <f t="shared" si="5"/>
        <v>0</v>
      </c>
      <c r="Y1004" s="5" t="b">
        <v>0</v>
      </c>
    </row>
    <row r="1005">
      <c r="B1005" s="5" t="str">
        <f t="array" ref="B1005">XLOOKUP(A1005, CURSOS!A:A, CURSOS!B:B)</f>
        <v>#N/A</v>
      </c>
      <c r="C1005" s="75" t="str">
        <f t="array" ref="C1005">XLOOKUP(A1005, CURSOS!A:A, CURSOS!C:C)</f>
        <v>#N/A</v>
      </c>
      <c r="D1005" s="70" t="e">
        <v>#N/A</v>
      </c>
      <c r="E1005" s="48"/>
      <c r="F1005" s="48" t="str">
        <f t="array" ref="F1005">XLOOKUP($D1005,REGOLITOS!$A:$A,REGOLITOS!F:F)</f>
        <v>#N/A</v>
      </c>
      <c r="G1005" s="48" t="str">
        <f t="array" ref="G1005">XLOOKUP($D1005,REGOLITOS!$A:$A,REGOLITOS!G:G)</f>
        <v>#N/A</v>
      </c>
      <c r="H1005" s="48" t="str">
        <f t="array" ref="H1005">XLOOKUP($D1005,REGOLITOS!$A:$A,REGOLITOS!H:H)</f>
        <v>#N/A</v>
      </c>
      <c r="I1005" s="48" t="str">
        <f t="array" ref="I1005">XLOOKUP($D1005,REGOLITOS!$A:$A,REGOLITOS!I:I)</f>
        <v>#N/A</v>
      </c>
      <c r="J1005" s="48" t="str">
        <f t="array" ref="J1005">XLOOKUP($D1005,REGOLITOS!$A:$A,REGOLITOS!J:J)</f>
        <v>#N/A</v>
      </c>
      <c r="K1005" s="48" t="str">
        <f t="array" ref="K1005">XLOOKUP($D1005,REGOLITOS!$A:$A,REGOLITOS!K:K)</f>
        <v>#N/A</v>
      </c>
      <c r="L1005" s="76"/>
      <c r="M1005" s="5" t="s">
        <v>1080</v>
      </c>
      <c r="N1005" s="5" t="s">
        <v>1080</v>
      </c>
      <c r="O1005" s="5" t="s">
        <v>1080</v>
      </c>
      <c r="P1005" s="5" t="s">
        <v>1080</v>
      </c>
      <c r="Q1005" s="5" t="s">
        <v>1080</v>
      </c>
      <c r="X1005" s="71">
        <f t="shared" si="5"/>
        <v>0</v>
      </c>
      <c r="Y1005" s="5" t="b">
        <v>0</v>
      </c>
    </row>
    <row r="1006">
      <c r="B1006" s="5" t="str">
        <f t="array" ref="B1006">XLOOKUP(A1006, CURSOS!A:A, CURSOS!B:B)</f>
        <v>#N/A</v>
      </c>
      <c r="C1006" s="75" t="str">
        <f t="array" ref="C1006">XLOOKUP(A1006, CURSOS!A:A, CURSOS!C:C)</f>
        <v>#N/A</v>
      </c>
      <c r="D1006" s="70" t="e">
        <v>#N/A</v>
      </c>
      <c r="E1006" s="48"/>
      <c r="F1006" s="48" t="str">
        <f t="array" ref="F1006">XLOOKUP($D1006,REGOLITOS!$A:$A,REGOLITOS!F:F)</f>
        <v>#N/A</v>
      </c>
      <c r="G1006" s="48" t="str">
        <f t="array" ref="G1006">XLOOKUP($D1006,REGOLITOS!$A:$A,REGOLITOS!G:G)</f>
        <v>#N/A</v>
      </c>
      <c r="H1006" s="48" t="str">
        <f t="array" ref="H1006">XLOOKUP($D1006,REGOLITOS!$A:$A,REGOLITOS!H:H)</f>
        <v>#N/A</v>
      </c>
      <c r="I1006" s="48" t="str">
        <f t="array" ref="I1006">XLOOKUP($D1006,REGOLITOS!$A:$A,REGOLITOS!I:I)</f>
        <v>#N/A</v>
      </c>
      <c r="J1006" s="48" t="str">
        <f t="array" ref="J1006">XLOOKUP($D1006,REGOLITOS!$A:$A,REGOLITOS!J:J)</f>
        <v>#N/A</v>
      </c>
      <c r="K1006" s="48" t="str">
        <f t="array" ref="K1006">XLOOKUP($D1006,REGOLITOS!$A:$A,REGOLITOS!K:K)</f>
        <v>#N/A</v>
      </c>
      <c r="L1006" s="76"/>
      <c r="M1006" s="5" t="s">
        <v>1080</v>
      </c>
      <c r="N1006" s="5" t="s">
        <v>1080</v>
      </c>
      <c r="O1006" s="5" t="s">
        <v>1080</v>
      </c>
      <c r="P1006" s="5" t="s">
        <v>1080</v>
      </c>
      <c r="Q1006" s="5" t="s">
        <v>1080</v>
      </c>
      <c r="X1006" s="71">
        <f t="shared" si="5"/>
        <v>0</v>
      </c>
      <c r="Y1006" s="5" t="b">
        <v>0</v>
      </c>
    </row>
    <row r="1007">
      <c r="B1007" s="5" t="str">
        <f t="array" ref="B1007">XLOOKUP(A1007, CURSOS!A:A, CURSOS!B:B)</f>
        <v>#N/A</v>
      </c>
      <c r="C1007" s="75" t="str">
        <f t="array" ref="C1007">XLOOKUP(A1007, CURSOS!A:A, CURSOS!C:C)</f>
        <v>#N/A</v>
      </c>
      <c r="D1007" s="70" t="e">
        <v>#N/A</v>
      </c>
      <c r="E1007" s="48"/>
      <c r="F1007" s="48" t="str">
        <f t="array" ref="F1007">XLOOKUP($D1007,REGOLITOS!$A:$A,REGOLITOS!F:F)</f>
        <v>#N/A</v>
      </c>
      <c r="G1007" s="48" t="str">
        <f t="array" ref="G1007">XLOOKUP($D1007,REGOLITOS!$A:$A,REGOLITOS!G:G)</f>
        <v>#N/A</v>
      </c>
      <c r="H1007" s="48" t="str">
        <f t="array" ref="H1007">XLOOKUP($D1007,REGOLITOS!$A:$A,REGOLITOS!H:H)</f>
        <v>#N/A</v>
      </c>
      <c r="I1007" s="48" t="str">
        <f t="array" ref="I1007">XLOOKUP($D1007,REGOLITOS!$A:$A,REGOLITOS!I:I)</f>
        <v>#N/A</v>
      </c>
      <c r="J1007" s="48" t="str">
        <f t="array" ref="J1007">XLOOKUP($D1007,REGOLITOS!$A:$A,REGOLITOS!J:J)</f>
        <v>#N/A</v>
      </c>
      <c r="K1007" s="48" t="str">
        <f t="array" ref="K1007">XLOOKUP($D1007,REGOLITOS!$A:$A,REGOLITOS!K:K)</f>
        <v>#N/A</v>
      </c>
      <c r="L1007" s="76"/>
      <c r="M1007" s="5" t="s">
        <v>1080</v>
      </c>
      <c r="N1007" s="5" t="s">
        <v>1080</v>
      </c>
      <c r="O1007" s="5" t="s">
        <v>1080</v>
      </c>
      <c r="P1007" s="5" t="s">
        <v>1080</v>
      </c>
      <c r="Q1007" s="5" t="s">
        <v>1080</v>
      </c>
      <c r="X1007" s="71">
        <f t="shared" si="5"/>
        <v>0</v>
      </c>
      <c r="Y1007" s="5" t="b">
        <v>0</v>
      </c>
    </row>
    <row r="1008">
      <c r="B1008" s="5" t="str">
        <f t="array" ref="B1008">XLOOKUP(A1008, CURSOS!A:A, CURSOS!B:B)</f>
        <v>#N/A</v>
      </c>
      <c r="C1008" s="75" t="str">
        <f t="array" ref="C1008">XLOOKUP(A1008, CURSOS!A:A, CURSOS!C:C)</f>
        <v>#N/A</v>
      </c>
      <c r="D1008" s="70" t="e">
        <v>#N/A</v>
      </c>
      <c r="E1008" s="48"/>
      <c r="F1008" s="48" t="str">
        <f t="array" ref="F1008">XLOOKUP($D1008,REGOLITOS!$A:$A,REGOLITOS!F:F)</f>
        <v>#N/A</v>
      </c>
      <c r="G1008" s="48" t="str">
        <f t="array" ref="G1008">XLOOKUP($D1008,REGOLITOS!$A:$A,REGOLITOS!G:G)</f>
        <v>#N/A</v>
      </c>
      <c r="H1008" s="48" t="str">
        <f t="array" ref="H1008">XLOOKUP($D1008,REGOLITOS!$A:$A,REGOLITOS!H:H)</f>
        <v>#N/A</v>
      </c>
      <c r="I1008" s="48" t="str">
        <f t="array" ref="I1008">XLOOKUP($D1008,REGOLITOS!$A:$A,REGOLITOS!I:I)</f>
        <v>#N/A</v>
      </c>
      <c r="J1008" s="48" t="str">
        <f t="array" ref="J1008">XLOOKUP($D1008,REGOLITOS!$A:$A,REGOLITOS!J:J)</f>
        <v>#N/A</v>
      </c>
      <c r="K1008" s="48" t="str">
        <f t="array" ref="K1008">XLOOKUP($D1008,REGOLITOS!$A:$A,REGOLITOS!K:K)</f>
        <v>#N/A</v>
      </c>
      <c r="L1008" s="76"/>
      <c r="M1008" s="5" t="s">
        <v>1080</v>
      </c>
      <c r="N1008" s="5" t="s">
        <v>1080</v>
      </c>
      <c r="O1008" s="5" t="s">
        <v>1080</v>
      </c>
      <c r="P1008" s="5" t="s">
        <v>1080</v>
      </c>
      <c r="Q1008" s="5" t="s">
        <v>1080</v>
      </c>
      <c r="X1008" s="71">
        <f t="shared" si="5"/>
        <v>0</v>
      </c>
      <c r="Y1008" s="5" t="b">
        <v>0</v>
      </c>
    </row>
    <row r="1009">
      <c r="B1009" s="5" t="str">
        <f t="array" ref="B1009">XLOOKUP(A1009, CURSOS!A:A, CURSOS!B:B)</f>
        <v>#N/A</v>
      </c>
      <c r="C1009" s="75" t="str">
        <f t="array" ref="C1009">XLOOKUP(A1009, CURSOS!A:A, CURSOS!C:C)</f>
        <v>#N/A</v>
      </c>
      <c r="D1009" s="70" t="e">
        <v>#N/A</v>
      </c>
      <c r="E1009" s="48"/>
      <c r="F1009" s="48" t="str">
        <f t="array" ref="F1009">XLOOKUP($D1009,REGOLITOS!$A:$A,REGOLITOS!F:F)</f>
        <v>#N/A</v>
      </c>
      <c r="G1009" s="48" t="str">
        <f t="array" ref="G1009">XLOOKUP($D1009,REGOLITOS!$A:$A,REGOLITOS!G:G)</f>
        <v>#N/A</v>
      </c>
      <c r="H1009" s="48" t="str">
        <f t="array" ref="H1009">XLOOKUP($D1009,REGOLITOS!$A:$A,REGOLITOS!H:H)</f>
        <v>#N/A</v>
      </c>
      <c r="I1009" s="48" t="str">
        <f t="array" ref="I1009">XLOOKUP($D1009,REGOLITOS!$A:$A,REGOLITOS!I:I)</f>
        <v>#N/A</v>
      </c>
      <c r="J1009" s="48" t="str">
        <f t="array" ref="J1009">XLOOKUP($D1009,REGOLITOS!$A:$A,REGOLITOS!J:J)</f>
        <v>#N/A</v>
      </c>
      <c r="K1009" s="48" t="str">
        <f t="array" ref="K1009">XLOOKUP($D1009,REGOLITOS!$A:$A,REGOLITOS!K:K)</f>
        <v>#N/A</v>
      </c>
      <c r="L1009" s="76"/>
      <c r="M1009" s="5" t="s">
        <v>1080</v>
      </c>
      <c r="N1009" s="5" t="s">
        <v>1080</v>
      </c>
      <c r="O1009" s="5" t="s">
        <v>1080</v>
      </c>
      <c r="P1009" s="5" t="s">
        <v>1080</v>
      </c>
      <c r="Q1009" s="5" t="s">
        <v>1080</v>
      </c>
      <c r="X1009" s="71">
        <f t="shared" si="5"/>
        <v>0</v>
      </c>
      <c r="Y1009" s="5" t="b">
        <v>0</v>
      </c>
    </row>
    <row r="1010">
      <c r="B1010" s="5" t="str">
        <f t="array" ref="B1010">XLOOKUP(A1010, CURSOS!A:A, CURSOS!B:B)</f>
        <v>#N/A</v>
      </c>
      <c r="C1010" s="75" t="str">
        <f t="array" ref="C1010">XLOOKUP(A1010, CURSOS!A:A, CURSOS!C:C)</f>
        <v>#N/A</v>
      </c>
      <c r="D1010" s="70" t="e">
        <v>#N/A</v>
      </c>
      <c r="E1010" s="48"/>
      <c r="F1010" s="48" t="str">
        <f t="array" ref="F1010">XLOOKUP($D1010,REGOLITOS!$A:$A,REGOLITOS!F:F)</f>
        <v>#N/A</v>
      </c>
      <c r="G1010" s="48" t="str">
        <f t="array" ref="G1010">XLOOKUP($D1010,REGOLITOS!$A:$A,REGOLITOS!G:G)</f>
        <v>#N/A</v>
      </c>
      <c r="H1010" s="48" t="str">
        <f t="array" ref="H1010">XLOOKUP($D1010,REGOLITOS!$A:$A,REGOLITOS!H:H)</f>
        <v>#N/A</v>
      </c>
      <c r="I1010" s="48" t="str">
        <f t="array" ref="I1010">XLOOKUP($D1010,REGOLITOS!$A:$A,REGOLITOS!I:I)</f>
        <v>#N/A</v>
      </c>
      <c r="J1010" s="48" t="str">
        <f t="array" ref="J1010">XLOOKUP($D1010,REGOLITOS!$A:$A,REGOLITOS!J:J)</f>
        <v>#N/A</v>
      </c>
      <c r="K1010" s="48" t="str">
        <f t="array" ref="K1010">XLOOKUP($D1010,REGOLITOS!$A:$A,REGOLITOS!K:K)</f>
        <v>#N/A</v>
      </c>
      <c r="L1010" s="76"/>
      <c r="M1010" s="5" t="s">
        <v>1080</v>
      </c>
      <c r="N1010" s="5" t="s">
        <v>1080</v>
      </c>
      <c r="O1010" s="5" t="s">
        <v>1080</v>
      </c>
      <c r="P1010" s="5" t="s">
        <v>1080</v>
      </c>
      <c r="Q1010" s="5" t="s">
        <v>1080</v>
      </c>
      <c r="X1010" s="71">
        <f t="shared" si="5"/>
        <v>0</v>
      </c>
      <c r="Y1010" s="5" t="b">
        <v>0</v>
      </c>
    </row>
    <row r="1011">
      <c r="B1011" s="5" t="str">
        <f t="array" ref="B1011">XLOOKUP(A1011, CURSOS!A:A, CURSOS!B:B)</f>
        <v>#N/A</v>
      </c>
      <c r="C1011" s="75" t="str">
        <f t="array" ref="C1011">XLOOKUP(A1011, CURSOS!A:A, CURSOS!C:C)</f>
        <v>#N/A</v>
      </c>
      <c r="D1011" s="70" t="e">
        <v>#N/A</v>
      </c>
      <c r="E1011" s="48"/>
      <c r="F1011" s="48" t="str">
        <f t="array" ref="F1011">XLOOKUP($D1011,REGOLITOS!$A:$A,REGOLITOS!F:F)</f>
        <v>#N/A</v>
      </c>
      <c r="G1011" s="48" t="str">
        <f t="array" ref="G1011">XLOOKUP($D1011,REGOLITOS!$A:$A,REGOLITOS!G:G)</f>
        <v>#N/A</v>
      </c>
      <c r="H1011" s="48" t="str">
        <f t="array" ref="H1011">XLOOKUP($D1011,REGOLITOS!$A:$A,REGOLITOS!H:H)</f>
        <v>#N/A</v>
      </c>
      <c r="I1011" s="48" t="str">
        <f t="array" ref="I1011">XLOOKUP($D1011,REGOLITOS!$A:$A,REGOLITOS!I:I)</f>
        <v>#N/A</v>
      </c>
      <c r="J1011" s="48" t="str">
        <f t="array" ref="J1011">XLOOKUP($D1011,REGOLITOS!$A:$A,REGOLITOS!J:J)</f>
        <v>#N/A</v>
      </c>
      <c r="K1011" s="48" t="str">
        <f t="array" ref="K1011">XLOOKUP($D1011,REGOLITOS!$A:$A,REGOLITOS!K:K)</f>
        <v>#N/A</v>
      </c>
      <c r="L1011" s="76"/>
      <c r="M1011" s="5" t="s">
        <v>1080</v>
      </c>
      <c r="N1011" s="5" t="s">
        <v>1080</v>
      </c>
      <c r="O1011" s="5" t="s">
        <v>1080</v>
      </c>
      <c r="P1011" s="5" t="s">
        <v>1080</v>
      </c>
      <c r="Q1011" s="5" t="s">
        <v>1080</v>
      </c>
      <c r="X1011" s="71">
        <f t="shared" si="5"/>
        <v>0</v>
      </c>
      <c r="Y1011" s="5" t="b">
        <v>0</v>
      </c>
    </row>
    <row r="1012">
      <c r="B1012" s="5" t="str">
        <f t="array" ref="B1012">XLOOKUP(A1012, CURSOS!A:A, CURSOS!B:B)</f>
        <v>#N/A</v>
      </c>
      <c r="C1012" s="75" t="str">
        <f t="array" ref="C1012">XLOOKUP(A1012, CURSOS!A:A, CURSOS!C:C)</f>
        <v>#N/A</v>
      </c>
      <c r="D1012" s="70" t="e">
        <v>#N/A</v>
      </c>
      <c r="E1012" s="48"/>
      <c r="F1012" s="48" t="str">
        <f t="array" ref="F1012">XLOOKUP($D1012,REGOLITOS!$A:$A,REGOLITOS!F:F)</f>
        <v>#N/A</v>
      </c>
      <c r="G1012" s="48" t="str">
        <f t="array" ref="G1012">XLOOKUP($D1012,REGOLITOS!$A:$A,REGOLITOS!G:G)</f>
        <v>#N/A</v>
      </c>
      <c r="H1012" s="48" t="str">
        <f t="array" ref="H1012">XLOOKUP($D1012,REGOLITOS!$A:$A,REGOLITOS!H:H)</f>
        <v>#N/A</v>
      </c>
      <c r="I1012" s="48" t="str">
        <f t="array" ref="I1012">XLOOKUP($D1012,REGOLITOS!$A:$A,REGOLITOS!I:I)</f>
        <v>#N/A</v>
      </c>
      <c r="J1012" s="48" t="str">
        <f t="array" ref="J1012">XLOOKUP($D1012,REGOLITOS!$A:$A,REGOLITOS!J:J)</f>
        <v>#N/A</v>
      </c>
      <c r="K1012" s="48" t="str">
        <f t="array" ref="K1012">XLOOKUP($D1012,REGOLITOS!$A:$A,REGOLITOS!K:K)</f>
        <v>#N/A</v>
      </c>
      <c r="L1012" s="76"/>
      <c r="M1012" s="5" t="s">
        <v>1080</v>
      </c>
      <c r="N1012" s="5" t="s">
        <v>1080</v>
      </c>
      <c r="O1012" s="5" t="s">
        <v>1080</v>
      </c>
      <c r="P1012" s="5" t="s">
        <v>1080</v>
      </c>
      <c r="Q1012" s="5" t="s">
        <v>1080</v>
      </c>
      <c r="X1012" s="71">
        <f t="shared" si="5"/>
        <v>0</v>
      </c>
      <c r="Y1012" s="5" t="b">
        <v>0</v>
      </c>
    </row>
    <row r="1013">
      <c r="B1013" s="5" t="str">
        <f t="array" ref="B1013">XLOOKUP(A1013, CURSOS!A:A, CURSOS!B:B)</f>
        <v>#N/A</v>
      </c>
      <c r="C1013" s="75" t="str">
        <f t="array" ref="C1013">XLOOKUP(A1013, CURSOS!A:A, CURSOS!C:C)</f>
        <v>#N/A</v>
      </c>
      <c r="D1013" s="70" t="e">
        <v>#N/A</v>
      </c>
      <c r="E1013" s="48"/>
      <c r="F1013" s="48" t="str">
        <f t="array" ref="F1013">XLOOKUP($D1013,REGOLITOS!$A:$A,REGOLITOS!F:F)</f>
        <v>#N/A</v>
      </c>
      <c r="G1013" s="48" t="str">
        <f t="array" ref="G1013">XLOOKUP($D1013,REGOLITOS!$A:$A,REGOLITOS!G:G)</f>
        <v>#N/A</v>
      </c>
      <c r="H1013" s="48" t="str">
        <f t="array" ref="H1013">XLOOKUP($D1013,REGOLITOS!$A:$A,REGOLITOS!H:H)</f>
        <v>#N/A</v>
      </c>
      <c r="I1013" s="48" t="str">
        <f t="array" ref="I1013">XLOOKUP($D1013,REGOLITOS!$A:$A,REGOLITOS!I:I)</f>
        <v>#N/A</v>
      </c>
      <c r="J1013" s="48" t="str">
        <f t="array" ref="J1013">XLOOKUP($D1013,REGOLITOS!$A:$A,REGOLITOS!J:J)</f>
        <v>#N/A</v>
      </c>
      <c r="K1013" s="48" t="str">
        <f t="array" ref="K1013">XLOOKUP($D1013,REGOLITOS!$A:$A,REGOLITOS!K:K)</f>
        <v>#N/A</v>
      </c>
      <c r="L1013" s="76"/>
      <c r="M1013" s="5" t="s">
        <v>1080</v>
      </c>
      <c r="N1013" s="5" t="s">
        <v>1080</v>
      </c>
      <c r="O1013" s="5" t="s">
        <v>1080</v>
      </c>
      <c r="P1013" s="5" t="s">
        <v>1080</v>
      </c>
      <c r="Q1013" s="5" t="s">
        <v>1080</v>
      </c>
      <c r="X1013" s="71">
        <f t="shared" si="5"/>
        <v>0</v>
      </c>
      <c r="Y1013" s="5" t="b">
        <v>0</v>
      </c>
    </row>
    <row r="1014">
      <c r="B1014" s="5" t="str">
        <f t="array" ref="B1014">XLOOKUP(A1014, CURSOS!A:A, CURSOS!B:B)</f>
        <v>#N/A</v>
      </c>
      <c r="C1014" s="75" t="str">
        <f t="array" ref="C1014">XLOOKUP(A1014, CURSOS!A:A, CURSOS!C:C)</f>
        <v>#N/A</v>
      </c>
      <c r="D1014" s="70" t="e">
        <v>#N/A</v>
      </c>
      <c r="E1014" s="48"/>
      <c r="F1014" s="48" t="str">
        <f t="array" ref="F1014">XLOOKUP($D1014,REGOLITOS!$A:$A,REGOLITOS!F:F)</f>
        <v>#N/A</v>
      </c>
      <c r="G1014" s="48" t="str">
        <f t="array" ref="G1014">XLOOKUP($D1014,REGOLITOS!$A:$A,REGOLITOS!G:G)</f>
        <v>#N/A</v>
      </c>
      <c r="H1014" s="48" t="str">
        <f t="array" ref="H1014">XLOOKUP($D1014,REGOLITOS!$A:$A,REGOLITOS!H:H)</f>
        <v>#N/A</v>
      </c>
      <c r="I1014" s="48" t="str">
        <f t="array" ref="I1014">XLOOKUP($D1014,REGOLITOS!$A:$A,REGOLITOS!I:I)</f>
        <v>#N/A</v>
      </c>
      <c r="J1014" s="48" t="str">
        <f t="array" ref="J1014">XLOOKUP($D1014,REGOLITOS!$A:$A,REGOLITOS!J:J)</f>
        <v>#N/A</v>
      </c>
      <c r="K1014" s="48" t="str">
        <f t="array" ref="K1014">XLOOKUP($D1014,REGOLITOS!$A:$A,REGOLITOS!K:K)</f>
        <v>#N/A</v>
      </c>
      <c r="L1014" s="76"/>
      <c r="M1014" s="5" t="s">
        <v>1080</v>
      </c>
      <c r="N1014" s="5" t="s">
        <v>1080</v>
      </c>
      <c r="O1014" s="5" t="s">
        <v>1080</v>
      </c>
      <c r="P1014" s="5" t="s">
        <v>1080</v>
      </c>
      <c r="Q1014" s="5" t="s">
        <v>1080</v>
      </c>
      <c r="X1014" s="71">
        <f t="shared" si="5"/>
        <v>0</v>
      </c>
      <c r="Y1014" s="5" t="b">
        <v>0</v>
      </c>
    </row>
    <row r="1015">
      <c r="B1015" s="5" t="str">
        <f t="array" ref="B1015">XLOOKUP(A1015, CURSOS!A:A, CURSOS!B:B)</f>
        <v>#N/A</v>
      </c>
      <c r="C1015" s="75" t="str">
        <f t="array" ref="C1015">XLOOKUP(A1015, CURSOS!A:A, CURSOS!C:C)</f>
        <v>#N/A</v>
      </c>
      <c r="D1015" s="70" t="e">
        <v>#N/A</v>
      </c>
      <c r="E1015" s="48"/>
      <c r="F1015" s="48" t="str">
        <f t="array" ref="F1015">XLOOKUP($D1015,REGOLITOS!$A:$A,REGOLITOS!F:F)</f>
        <v>#N/A</v>
      </c>
      <c r="G1015" s="48" t="str">
        <f t="array" ref="G1015">XLOOKUP($D1015,REGOLITOS!$A:$A,REGOLITOS!G:G)</f>
        <v>#N/A</v>
      </c>
      <c r="H1015" s="48" t="str">
        <f t="array" ref="H1015">XLOOKUP($D1015,REGOLITOS!$A:$A,REGOLITOS!H:H)</f>
        <v>#N/A</v>
      </c>
      <c r="I1015" s="48" t="str">
        <f t="array" ref="I1015">XLOOKUP($D1015,REGOLITOS!$A:$A,REGOLITOS!I:I)</f>
        <v>#N/A</v>
      </c>
      <c r="J1015" s="48" t="str">
        <f t="array" ref="J1015">XLOOKUP($D1015,REGOLITOS!$A:$A,REGOLITOS!J:J)</f>
        <v>#N/A</v>
      </c>
      <c r="K1015" s="48" t="str">
        <f t="array" ref="K1015">XLOOKUP($D1015,REGOLITOS!$A:$A,REGOLITOS!K:K)</f>
        <v>#N/A</v>
      </c>
      <c r="L1015" s="76"/>
      <c r="M1015" s="5" t="s">
        <v>1080</v>
      </c>
      <c r="N1015" s="5" t="s">
        <v>1080</v>
      </c>
      <c r="O1015" s="5" t="s">
        <v>1080</v>
      </c>
      <c r="P1015" s="5" t="s">
        <v>1080</v>
      </c>
      <c r="Q1015" s="5" t="s">
        <v>1080</v>
      </c>
      <c r="X1015" s="71">
        <f t="shared" si="5"/>
        <v>0</v>
      </c>
      <c r="Y1015" s="5" t="b">
        <v>0</v>
      </c>
    </row>
    <row r="1016">
      <c r="B1016" s="5" t="str">
        <f t="array" ref="B1016">XLOOKUP(A1016, CURSOS!A:A, CURSOS!B:B)</f>
        <v>#N/A</v>
      </c>
      <c r="C1016" s="75" t="str">
        <f t="array" ref="C1016">XLOOKUP(A1016, CURSOS!A:A, CURSOS!C:C)</f>
        <v>#N/A</v>
      </c>
      <c r="D1016" s="70" t="e">
        <v>#N/A</v>
      </c>
      <c r="E1016" s="48"/>
      <c r="F1016" s="48" t="str">
        <f t="array" ref="F1016">XLOOKUP($D1016,REGOLITOS!$A:$A,REGOLITOS!F:F)</f>
        <v>#N/A</v>
      </c>
      <c r="G1016" s="48" t="str">
        <f t="array" ref="G1016">XLOOKUP($D1016,REGOLITOS!$A:$A,REGOLITOS!G:G)</f>
        <v>#N/A</v>
      </c>
      <c r="H1016" s="48" t="str">
        <f t="array" ref="H1016">XLOOKUP($D1016,REGOLITOS!$A:$A,REGOLITOS!H:H)</f>
        <v>#N/A</v>
      </c>
      <c r="I1016" s="48" t="str">
        <f t="array" ref="I1016">XLOOKUP($D1016,REGOLITOS!$A:$A,REGOLITOS!I:I)</f>
        <v>#N/A</v>
      </c>
      <c r="J1016" s="48" t="str">
        <f t="array" ref="J1016">XLOOKUP($D1016,REGOLITOS!$A:$A,REGOLITOS!J:J)</f>
        <v>#N/A</v>
      </c>
      <c r="K1016" s="48" t="str">
        <f t="array" ref="K1016">XLOOKUP($D1016,REGOLITOS!$A:$A,REGOLITOS!K:K)</f>
        <v>#N/A</v>
      </c>
      <c r="L1016" s="76"/>
      <c r="M1016" s="5" t="s">
        <v>1080</v>
      </c>
      <c r="N1016" s="5" t="s">
        <v>1080</v>
      </c>
      <c r="O1016" s="5" t="s">
        <v>1080</v>
      </c>
      <c r="P1016" s="5" t="s">
        <v>1080</v>
      </c>
      <c r="Q1016" s="5" t="s">
        <v>1080</v>
      </c>
      <c r="X1016" s="71">
        <f t="shared" si="5"/>
        <v>0</v>
      </c>
      <c r="Y1016" s="5" t="b">
        <v>0</v>
      </c>
    </row>
    <row r="1017">
      <c r="B1017" s="5" t="str">
        <f t="array" ref="B1017">XLOOKUP(A1017, CURSOS!A:A, CURSOS!B:B)</f>
        <v>#N/A</v>
      </c>
      <c r="C1017" s="75" t="str">
        <f t="array" ref="C1017">XLOOKUP(A1017, CURSOS!A:A, CURSOS!C:C)</f>
        <v>#N/A</v>
      </c>
      <c r="D1017" s="70" t="e">
        <v>#N/A</v>
      </c>
      <c r="E1017" s="48"/>
      <c r="F1017" s="48" t="str">
        <f t="array" ref="F1017">XLOOKUP($D1017,REGOLITOS!$A:$A,REGOLITOS!F:F)</f>
        <v>#N/A</v>
      </c>
      <c r="G1017" s="48" t="str">
        <f t="array" ref="G1017">XLOOKUP($D1017,REGOLITOS!$A:$A,REGOLITOS!G:G)</f>
        <v>#N/A</v>
      </c>
      <c r="H1017" s="48" t="str">
        <f t="array" ref="H1017">XLOOKUP($D1017,REGOLITOS!$A:$A,REGOLITOS!H:H)</f>
        <v>#N/A</v>
      </c>
      <c r="I1017" s="48" t="str">
        <f t="array" ref="I1017">XLOOKUP($D1017,REGOLITOS!$A:$A,REGOLITOS!I:I)</f>
        <v>#N/A</v>
      </c>
      <c r="J1017" s="48" t="str">
        <f t="array" ref="J1017">XLOOKUP($D1017,REGOLITOS!$A:$A,REGOLITOS!J:J)</f>
        <v>#N/A</v>
      </c>
      <c r="K1017" s="48" t="str">
        <f t="array" ref="K1017">XLOOKUP($D1017,REGOLITOS!$A:$A,REGOLITOS!K:K)</f>
        <v>#N/A</v>
      </c>
      <c r="L1017" s="76"/>
      <c r="M1017" s="5" t="s">
        <v>1080</v>
      </c>
      <c r="N1017" s="5" t="s">
        <v>1080</v>
      </c>
      <c r="O1017" s="5" t="s">
        <v>1080</v>
      </c>
      <c r="P1017" s="5" t="s">
        <v>1080</v>
      </c>
      <c r="Q1017" s="5" t="s">
        <v>1080</v>
      </c>
      <c r="X1017" s="71">
        <f t="shared" si="5"/>
        <v>0</v>
      </c>
      <c r="Y1017" s="5" t="b">
        <v>0</v>
      </c>
    </row>
    <row r="1018">
      <c r="B1018" s="5" t="str">
        <f t="array" ref="B1018">XLOOKUP(A1018, CURSOS!A:A, CURSOS!B:B)</f>
        <v>#N/A</v>
      </c>
      <c r="C1018" s="75" t="str">
        <f t="array" ref="C1018">XLOOKUP(A1018, CURSOS!A:A, CURSOS!C:C)</f>
        <v>#N/A</v>
      </c>
      <c r="D1018" s="70" t="e">
        <v>#N/A</v>
      </c>
      <c r="E1018" s="48"/>
      <c r="F1018" s="48" t="str">
        <f t="array" ref="F1018">XLOOKUP($D1018,REGOLITOS!$A:$A,REGOLITOS!F:F)</f>
        <v>#N/A</v>
      </c>
      <c r="G1018" s="48" t="str">
        <f t="array" ref="G1018">XLOOKUP($D1018,REGOLITOS!$A:$A,REGOLITOS!G:G)</f>
        <v>#N/A</v>
      </c>
      <c r="H1018" s="48" t="str">
        <f t="array" ref="H1018">XLOOKUP($D1018,REGOLITOS!$A:$A,REGOLITOS!H:H)</f>
        <v>#N/A</v>
      </c>
      <c r="I1018" s="48" t="str">
        <f t="array" ref="I1018">XLOOKUP($D1018,REGOLITOS!$A:$A,REGOLITOS!I:I)</f>
        <v>#N/A</v>
      </c>
      <c r="J1018" s="48" t="str">
        <f t="array" ref="J1018">XLOOKUP($D1018,REGOLITOS!$A:$A,REGOLITOS!J:J)</f>
        <v>#N/A</v>
      </c>
      <c r="K1018" s="48" t="str">
        <f t="array" ref="K1018">XLOOKUP($D1018,REGOLITOS!$A:$A,REGOLITOS!K:K)</f>
        <v>#N/A</v>
      </c>
      <c r="L1018" s="76"/>
      <c r="M1018" s="5" t="s">
        <v>1080</v>
      </c>
      <c r="N1018" s="5" t="s">
        <v>1080</v>
      </c>
      <c r="O1018" s="5" t="s">
        <v>1080</v>
      </c>
      <c r="P1018" s="5" t="s">
        <v>1080</v>
      </c>
      <c r="Q1018" s="5" t="s">
        <v>1080</v>
      </c>
      <c r="X1018" s="71">
        <f t="shared" si="5"/>
        <v>0</v>
      </c>
      <c r="Y1018" s="5" t="b">
        <v>0</v>
      </c>
    </row>
    <row r="1019">
      <c r="B1019" s="5" t="str">
        <f t="array" ref="B1019">XLOOKUP(A1019, CURSOS!A:A, CURSOS!B:B)</f>
        <v>#N/A</v>
      </c>
      <c r="C1019" s="75" t="str">
        <f t="array" ref="C1019">XLOOKUP(A1019, CURSOS!A:A, CURSOS!C:C)</f>
        <v>#N/A</v>
      </c>
      <c r="D1019" s="70" t="e">
        <v>#N/A</v>
      </c>
      <c r="E1019" s="48"/>
      <c r="F1019" s="48" t="str">
        <f t="array" ref="F1019">XLOOKUP($D1019,REGOLITOS!$A:$A,REGOLITOS!F:F)</f>
        <v>#N/A</v>
      </c>
      <c r="G1019" s="48" t="str">
        <f t="array" ref="G1019">XLOOKUP($D1019,REGOLITOS!$A:$A,REGOLITOS!G:G)</f>
        <v>#N/A</v>
      </c>
      <c r="H1019" s="48" t="str">
        <f t="array" ref="H1019">XLOOKUP($D1019,REGOLITOS!$A:$A,REGOLITOS!H:H)</f>
        <v>#N/A</v>
      </c>
      <c r="I1019" s="48" t="str">
        <f t="array" ref="I1019">XLOOKUP($D1019,REGOLITOS!$A:$A,REGOLITOS!I:I)</f>
        <v>#N/A</v>
      </c>
      <c r="J1019" s="48" t="str">
        <f t="array" ref="J1019">XLOOKUP($D1019,REGOLITOS!$A:$A,REGOLITOS!J:J)</f>
        <v>#N/A</v>
      </c>
      <c r="K1019" s="48" t="str">
        <f t="array" ref="K1019">XLOOKUP($D1019,REGOLITOS!$A:$A,REGOLITOS!K:K)</f>
        <v>#N/A</v>
      </c>
      <c r="L1019" s="76"/>
      <c r="M1019" s="5" t="s">
        <v>1080</v>
      </c>
      <c r="N1019" s="5" t="s">
        <v>1080</v>
      </c>
      <c r="O1019" s="5" t="s">
        <v>1080</v>
      </c>
      <c r="P1019" s="5" t="s">
        <v>1080</v>
      </c>
      <c r="Q1019" s="5" t="s">
        <v>1080</v>
      </c>
      <c r="X1019" s="71">
        <f t="shared" si="5"/>
        <v>0</v>
      </c>
      <c r="Y1019" s="5" t="b">
        <v>0</v>
      </c>
    </row>
    <row r="1020">
      <c r="B1020" s="5" t="str">
        <f t="array" ref="B1020">XLOOKUP(A1020, CURSOS!A:A, CURSOS!B:B)</f>
        <v>#N/A</v>
      </c>
      <c r="C1020" s="75" t="str">
        <f t="array" ref="C1020">XLOOKUP(A1020, CURSOS!A:A, CURSOS!C:C)</f>
        <v>#N/A</v>
      </c>
      <c r="D1020" s="70" t="e">
        <v>#N/A</v>
      </c>
      <c r="E1020" s="48"/>
      <c r="F1020" s="48" t="str">
        <f t="array" ref="F1020">XLOOKUP($D1020,REGOLITOS!$A:$A,REGOLITOS!F:F)</f>
        <v>#N/A</v>
      </c>
      <c r="G1020" s="48" t="str">
        <f t="array" ref="G1020">XLOOKUP($D1020,REGOLITOS!$A:$A,REGOLITOS!G:G)</f>
        <v>#N/A</v>
      </c>
      <c r="H1020" s="48" t="str">
        <f t="array" ref="H1020">XLOOKUP($D1020,REGOLITOS!$A:$A,REGOLITOS!H:H)</f>
        <v>#N/A</v>
      </c>
      <c r="I1020" s="48" t="str">
        <f t="array" ref="I1020">XLOOKUP($D1020,REGOLITOS!$A:$A,REGOLITOS!I:I)</f>
        <v>#N/A</v>
      </c>
      <c r="J1020" s="48" t="str">
        <f t="array" ref="J1020">XLOOKUP($D1020,REGOLITOS!$A:$A,REGOLITOS!J:J)</f>
        <v>#N/A</v>
      </c>
      <c r="K1020" s="48" t="str">
        <f t="array" ref="K1020">XLOOKUP($D1020,REGOLITOS!$A:$A,REGOLITOS!K:K)</f>
        <v>#N/A</v>
      </c>
      <c r="L1020" s="76"/>
      <c r="M1020" s="5" t="s">
        <v>1080</v>
      </c>
      <c r="N1020" s="5" t="s">
        <v>1080</v>
      </c>
      <c r="O1020" s="5" t="s">
        <v>1080</v>
      </c>
      <c r="P1020" s="5" t="s">
        <v>1080</v>
      </c>
      <c r="Q1020" s="5" t="s">
        <v>1080</v>
      </c>
      <c r="X1020" s="71">
        <f t="shared" si="5"/>
        <v>0</v>
      </c>
      <c r="Y1020" s="5" t="b">
        <v>0</v>
      </c>
    </row>
    <row r="1021">
      <c r="B1021" s="5" t="str">
        <f t="array" ref="B1021">XLOOKUP(A1021, CURSOS!A:A, CURSOS!B:B)</f>
        <v>#N/A</v>
      </c>
      <c r="C1021" s="75" t="str">
        <f t="array" ref="C1021">XLOOKUP(A1021, CURSOS!A:A, CURSOS!C:C)</f>
        <v>#N/A</v>
      </c>
      <c r="D1021" s="70" t="e">
        <v>#N/A</v>
      </c>
      <c r="E1021" s="48"/>
      <c r="F1021" s="48" t="str">
        <f t="array" ref="F1021">XLOOKUP($D1021,REGOLITOS!$A:$A,REGOLITOS!F:F)</f>
        <v>#N/A</v>
      </c>
      <c r="G1021" s="48" t="str">
        <f t="array" ref="G1021">XLOOKUP($D1021,REGOLITOS!$A:$A,REGOLITOS!G:G)</f>
        <v>#N/A</v>
      </c>
      <c r="H1021" s="48" t="str">
        <f t="array" ref="H1021">XLOOKUP($D1021,REGOLITOS!$A:$A,REGOLITOS!H:H)</f>
        <v>#N/A</v>
      </c>
      <c r="I1021" s="48" t="str">
        <f t="array" ref="I1021">XLOOKUP($D1021,REGOLITOS!$A:$A,REGOLITOS!I:I)</f>
        <v>#N/A</v>
      </c>
      <c r="J1021" s="48" t="str">
        <f t="array" ref="J1021">XLOOKUP($D1021,REGOLITOS!$A:$A,REGOLITOS!J:J)</f>
        <v>#N/A</v>
      </c>
      <c r="K1021" s="48" t="str">
        <f t="array" ref="K1021">XLOOKUP($D1021,REGOLITOS!$A:$A,REGOLITOS!K:K)</f>
        <v>#N/A</v>
      </c>
      <c r="L1021" s="76"/>
      <c r="M1021" s="5" t="s">
        <v>1080</v>
      </c>
      <c r="N1021" s="5" t="s">
        <v>1080</v>
      </c>
      <c r="O1021" s="5" t="s">
        <v>1080</v>
      </c>
      <c r="P1021" s="5" t="s">
        <v>1080</v>
      </c>
      <c r="Q1021" s="5" t="s">
        <v>1080</v>
      </c>
      <c r="X1021" s="71">
        <f t="shared" si="5"/>
        <v>0</v>
      </c>
      <c r="Y1021" s="5" t="b">
        <v>0</v>
      </c>
    </row>
    <row r="1022">
      <c r="B1022" s="5" t="str">
        <f t="array" ref="B1022">XLOOKUP(A1022, CURSOS!A:A, CURSOS!B:B)</f>
        <v>#N/A</v>
      </c>
      <c r="C1022" s="75" t="str">
        <f t="array" ref="C1022">XLOOKUP(A1022, CURSOS!A:A, CURSOS!C:C)</f>
        <v>#N/A</v>
      </c>
      <c r="D1022" s="70" t="e">
        <v>#N/A</v>
      </c>
      <c r="E1022" s="48"/>
      <c r="F1022" s="48" t="str">
        <f t="array" ref="F1022">XLOOKUP($D1022,REGOLITOS!$A:$A,REGOLITOS!F:F)</f>
        <v>#N/A</v>
      </c>
      <c r="G1022" s="48" t="str">
        <f t="array" ref="G1022">XLOOKUP($D1022,REGOLITOS!$A:$A,REGOLITOS!G:G)</f>
        <v>#N/A</v>
      </c>
      <c r="H1022" s="48" t="str">
        <f t="array" ref="H1022">XLOOKUP($D1022,REGOLITOS!$A:$A,REGOLITOS!H:H)</f>
        <v>#N/A</v>
      </c>
      <c r="I1022" s="48" t="str">
        <f t="array" ref="I1022">XLOOKUP($D1022,REGOLITOS!$A:$A,REGOLITOS!I:I)</f>
        <v>#N/A</v>
      </c>
      <c r="J1022" s="48" t="str">
        <f t="array" ref="J1022">XLOOKUP($D1022,REGOLITOS!$A:$A,REGOLITOS!J:J)</f>
        <v>#N/A</v>
      </c>
      <c r="K1022" s="48" t="str">
        <f t="array" ref="K1022">XLOOKUP($D1022,REGOLITOS!$A:$A,REGOLITOS!K:K)</f>
        <v>#N/A</v>
      </c>
      <c r="L1022" s="76"/>
      <c r="M1022" s="5" t="s">
        <v>1080</v>
      </c>
      <c r="N1022" s="5" t="s">
        <v>1080</v>
      </c>
      <c r="O1022" s="5" t="s">
        <v>1080</v>
      </c>
      <c r="P1022" s="5" t="s">
        <v>1080</v>
      </c>
      <c r="Q1022" s="5" t="s">
        <v>1080</v>
      </c>
      <c r="X1022" s="71">
        <f t="shared" si="5"/>
        <v>0</v>
      </c>
      <c r="Y1022" s="5" t="b">
        <v>0</v>
      </c>
    </row>
    <row r="1023">
      <c r="B1023" s="5" t="str">
        <f t="array" ref="B1023">XLOOKUP(A1023, CURSOS!A:A, CURSOS!B:B)</f>
        <v>#N/A</v>
      </c>
      <c r="C1023" s="75" t="str">
        <f t="array" ref="C1023">XLOOKUP(A1023, CURSOS!A:A, CURSOS!C:C)</f>
        <v>#N/A</v>
      </c>
      <c r="D1023" s="70" t="e">
        <v>#N/A</v>
      </c>
      <c r="E1023" s="48"/>
      <c r="F1023" s="48" t="str">
        <f t="array" ref="F1023">XLOOKUP($D1023,REGOLITOS!$A:$A,REGOLITOS!F:F)</f>
        <v>#N/A</v>
      </c>
      <c r="G1023" s="48" t="str">
        <f t="array" ref="G1023">XLOOKUP($D1023,REGOLITOS!$A:$A,REGOLITOS!G:G)</f>
        <v>#N/A</v>
      </c>
      <c r="H1023" s="48" t="str">
        <f t="array" ref="H1023">XLOOKUP($D1023,REGOLITOS!$A:$A,REGOLITOS!H:H)</f>
        <v>#N/A</v>
      </c>
      <c r="I1023" s="48" t="str">
        <f t="array" ref="I1023">XLOOKUP($D1023,REGOLITOS!$A:$A,REGOLITOS!I:I)</f>
        <v>#N/A</v>
      </c>
      <c r="J1023" s="48" t="str">
        <f t="array" ref="J1023">XLOOKUP($D1023,REGOLITOS!$A:$A,REGOLITOS!J:J)</f>
        <v>#N/A</v>
      </c>
      <c r="K1023" s="48" t="str">
        <f t="array" ref="K1023">XLOOKUP($D1023,REGOLITOS!$A:$A,REGOLITOS!K:K)</f>
        <v>#N/A</v>
      </c>
      <c r="L1023" s="76"/>
      <c r="M1023" s="5" t="s">
        <v>1080</v>
      </c>
      <c r="N1023" s="5" t="s">
        <v>1080</v>
      </c>
      <c r="O1023" s="5" t="s">
        <v>1080</v>
      </c>
      <c r="P1023" s="5" t="s">
        <v>1080</v>
      </c>
      <c r="Q1023" s="5" t="s">
        <v>1080</v>
      </c>
      <c r="X1023" s="71">
        <f t="shared" si="5"/>
        <v>0</v>
      </c>
      <c r="Y1023" s="5" t="b">
        <v>0</v>
      </c>
    </row>
    <row r="1024">
      <c r="B1024" s="5" t="str">
        <f t="array" ref="B1024">XLOOKUP(A1024, CURSOS!A:A, CURSOS!B:B)</f>
        <v>#N/A</v>
      </c>
      <c r="C1024" s="75" t="str">
        <f t="array" ref="C1024">XLOOKUP(A1024, CURSOS!A:A, CURSOS!C:C)</f>
        <v>#N/A</v>
      </c>
      <c r="D1024" s="70" t="e">
        <v>#N/A</v>
      </c>
      <c r="E1024" s="48"/>
      <c r="F1024" s="48" t="str">
        <f t="array" ref="F1024">XLOOKUP($D1024,REGOLITOS!$A:$A,REGOLITOS!F:F)</f>
        <v>#N/A</v>
      </c>
      <c r="G1024" s="48" t="str">
        <f t="array" ref="G1024">XLOOKUP($D1024,REGOLITOS!$A:$A,REGOLITOS!G:G)</f>
        <v>#N/A</v>
      </c>
      <c r="H1024" s="48" t="str">
        <f t="array" ref="H1024">XLOOKUP($D1024,REGOLITOS!$A:$A,REGOLITOS!H:H)</f>
        <v>#N/A</v>
      </c>
      <c r="I1024" s="48" t="str">
        <f t="array" ref="I1024">XLOOKUP($D1024,REGOLITOS!$A:$A,REGOLITOS!I:I)</f>
        <v>#N/A</v>
      </c>
      <c r="J1024" s="48" t="str">
        <f t="array" ref="J1024">XLOOKUP($D1024,REGOLITOS!$A:$A,REGOLITOS!J:J)</f>
        <v>#N/A</v>
      </c>
      <c r="K1024" s="48" t="str">
        <f t="array" ref="K1024">XLOOKUP($D1024,REGOLITOS!$A:$A,REGOLITOS!K:K)</f>
        <v>#N/A</v>
      </c>
      <c r="L1024" s="76"/>
      <c r="M1024" s="5" t="s">
        <v>1080</v>
      </c>
      <c r="N1024" s="5" t="s">
        <v>1080</v>
      </c>
      <c r="O1024" s="5" t="s">
        <v>1080</v>
      </c>
      <c r="P1024" s="5" t="s">
        <v>1080</v>
      </c>
      <c r="Q1024" s="5" t="s">
        <v>1080</v>
      </c>
      <c r="X1024" s="71">
        <f t="shared" si="5"/>
        <v>0</v>
      </c>
      <c r="Y1024" s="5" t="b">
        <v>0</v>
      </c>
    </row>
    <row r="1025">
      <c r="B1025" s="5" t="str">
        <f t="array" ref="B1025">XLOOKUP(A1025, CURSOS!A:A, CURSOS!B:B)</f>
        <v>#N/A</v>
      </c>
      <c r="C1025" s="75" t="str">
        <f t="array" ref="C1025">XLOOKUP(A1025, CURSOS!A:A, CURSOS!C:C)</f>
        <v>#N/A</v>
      </c>
      <c r="D1025" s="70" t="e">
        <v>#N/A</v>
      </c>
      <c r="E1025" s="48"/>
      <c r="F1025" s="48" t="str">
        <f t="array" ref="F1025">XLOOKUP($D1025,REGOLITOS!$A:$A,REGOLITOS!F:F)</f>
        <v>#N/A</v>
      </c>
      <c r="G1025" s="48" t="str">
        <f t="array" ref="G1025">XLOOKUP($D1025,REGOLITOS!$A:$A,REGOLITOS!G:G)</f>
        <v>#N/A</v>
      </c>
      <c r="H1025" s="48" t="str">
        <f t="array" ref="H1025">XLOOKUP($D1025,REGOLITOS!$A:$A,REGOLITOS!H:H)</f>
        <v>#N/A</v>
      </c>
      <c r="I1025" s="48" t="str">
        <f t="array" ref="I1025">XLOOKUP($D1025,REGOLITOS!$A:$A,REGOLITOS!I:I)</f>
        <v>#N/A</v>
      </c>
      <c r="J1025" s="48" t="str">
        <f t="array" ref="J1025">XLOOKUP($D1025,REGOLITOS!$A:$A,REGOLITOS!J:J)</f>
        <v>#N/A</v>
      </c>
      <c r="K1025" s="48" t="str">
        <f t="array" ref="K1025">XLOOKUP($D1025,REGOLITOS!$A:$A,REGOLITOS!K:K)</f>
        <v>#N/A</v>
      </c>
      <c r="L1025" s="76"/>
      <c r="M1025" s="5" t="s">
        <v>1080</v>
      </c>
      <c r="N1025" s="5" t="s">
        <v>1080</v>
      </c>
      <c r="O1025" s="5" t="s">
        <v>1080</v>
      </c>
      <c r="P1025" s="5" t="s">
        <v>1080</v>
      </c>
      <c r="Q1025" s="5" t="s">
        <v>1080</v>
      </c>
      <c r="X1025" s="71">
        <f t="shared" si="5"/>
        <v>0</v>
      </c>
      <c r="Y1025" s="5" t="b">
        <v>0</v>
      </c>
    </row>
    <row r="1026">
      <c r="B1026" s="5" t="str">
        <f t="array" ref="B1026">XLOOKUP(A1026, CURSOS!A:A, CURSOS!B:B)</f>
        <v>#N/A</v>
      </c>
      <c r="C1026" s="75" t="str">
        <f t="array" ref="C1026">XLOOKUP(A1026, CURSOS!A:A, CURSOS!C:C)</f>
        <v>#N/A</v>
      </c>
      <c r="D1026" s="70" t="e">
        <v>#N/A</v>
      </c>
      <c r="E1026" s="48"/>
      <c r="F1026" s="48" t="str">
        <f t="array" ref="F1026">XLOOKUP($D1026,REGOLITOS!$A:$A,REGOLITOS!F:F)</f>
        <v>#N/A</v>
      </c>
      <c r="G1026" s="48" t="str">
        <f t="array" ref="G1026">XLOOKUP($D1026,REGOLITOS!$A:$A,REGOLITOS!G:G)</f>
        <v>#N/A</v>
      </c>
      <c r="H1026" s="48" t="str">
        <f t="array" ref="H1026">XLOOKUP($D1026,REGOLITOS!$A:$A,REGOLITOS!H:H)</f>
        <v>#N/A</v>
      </c>
      <c r="I1026" s="48" t="str">
        <f t="array" ref="I1026">XLOOKUP($D1026,REGOLITOS!$A:$A,REGOLITOS!I:I)</f>
        <v>#N/A</v>
      </c>
      <c r="J1026" s="48" t="str">
        <f t="array" ref="J1026">XLOOKUP($D1026,REGOLITOS!$A:$A,REGOLITOS!J:J)</f>
        <v>#N/A</v>
      </c>
      <c r="K1026" s="48" t="str">
        <f t="array" ref="K1026">XLOOKUP($D1026,REGOLITOS!$A:$A,REGOLITOS!K:K)</f>
        <v>#N/A</v>
      </c>
      <c r="L1026" s="76"/>
      <c r="M1026" s="5" t="s">
        <v>1080</v>
      </c>
      <c r="N1026" s="5" t="s">
        <v>1080</v>
      </c>
      <c r="O1026" s="5" t="s">
        <v>1080</v>
      </c>
      <c r="P1026" s="5" t="s">
        <v>1080</v>
      </c>
      <c r="Q1026" s="5" t="s">
        <v>1080</v>
      </c>
      <c r="X1026" s="71">
        <f t="shared" si="5"/>
        <v>0</v>
      </c>
      <c r="Y1026" s="5" t="b">
        <v>0</v>
      </c>
    </row>
    <row r="1027">
      <c r="B1027" s="5" t="str">
        <f t="array" ref="B1027">XLOOKUP(A1027, CURSOS!A:A, CURSOS!B:B)</f>
        <v>#N/A</v>
      </c>
      <c r="C1027" s="75" t="str">
        <f t="array" ref="C1027">XLOOKUP(A1027, CURSOS!A:A, CURSOS!C:C)</f>
        <v>#N/A</v>
      </c>
      <c r="D1027" s="70" t="e">
        <v>#N/A</v>
      </c>
      <c r="E1027" s="48"/>
      <c r="F1027" s="48" t="str">
        <f t="array" ref="F1027">XLOOKUP($D1027,REGOLITOS!$A:$A,REGOLITOS!F:F)</f>
        <v>#N/A</v>
      </c>
      <c r="G1027" s="48" t="str">
        <f t="array" ref="G1027">XLOOKUP($D1027,REGOLITOS!$A:$A,REGOLITOS!G:G)</f>
        <v>#N/A</v>
      </c>
      <c r="H1027" s="48" t="str">
        <f t="array" ref="H1027">XLOOKUP($D1027,REGOLITOS!$A:$A,REGOLITOS!H:H)</f>
        <v>#N/A</v>
      </c>
      <c r="I1027" s="48" t="str">
        <f t="array" ref="I1027">XLOOKUP($D1027,REGOLITOS!$A:$A,REGOLITOS!I:I)</f>
        <v>#N/A</v>
      </c>
      <c r="J1027" s="48" t="str">
        <f t="array" ref="J1027">XLOOKUP($D1027,REGOLITOS!$A:$A,REGOLITOS!J:J)</f>
        <v>#N/A</v>
      </c>
      <c r="K1027" s="48" t="str">
        <f t="array" ref="K1027">XLOOKUP($D1027,REGOLITOS!$A:$A,REGOLITOS!K:K)</f>
        <v>#N/A</v>
      </c>
      <c r="L1027" s="76"/>
      <c r="M1027" s="5" t="s">
        <v>1080</v>
      </c>
      <c r="N1027" s="5" t="s">
        <v>1080</v>
      </c>
      <c r="O1027" s="5" t="s">
        <v>1080</v>
      </c>
      <c r="P1027" s="5" t="s">
        <v>1080</v>
      </c>
      <c r="Q1027" s="5" t="s">
        <v>1080</v>
      </c>
      <c r="X1027" s="71">
        <f t="shared" si="5"/>
        <v>0</v>
      </c>
      <c r="Y1027" s="5" t="b">
        <v>0</v>
      </c>
    </row>
    <row r="1028">
      <c r="B1028" s="5" t="str">
        <f t="array" ref="B1028">XLOOKUP(A1028, CURSOS!A:A, CURSOS!B:B)</f>
        <v>#N/A</v>
      </c>
      <c r="C1028" s="75" t="str">
        <f t="array" ref="C1028">XLOOKUP(A1028, CURSOS!A:A, CURSOS!C:C)</f>
        <v>#N/A</v>
      </c>
      <c r="D1028" s="70" t="e">
        <v>#N/A</v>
      </c>
      <c r="E1028" s="48"/>
      <c r="F1028" s="48" t="str">
        <f t="array" ref="F1028">XLOOKUP($D1028,REGOLITOS!$A:$A,REGOLITOS!F:F)</f>
        <v>#N/A</v>
      </c>
      <c r="G1028" s="48" t="str">
        <f t="array" ref="G1028">XLOOKUP($D1028,REGOLITOS!$A:$A,REGOLITOS!G:G)</f>
        <v>#N/A</v>
      </c>
      <c r="H1028" s="48" t="str">
        <f t="array" ref="H1028">XLOOKUP($D1028,REGOLITOS!$A:$A,REGOLITOS!H:H)</f>
        <v>#N/A</v>
      </c>
      <c r="I1028" s="48" t="str">
        <f t="array" ref="I1028">XLOOKUP($D1028,REGOLITOS!$A:$A,REGOLITOS!I:I)</f>
        <v>#N/A</v>
      </c>
      <c r="J1028" s="48" t="str">
        <f t="array" ref="J1028">XLOOKUP($D1028,REGOLITOS!$A:$A,REGOLITOS!J:J)</f>
        <v>#N/A</v>
      </c>
      <c r="K1028" s="48" t="str">
        <f t="array" ref="K1028">XLOOKUP($D1028,REGOLITOS!$A:$A,REGOLITOS!K:K)</f>
        <v>#N/A</v>
      </c>
      <c r="L1028" s="76"/>
      <c r="M1028" s="5" t="s">
        <v>1080</v>
      </c>
      <c r="N1028" s="5" t="s">
        <v>1080</v>
      </c>
      <c r="O1028" s="5" t="s">
        <v>1080</v>
      </c>
      <c r="P1028" s="5" t="s">
        <v>1080</v>
      </c>
      <c r="Q1028" s="5" t="s">
        <v>1080</v>
      </c>
      <c r="X1028" s="71">
        <f t="shared" si="5"/>
        <v>0</v>
      </c>
      <c r="Y1028" s="5" t="b">
        <v>0</v>
      </c>
    </row>
    <row r="1029">
      <c r="B1029" s="5" t="str">
        <f t="array" ref="B1029">XLOOKUP(A1029, CURSOS!A:A, CURSOS!B:B)</f>
        <v>#N/A</v>
      </c>
      <c r="C1029" s="75" t="str">
        <f t="array" ref="C1029">XLOOKUP(A1029, CURSOS!A:A, CURSOS!C:C)</f>
        <v>#N/A</v>
      </c>
      <c r="D1029" s="70" t="e">
        <v>#N/A</v>
      </c>
      <c r="E1029" s="48"/>
      <c r="F1029" s="48" t="str">
        <f t="array" ref="F1029">XLOOKUP($D1029,REGOLITOS!$A:$A,REGOLITOS!F:F)</f>
        <v>#N/A</v>
      </c>
      <c r="G1029" s="48" t="str">
        <f t="array" ref="G1029">XLOOKUP($D1029,REGOLITOS!$A:$A,REGOLITOS!G:G)</f>
        <v>#N/A</v>
      </c>
      <c r="H1029" s="48" t="str">
        <f t="array" ref="H1029">XLOOKUP($D1029,REGOLITOS!$A:$A,REGOLITOS!H:H)</f>
        <v>#N/A</v>
      </c>
      <c r="I1029" s="48" t="str">
        <f t="array" ref="I1029">XLOOKUP($D1029,REGOLITOS!$A:$A,REGOLITOS!I:I)</f>
        <v>#N/A</v>
      </c>
      <c r="J1029" s="48" t="str">
        <f t="array" ref="J1029">XLOOKUP($D1029,REGOLITOS!$A:$A,REGOLITOS!J:J)</f>
        <v>#N/A</v>
      </c>
      <c r="K1029" s="48" t="str">
        <f t="array" ref="K1029">XLOOKUP($D1029,REGOLITOS!$A:$A,REGOLITOS!K:K)</f>
        <v>#N/A</v>
      </c>
      <c r="L1029" s="76"/>
      <c r="M1029" s="5" t="s">
        <v>1080</v>
      </c>
      <c r="N1029" s="5" t="s">
        <v>1080</v>
      </c>
      <c r="O1029" s="5" t="s">
        <v>1080</v>
      </c>
      <c r="P1029" s="5" t="s">
        <v>1080</v>
      </c>
      <c r="Q1029" s="5" t="s">
        <v>1080</v>
      </c>
      <c r="X1029" s="71">
        <f t="shared" si="5"/>
        <v>0</v>
      </c>
      <c r="Y1029" s="5" t="b">
        <v>0</v>
      </c>
    </row>
    <row r="1030">
      <c r="B1030" s="5" t="str">
        <f t="array" ref="B1030">XLOOKUP(A1030, CURSOS!A:A, CURSOS!B:B)</f>
        <v>#N/A</v>
      </c>
      <c r="C1030" s="75" t="str">
        <f t="array" ref="C1030">XLOOKUP(A1030, CURSOS!A:A, CURSOS!C:C)</f>
        <v>#N/A</v>
      </c>
      <c r="D1030" s="70" t="e">
        <v>#N/A</v>
      </c>
      <c r="E1030" s="48"/>
      <c r="F1030" s="48" t="str">
        <f t="array" ref="F1030">XLOOKUP($D1030,REGOLITOS!$A:$A,REGOLITOS!F:F)</f>
        <v>#N/A</v>
      </c>
      <c r="G1030" s="48" t="str">
        <f t="array" ref="G1030">XLOOKUP($D1030,REGOLITOS!$A:$A,REGOLITOS!G:G)</f>
        <v>#N/A</v>
      </c>
      <c r="H1030" s="48" t="str">
        <f t="array" ref="H1030">XLOOKUP($D1030,REGOLITOS!$A:$A,REGOLITOS!H:H)</f>
        <v>#N/A</v>
      </c>
      <c r="I1030" s="48" t="str">
        <f t="array" ref="I1030">XLOOKUP($D1030,REGOLITOS!$A:$A,REGOLITOS!I:I)</f>
        <v>#N/A</v>
      </c>
      <c r="J1030" s="48" t="str">
        <f t="array" ref="J1030">XLOOKUP($D1030,REGOLITOS!$A:$A,REGOLITOS!J:J)</f>
        <v>#N/A</v>
      </c>
      <c r="K1030" s="48" t="str">
        <f t="array" ref="K1030">XLOOKUP($D1030,REGOLITOS!$A:$A,REGOLITOS!K:K)</f>
        <v>#N/A</v>
      </c>
      <c r="L1030" s="76"/>
      <c r="M1030" s="5" t="s">
        <v>1080</v>
      </c>
      <c r="N1030" s="5" t="s">
        <v>1080</v>
      </c>
      <c r="O1030" s="5" t="s">
        <v>1080</v>
      </c>
      <c r="P1030" s="5" t="s">
        <v>1080</v>
      </c>
      <c r="Q1030" s="5" t="s">
        <v>1080</v>
      </c>
      <c r="X1030" s="71">
        <f t="shared" si="5"/>
        <v>0</v>
      </c>
      <c r="Y1030" s="5" t="b">
        <v>0</v>
      </c>
    </row>
    <row r="1031">
      <c r="B1031" s="5" t="str">
        <f t="array" ref="B1031">XLOOKUP(A1031, CURSOS!A:A, CURSOS!B:B)</f>
        <v>#N/A</v>
      </c>
      <c r="C1031" s="75" t="str">
        <f t="array" ref="C1031">XLOOKUP(A1031, CURSOS!A:A, CURSOS!C:C)</f>
        <v>#N/A</v>
      </c>
      <c r="D1031" s="70" t="e">
        <v>#N/A</v>
      </c>
      <c r="E1031" s="48"/>
      <c r="F1031" s="48" t="str">
        <f t="array" ref="F1031">XLOOKUP($D1031,REGOLITOS!$A:$A,REGOLITOS!F:F)</f>
        <v>#N/A</v>
      </c>
      <c r="G1031" s="48" t="str">
        <f t="array" ref="G1031">XLOOKUP($D1031,REGOLITOS!$A:$A,REGOLITOS!G:G)</f>
        <v>#N/A</v>
      </c>
      <c r="H1031" s="48" t="str">
        <f t="array" ref="H1031">XLOOKUP($D1031,REGOLITOS!$A:$A,REGOLITOS!H:H)</f>
        <v>#N/A</v>
      </c>
      <c r="I1031" s="48" t="str">
        <f t="array" ref="I1031">XLOOKUP($D1031,REGOLITOS!$A:$A,REGOLITOS!I:I)</f>
        <v>#N/A</v>
      </c>
      <c r="J1031" s="48" t="str">
        <f t="array" ref="J1031">XLOOKUP($D1031,REGOLITOS!$A:$A,REGOLITOS!J:J)</f>
        <v>#N/A</v>
      </c>
      <c r="K1031" s="48" t="str">
        <f t="array" ref="K1031">XLOOKUP($D1031,REGOLITOS!$A:$A,REGOLITOS!K:K)</f>
        <v>#N/A</v>
      </c>
      <c r="L1031" s="76"/>
      <c r="M1031" s="5" t="s">
        <v>1080</v>
      </c>
      <c r="N1031" s="5" t="s">
        <v>1080</v>
      </c>
      <c r="O1031" s="5" t="s">
        <v>1080</v>
      </c>
      <c r="P1031" s="5" t="s">
        <v>1080</v>
      </c>
      <c r="Q1031" s="5" t="s">
        <v>1080</v>
      </c>
      <c r="X1031" s="71">
        <f t="shared" si="5"/>
        <v>0</v>
      </c>
      <c r="Y1031" s="5" t="b">
        <v>0</v>
      </c>
    </row>
    <row r="1032">
      <c r="B1032" s="5" t="str">
        <f t="array" ref="B1032">XLOOKUP(A1032, CURSOS!A:A, CURSOS!B:B)</f>
        <v>#N/A</v>
      </c>
      <c r="C1032" s="75" t="str">
        <f t="array" ref="C1032">XLOOKUP(A1032, CURSOS!A:A, CURSOS!C:C)</f>
        <v>#N/A</v>
      </c>
      <c r="D1032" s="70" t="e">
        <v>#N/A</v>
      </c>
      <c r="E1032" s="48"/>
      <c r="F1032" s="48" t="str">
        <f t="array" ref="F1032">XLOOKUP($D1032,REGOLITOS!$A:$A,REGOLITOS!F:F)</f>
        <v>#N/A</v>
      </c>
      <c r="G1032" s="48" t="str">
        <f t="array" ref="G1032">XLOOKUP($D1032,REGOLITOS!$A:$A,REGOLITOS!G:G)</f>
        <v>#N/A</v>
      </c>
      <c r="H1032" s="48" t="str">
        <f t="array" ref="H1032">XLOOKUP($D1032,REGOLITOS!$A:$A,REGOLITOS!H:H)</f>
        <v>#N/A</v>
      </c>
      <c r="I1032" s="48" t="str">
        <f t="array" ref="I1032">XLOOKUP($D1032,REGOLITOS!$A:$A,REGOLITOS!I:I)</f>
        <v>#N/A</v>
      </c>
      <c r="J1032" s="48" t="str">
        <f t="array" ref="J1032">XLOOKUP($D1032,REGOLITOS!$A:$A,REGOLITOS!J:J)</f>
        <v>#N/A</v>
      </c>
      <c r="K1032" s="48" t="str">
        <f t="array" ref="K1032">XLOOKUP($D1032,REGOLITOS!$A:$A,REGOLITOS!K:K)</f>
        <v>#N/A</v>
      </c>
      <c r="L1032" s="76"/>
      <c r="M1032" s="5" t="s">
        <v>1080</v>
      </c>
      <c r="N1032" s="5" t="s">
        <v>1080</v>
      </c>
      <c r="O1032" s="5" t="s">
        <v>1080</v>
      </c>
      <c r="P1032" s="5" t="s">
        <v>1080</v>
      </c>
      <c r="Q1032" s="5" t="s">
        <v>1080</v>
      </c>
      <c r="X1032" s="71">
        <f t="shared" si="5"/>
        <v>0</v>
      </c>
      <c r="Y1032" s="5" t="b">
        <v>0</v>
      </c>
    </row>
    <row r="1033">
      <c r="B1033" s="5" t="str">
        <f t="array" ref="B1033">XLOOKUP(A1033, CURSOS!A:A, CURSOS!B:B)</f>
        <v>#N/A</v>
      </c>
      <c r="C1033" s="75" t="str">
        <f t="array" ref="C1033">XLOOKUP(A1033, CURSOS!A:A, CURSOS!C:C)</f>
        <v>#N/A</v>
      </c>
      <c r="D1033" s="70" t="e">
        <v>#N/A</v>
      </c>
      <c r="E1033" s="48"/>
      <c r="F1033" s="48" t="str">
        <f t="array" ref="F1033">XLOOKUP($D1033,REGOLITOS!$A:$A,REGOLITOS!F:F)</f>
        <v>#N/A</v>
      </c>
      <c r="G1033" s="48" t="str">
        <f t="array" ref="G1033">XLOOKUP($D1033,REGOLITOS!$A:$A,REGOLITOS!G:G)</f>
        <v>#N/A</v>
      </c>
      <c r="H1033" s="48" t="str">
        <f t="array" ref="H1033">XLOOKUP($D1033,REGOLITOS!$A:$A,REGOLITOS!H:H)</f>
        <v>#N/A</v>
      </c>
      <c r="I1033" s="48" t="str">
        <f t="array" ref="I1033">XLOOKUP($D1033,REGOLITOS!$A:$A,REGOLITOS!I:I)</f>
        <v>#N/A</v>
      </c>
      <c r="J1033" s="48" t="str">
        <f t="array" ref="J1033">XLOOKUP($D1033,REGOLITOS!$A:$A,REGOLITOS!J:J)</f>
        <v>#N/A</v>
      </c>
      <c r="K1033" s="48" t="str">
        <f t="array" ref="K1033">XLOOKUP($D1033,REGOLITOS!$A:$A,REGOLITOS!K:K)</f>
        <v>#N/A</v>
      </c>
      <c r="L1033" s="76"/>
      <c r="M1033" s="5" t="s">
        <v>1080</v>
      </c>
      <c r="N1033" s="5" t="s">
        <v>1080</v>
      </c>
      <c r="O1033" s="5" t="s">
        <v>1080</v>
      </c>
      <c r="P1033" s="5" t="s">
        <v>1080</v>
      </c>
      <c r="Q1033" s="5" t="s">
        <v>1080</v>
      </c>
      <c r="X1033" s="71">
        <f t="shared" si="5"/>
        <v>0</v>
      </c>
      <c r="Y1033" s="5" t="b">
        <v>0</v>
      </c>
    </row>
    <row r="1034">
      <c r="B1034" s="5" t="str">
        <f t="array" ref="B1034">XLOOKUP(A1034, CURSOS!A:A, CURSOS!B:B)</f>
        <v>#N/A</v>
      </c>
      <c r="C1034" s="75" t="str">
        <f t="array" ref="C1034">XLOOKUP(A1034, CURSOS!A:A, CURSOS!C:C)</f>
        <v>#N/A</v>
      </c>
      <c r="D1034" s="70" t="e">
        <v>#N/A</v>
      </c>
      <c r="E1034" s="48"/>
      <c r="F1034" s="48" t="str">
        <f t="array" ref="F1034">XLOOKUP($D1034,REGOLITOS!$A:$A,REGOLITOS!F:F)</f>
        <v>#N/A</v>
      </c>
      <c r="G1034" s="48" t="str">
        <f t="array" ref="G1034">XLOOKUP($D1034,REGOLITOS!$A:$A,REGOLITOS!G:G)</f>
        <v>#N/A</v>
      </c>
      <c r="H1034" s="48" t="str">
        <f t="array" ref="H1034">XLOOKUP($D1034,REGOLITOS!$A:$A,REGOLITOS!H:H)</f>
        <v>#N/A</v>
      </c>
      <c r="I1034" s="48" t="str">
        <f t="array" ref="I1034">XLOOKUP($D1034,REGOLITOS!$A:$A,REGOLITOS!I:I)</f>
        <v>#N/A</v>
      </c>
      <c r="J1034" s="48" t="str">
        <f t="array" ref="J1034">XLOOKUP($D1034,REGOLITOS!$A:$A,REGOLITOS!J:J)</f>
        <v>#N/A</v>
      </c>
      <c r="K1034" s="48" t="str">
        <f t="array" ref="K1034">XLOOKUP($D1034,REGOLITOS!$A:$A,REGOLITOS!K:K)</f>
        <v>#N/A</v>
      </c>
      <c r="L1034" s="76"/>
      <c r="M1034" s="5" t="s">
        <v>1080</v>
      </c>
      <c r="N1034" s="5" t="s">
        <v>1080</v>
      </c>
      <c r="O1034" s="5" t="s">
        <v>1080</v>
      </c>
      <c r="P1034" s="5" t="s">
        <v>1080</v>
      </c>
      <c r="Q1034" s="5" t="s">
        <v>1080</v>
      </c>
      <c r="X1034" s="71">
        <f t="shared" si="5"/>
        <v>0</v>
      </c>
      <c r="Y1034" s="5" t="b">
        <v>0</v>
      </c>
    </row>
    <row r="1035">
      <c r="B1035" s="5" t="str">
        <f t="array" ref="B1035">XLOOKUP(A1035, CURSOS!A:A, CURSOS!B:B)</f>
        <v>#N/A</v>
      </c>
      <c r="C1035" s="75" t="str">
        <f t="array" ref="C1035">XLOOKUP(A1035, CURSOS!A:A, CURSOS!C:C)</f>
        <v>#N/A</v>
      </c>
      <c r="D1035" s="70" t="e">
        <v>#N/A</v>
      </c>
      <c r="E1035" s="48"/>
      <c r="F1035" s="48" t="str">
        <f t="array" ref="F1035">XLOOKUP($D1035,REGOLITOS!$A:$A,REGOLITOS!F:F)</f>
        <v>#N/A</v>
      </c>
      <c r="G1035" s="48" t="str">
        <f t="array" ref="G1035">XLOOKUP($D1035,REGOLITOS!$A:$A,REGOLITOS!G:G)</f>
        <v>#N/A</v>
      </c>
      <c r="H1035" s="48" t="str">
        <f t="array" ref="H1035">XLOOKUP($D1035,REGOLITOS!$A:$A,REGOLITOS!H:H)</f>
        <v>#N/A</v>
      </c>
      <c r="I1035" s="48" t="str">
        <f t="array" ref="I1035">XLOOKUP($D1035,REGOLITOS!$A:$A,REGOLITOS!I:I)</f>
        <v>#N/A</v>
      </c>
      <c r="J1035" s="48" t="str">
        <f t="array" ref="J1035">XLOOKUP($D1035,REGOLITOS!$A:$A,REGOLITOS!J:J)</f>
        <v>#N/A</v>
      </c>
      <c r="K1035" s="48" t="str">
        <f t="array" ref="K1035">XLOOKUP($D1035,REGOLITOS!$A:$A,REGOLITOS!K:K)</f>
        <v>#N/A</v>
      </c>
      <c r="L1035" s="76"/>
      <c r="M1035" s="5" t="s">
        <v>1080</v>
      </c>
      <c r="N1035" s="5" t="s">
        <v>1080</v>
      </c>
      <c r="O1035" s="5" t="s">
        <v>1080</v>
      </c>
      <c r="P1035" s="5" t="s">
        <v>1080</v>
      </c>
      <c r="Q1035" s="5" t="s">
        <v>1080</v>
      </c>
      <c r="X1035" s="71">
        <f t="shared" si="5"/>
        <v>0</v>
      </c>
      <c r="Y1035" s="5" t="b">
        <v>0</v>
      </c>
    </row>
    <row r="1036">
      <c r="B1036" s="5" t="str">
        <f t="array" ref="B1036">XLOOKUP(A1036, CURSOS!A:A, CURSOS!B:B)</f>
        <v>#N/A</v>
      </c>
      <c r="C1036" s="75" t="str">
        <f t="array" ref="C1036">XLOOKUP(A1036, CURSOS!A:A, CURSOS!C:C)</f>
        <v>#N/A</v>
      </c>
      <c r="D1036" s="70" t="e">
        <v>#N/A</v>
      </c>
      <c r="E1036" s="48"/>
      <c r="F1036" s="48" t="str">
        <f t="array" ref="F1036">XLOOKUP($D1036,REGOLITOS!$A:$A,REGOLITOS!F:F)</f>
        <v>#N/A</v>
      </c>
      <c r="G1036" s="48" t="str">
        <f t="array" ref="G1036">XLOOKUP($D1036,REGOLITOS!$A:$A,REGOLITOS!G:G)</f>
        <v>#N/A</v>
      </c>
      <c r="H1036" s="48" t="str">
        <f t="array" ref="H1036">XLOOKUP($D1036,REGOLITOS!$A:$A,REGOLITOS!H:H)</f>
        <v>#N/A</v>
      </c>
      <c r="I1036" s="48" t="str">
        <f t="array" ref="I1036">XLOOKUP($D1036,REGOLITOS!$A:$A,REGOLITOS!I:I)</f>
        <v>#N/A</v>
      </c>
      <c r="J1036" s="48" t="str">
        <f t="array" ref="J1036">XLOOKUP($D1036,REGOLITOS!$A:$A,REGOLITOS!J:J)</f>
        <v>#N/A</v>
      </c>
      <c r="K1036" s="48" t="str">
        <f t="array" ref="K1036">XLOOKUP($D1036,REGOLITOS!$A:$A,REGOLITOS!K:K)</f>
        <v>#N/A</v>
      </c>
      <c r="L1036" s="76"/>
      <c r="M1036" s="5" t="s">
        <v>1080</v>
      </c>
      <c r="N1036" s="5" t="s">
        <v>1080</v>
      </c>
      <c r="O1036" s="5" t="s">
        <v>1080</v>
      </c>
      <c r="P1036" s="5" t="s">
        <v>1080</v>
      </c>
      <c r="Q1036" s="5" t="s">
        <v>1080</v>
      </c>
      <c r="X1036" s="71">
        <f t="shared" si="5"/>
        <v>0</v>
      </c>
      <c r="Y1036" s="5" t="b">
        <v>0</v>
      </c>
    </row>
    <row r="1037">
      <c r="B1037" s="5" t="str">
        <f t="array" ref="B1037">XLOOKUP(A1037, CURSOS!A:A, CURSOS!B:B)</f>
        <v>#N/A</v>
      </c>
      <c r="C1037" s="75" t="str">
        <f t="array" ref="C1037">XLOOKUP(A1037, CURSOS!A:A, CURSOS!C:C)</f>
        <v>#N/A</v>
      </c>
      <c r="D1037" s="70" t="e">
        <v>#N/A</v>
      </c>
      <c r="E1037" s="48"/>
      <c r="F1037" s="48" t="str">
        <f t="array" ref="F1037">XLOOKUP($D1037,REGOLITOS!$A:$A,REGOLITOS!F:F)</f>
        <v>#N/A</v>
      </c>
      <c r="G1037" s="48" t="str">
        <f t="array" ref="G1037">XLOOKUP($D1037,REGOLITOS!$A:$A,REGOLITOS!G:G)</f>
        <v>#N/A</v>
      </c>
      <c r="H1037" s="48" t="str">
        <f t="array" ref="H1037">XLOOKUP($D1037,REGOLITOS!$A:$A,REGOLITOS!H:H)</f>
        <v>#N/A</v>
      </c>
      <c r="I1037" s="48" t="str">
        <f t="array" ref="I1037">XLOOKUP($D1037,REGOLITOS!$A:$A,REGOLITOS!I:I)</f>
        <v>#N/A</v>
      </c>
      <c r="J1037" s="48" t="str">
        <f t="array" ref="J1037">XLOOKUP($D1037,REGOLITOS!$A:$A,REGOLITOS!J:J)</f>
        <v>#N/A</v>
      </c>
      <c r="K1037" s="48" t="str">
        <f t="array" ref="K1037">XLOOKUP($D1037,REGOLITOS!$A:$A,REGOLITOS!K:K)</f>
        <v>#N/A</v>
      </c>
      <c r="L1037" s="76"/>
      <c r="M1037" s="5" t="s">
        <v>1080</v>
      </c>
      <c r="N1037" s="5" t="s">
        <v>1080</v>
      </c>
      <c r="O1037" s="5" t="s">
        <v>1080</v>
      </c>
      <c r="P1037" s="5" t="s">
        <v>1080</v>
      </c>
      <c r="Q1037" s="5" t="s">
        <v>1080</v>
      </c>
      <c r="X1037" s="71">
        <f t="shared" si="5"/>
        <v>0</v>
      </c>
      <c r="Y1037" s="5" t="b">
        <v>0</v>
      </c>
    </row>
    <row r="1038">
      <c r="B1038" s="5" t="str">
        <f t="array" ref="B1038">XLOOKUP(A1038, CURSOS!A:A, CURSOS!B:B)</f>
        <v>#N/A</v>
      </c>
      <c r="C1038" s="75" t="str">
        <f t="array" ref="C1038">XLOOKUP(A1038, CURSOS!A:A, CURSOS!C:C)</f>
        <v>#N/A</v>
      </c>
      <c r="D1038" s="70" t="e">
        <v>#N/A</v>
      </c>
      <c r="E1038" s="48"/>
      <c r="F1038" s="48" t="str">
        <f t="array" ref="F1038">XLOOKUP($D1038,REGOLITOS!$A:$A,REGOLITOS!F:F)</f>
        <v>#N/A</v>
      </c>
      <c r="G1038" s="48" t="str">
        <f t="array" ref="G1038">XLOOKUP($D1038,REGOLITOS!$A:$A,REGOLITOS!G:G)</f>
        <v>#N/A</v>
      </c>
      <c r="H1038" s="48" t="str">
        <f t="array" ref="H1038">XLOOKUP($D1038,REGOLITOS!$A:$A,REGOLITOS!H:H)</f>
        <v>#N/A</v>
      </c>
      <c r="I1038" s="48" t="str">
        <f t="array" ref="I1038">XLOOKUP($D1038,REGOLITOS!$A:$A,REGOLITOS!I:I)</f>
        <v>#N/A</v>
      </c>
      <c r="J1038" s="48" t="str">
        <f t="array" ref="J1038">XLOOKUP($D1038,REGOLITOS!$A:$A,REGOLITOS!J:J)</f>
        <v>#N/A</v>
      </c>
      <c r="K1038" s="48" t="str">
        <f t="array" ref="K1038">XLOOKUP($D1038,REGOLITOS!$A:$A,REGOLITOS!K:K)</f>
        <v>#N/A</v>
      </c>
      <c r="L1038" s="76"/>
      <c r="M1038" s="5" t="s">
        <v>1080</v>
      </c>
      <c r="N1038" s="5" t="s">
        <v>1080</v>
      </c>
      <c r="O1038" s="5" t="s">
        <v>1080</v>
      </c>
      <c r="P1038" s="5" t="s">
        <v>1080</v>
      </c>
      <c r="Q1038" s="5" t="s">
        <v>1080</v>
      </c>
      <c r="X1038" s="71">
        <f t="shared" si="5"/>
        <v>0</v>
      </c>
      <c r="Y1038" s="5" t="b">
        <v>0</v>
      </c>
    </row>
    <row r="1039">
      <c r="B1039" s="5" t="str">
        <f t="array" ref="B1039">XLOOKUP(A1039, CURSOS!A:A, CURSOS!B:B)</f>
        <v>#N/A</v>
      </c>
      <c r="C1039" s="75" t="str">
        <f t="array" ref="C1039">XLOOKUP(A1039, CURSOS!A:A, CURSOS!C:C)</f>
        <v>#N/A</v>
      </c>
      <c r="D1039" s="70" t="e">
        <v>#N/A</v>
      </c>
      <c r="E1039" s="48"/>
      <c r="F1039" s="48" t="str">
        <f t="array" ref="F1039">XLOOKUP($D1039,REGOLITOS!$A:$A,REGOLITOS!F:F)</f>
        <v>#N/A</v>
      </c>
      <c r="G1039" s="48" t="str">
        <f t="array" ref="G1039">XLOOKUP($D1039,REGOLITOS!$A:$A,REGOLITOS!G:G)</f>
        <v>#N/A</v>
      </c>
      <c r="H1039" s="48" t="str">
        <f t="array" ref="H1039">XLOOKUP($D1039,REGOLITOS!$A:$A,REGOLITOS!H:H)</f>
        <v>#N/A</v>
      </c>
      <c r="I1039" s="48" t="str">
        <f t="array" ref="I1039">XLOOKUP($D1039,REGOLITOS!$A:$A,REGOLITOS!I:I)</f>
        <v>#N/A</v>
      </c>
      <c r="J1039" s="48" t="str">
        <f t="array" ref="J1039">XLOOKUP($D1039,REGOLITOS!$A:$A,REGOLITOS!J:J)</f>
        <v>#N/A</v>
      </c>
      <c r="K1039" s="48" t="str">
        <f t="array" ref="K1039">XLOOKUP($D1039,REGOLITOS!$A:$A,REGOLITOS!K:K)</f>
        <v>#N/A</v>
      </c>
      <c r="L1039" s="76"/>
      <c r="M1039" s="5" t="s">
        <v>1080</v>
      </c>
      <c r="N1039" s="5" t="s">
        <v>1080</v>
      </c>
      <c r="O1039" s="5" t="s">
        <v>1080</v>
      </c>
      <c r="P1039" s="5" t="s">
        <v>1080</v>
      </c>
      <c r="Q1039" s="5" t="s">
        <v>1080</v>
      </c>
      <c r="X1039" s="71">
        <f t="shared" si="5"/>
        <v>0</v>
      </c>
      <c r="Y1039" s="5" t="b">
        <v>0</v>
      </c>
    </row>
    <row r="1040">
      <c r="B1040" s="5" t="str">
        <f t="array" ref="B1040">XLOOKUP(A1040, CURSOS!A:A, CURSOS!B:B)</f>
        <v>#N/A</v>
      </c>
      <c r="C1040" s="75" t="str">
        <f t="array" ref="C1040">XLOOKUP(A1040, CURSOS!A:A, CURSOS!C:C)</f>
        <v>#N/A</v>
      </c>
      <c r="D1040" s="70" t="e">
        <v>#N/A</v>
      </c>
      <c r="E1040" s="48"/>
      <c r="F1040" s="48" t="str">
        <f t="array" ref="F1040">XLOOKUP($D1040,REGOLITOS!$A:$A,REGOLITOS!F:F)</f>
        <v>#N/A</v>
      </c>
      <c r="G1040" s="48" t="str">
        <f t="array" ref="G1040">XLOOKUP($D1040,REGOLITOS!$A:$A,REGOLITOS!G:G)</f>
        <v>#N/A</v>
      </c>
      <c r="H1040" s="48" t="str">
        <f t="array" ref="H1040">XLOOKUP($D1040,REGOLITOS!$A:$A,REGOLITOS!H:H)</f>
        <v>#N/A</v>
      </c>
      <c r="I1040" s="48" t="str">
        <f t="array" ref="I1040">XLOOKUP($D1040,REGOLITOS!$A:$A,REGOLITOS!I:I)</f>
        <v>#N/A</v>
      </c>
      <c r="J1040" s="48" t="str">
        <f t="array" ref="J1040">XLOOKUP($D1040,REGOLITOS!$A:$A,REGOLITOS!J:J)</f>
        <v>#N/A</v>
      </c>
      <c r="K1040" s="48" t="str">
        <f t="array" ref="K1040">XLOOKUP($D1040,REGOLITOS!$A:$A,REGOLITOS!K:K)</f>
        <v>#N/A</v>
      </c>
      <c r="L1040" s="76"/>
      <c r="M1040" s="5" t="s">
        <v>1080</v>
      </c>
      <c r="N1040" s="5" t="s">
        <v>1080</v>
      </c>
      <c r="O1040" s="5" t="s">
        <v>1080</v>
      </c>
      <c r="P1040" s="5" t="s">
        <v>1080</v>
      </c>
      <c r="Q1040" s="5" t="s">
        <v>1080</v>
      </c>
      <c r="X1040" s="71">
        <f t="shared" si="5"/>
        <v>0</v>
      </c>
      <c r="Y1040" s="5" t="b">
        <v>0</v>
      </c>
    </row>
    <row r="1041">
      <c r="B1041" s="5" t="str">
        <f t="array" ref="B1041">XLOOKUP(A1041, CURSOS!A:A, CURSOS!B:B)</f>
        <v>#N/A</v>
      </c>
      <c r="C1041" s="75" t="str">
        <f t="array" ref="C1041">XLOOKUP(A1041, CURSOS!A:A, CURSOS!C:C)</f>
        <v>#N/A</v>
      </c>
      <c r="D1041" s="70" t="e">
        <v>#N/A</v>
      </c>
      <c r="E1041" s="48"/>
      <c r="F1041" s="48" t="str">
        <f t="array" ref="F1041">XLOOKUP($D1041,REGOLITOS!$A:$A,REGOLITOS!F:F)</f>
        <v>#N/A</v>
      </c>
      <c r="G1041" s="48" t="str">
        <f t="array" ref="G1041">XLOOKUP($D1041,REGOLITOS!$A:$A,REGOLITOS!G:G)</f>
        <v>#N/A</v>
      </c>
      <c r="H1041" s="48" t="str">
        <f t="array" ref="H1041">XLOOKUP($D1041,REGOLITOS!$A:$A,REGOLITOS!H:H)</f>
        <v>#N/A</v>
      </c>
      <c r="I1041" s="48" t="str">
        <f t="array" ref="I1041">XLOOKUP($D1041,REGOLITOS!$A:$A,REGOLITOS!I:I)</f>
        <v>#N/A</v>
      </c>
      <c r="J1041" s="48" t="str">
        <f t="array" ref="J1041">XLOOKUP($D1041,REGOLITOS!$A:$A,REGOLITOS!J:J)</f>
        <v>#N/A</v>
      </c>
      <c r="K1041" s="48" t="str">
        <f t="array" ref="K1041">XLOOKUP($D1041,REGOLITOS!$A:$A,REGOLITOS!K:K)</f>
        <v>#N/A</v>
      </c>
      <c r="L1041" s="76"/>
      <c r="M1041" s="5" t="s">
        <v>1080</v>
      </c>
      <c r="N1041" s="5" t="s">
        <v>1080</v>
      </c>
      <c r="O1041" s="5" t="s">
        <v>1080</v>
      </c>
      <c r="P1041" s="5" t="s">
        <v>1080</v>
      </c>
      <c r="Q1041" s="5" t="s">
        <v>1080</v>
      </c>
      <c r="X1041" s="71">
        <f t="shared" si="5"/>
        <v>0</v>
      </c>
      <c r="Y1041" s="5" t="b">
        <v>0</v>
      </c>
    </row>
    <row r="1042">
      <c r="B1042" s="5" t="str">
        <f t="array" ref="B1042">XLOOKUP(A1042, CURSOS!A:A, CURSOS!B:B)</f>
        <v>#N/A</v>
      </c>
      <c r="C1042" s="75" t="str">
        <f t="array" ref="C1042">XLOOKUP(A1042, CURSOS!A:A, CURSOS!C:C)</f>
        <v>#N/A</v>
      </c>
      <c r="D1042" s="70" t="e">
        <v>#N/A</v>
      </c>
      <c r="E1042" s="48"/>
      <c r="F1042" s="48" t="str">
        <f t="array" ref="F1042">XLOOKUP($D1042,REGOLITOS!$A:$A,REGOLITOS!F:F)</f>
        <v>#N/A</v>
      </c>
      <c r="G1042" s="48" t="str">
        <f t="array" ref="G1042">XLOOKUP($D1042,REGOLITOS!$A:$A,REGOLITOS!G:G)</f>
        <v>#N/A</v>
      </c>
      <c r="H1042" s="48" t="str">
        <f t="array" ref="H1042">XLOOKUP($D1042,REGOLITOS!$A:$A,REGOLITOS!H:H)</f>
        <v>#N/A</v>
      </c>
      <c r="I1042" s="48" t="str">
        <f t="array" ref="I1042">XLOOKUP($D1042,REGOLITOS!$A:$A,REGOLITOS!I:I)</f>
        <v>#N/A</v>
      </c>
      <c r="J1042" s="48" t="str">
        <f t="array" ref="J1042">XLOOKUP($D1042,REGOLITOS!$A:$A,REGOLITOS!J:J)</f>
        <v>#N/A</v>
      </c>
      <c r="K1042" s="48" t="str">
        <f t="array" ref="K1042">XLOOKUP($D1042,REGOLITOS!$A:$A,REGOLITOS!K:K)</f>
        <v>#N/A</v>
      </c>
      <c r="L1042" s="76"/>
      <c r="M1042" s="5" t="s">
        <v>1080</v>
      </c>
      <c r="N1042" s="5" t="s">
        <v>1080</v>
      </c>
      <c r="O1042" s="5" t="s">
        <v>1080</v>
      </c>
      <c r="P1042" s="5" t="s">
        <v>1080</v>
      </c>
      <c r="Q1042" s="5" t="s">
        <v>1080</v>
      </c>
      <c r="X1042" s="71">
        <f t="shared" si="5"/>
        <v>0</v>
      </c>
      <c r="Y1042" s="5" t="b">
        <v>0</v>
      </c>
    </row>
    <row r="1043">
      <c r="B1043" s="5" t="str">
        <f t="array" ref="B1043">XLOOKUP(A1043, CURSOS!A:A, CURSOS!B:B)</f>
        <v>#N/A</v>
      </c>
      <c r="C1043" s="75" t="str">
        <f t="array" ref="C1043">XLOOKUP(A1043, CURSOS!A:A, CURSOS!C:C)</f>
        <v>#N/A</v>
      </c>
      <c r="D1043" s="70" t="e">
        <v>#N/A</v>
      </c>
      <c r="E1043" s="48"/>
      <c r="F1043" s="48" t="str">
        <f t="array" ref="F1043">XLOOKUP($D1043,REGOLITOS!$A:$A,REGOLITOS!F:F)</f>
        <v>#N/A</v>
      </c>
      <c r="G1043" s="48" t="str">
        <f t="array" ref="G1043">XLOOKUP($D1043,REGOLITOS!$A:$A,REGOLITOS!G:G)</f>
        <v>#N/A</v>
      </c>
      <c r="H1043" s="48" t="str">
        <f t="array" ref="H1043">XLOOKUP($D1043,REGOLITOS!$A:$A,REGOLITOS!H:H)</f>
        <v>#N/A</v>
      </c>
      <c r="I1043" s="48" t="str">
        <f t="array" ref="I1043">XLOOKUP($D1043,REGOLITOS!$A:$A,REGOLITOS!I:I)</f>
        <v>#N/A</v>
      </c>
      <c r="J1043" s="48" t="str">
        <f t="array" ref="J1043">XLOOKUP($D1043,REGOLITOS!$A:$A,REGOLITOS!J:J)</f>
        <v>#N/A</v>
      </c>
      <c r="K1043" s="48" t="str">
        <f t="array" ref="K1043">XLOOKUP($D1043,REGOLITOS!$A:$A,REGOLITOS!K:K)</f>
        <v>#N/A</v>
      </c>
      <c r="L1043" s="76"/>
      <c r="M1043" s="5" t="s">
        <v>1080</v>
      </c>
      <c r="N1043" s="5" t="s">
        <v>1080</v>
      </c>
      <c r="O1043" s="5" t="s">
        <v>1080</v>
      </c>
      <c r="P1043" s="5" t="s">
        <v>1080</v>
      </c>
      <c r="Q1043" s="5" t="s">
        <v>1080</v>
      </c>
      <c r="X1043" s="71">
        <f t="shared" si="5"/>
        <v>0</v>
      </c>
      <c r="Y1043" s="5" t="b">
        <v>0</v>
      </c>
    </row>
    <row r="1044">
      <c r="B1044" s="5" t="str">
        <f t="array" ref="B1044">XLOOKUP(A1044, CURSOS!A:A, CURSOS!B:B)</f>
        <v>#N/A</v>
      </c>
      <c r="C1044" s="75" t="str">
        <f t="array" ref="C1044">XLOOKUP(A1044, CURSOS!A:A, CURSOS!C:C)</f>
        <v>#N/A</v>
      </c>
      <c r="D1044" s="70" t="e">
        <v>#N/A</v>
      </c>
      <c r="E1044" s="48"/>
      <c r="F1044" s="48" t="str">
        <f t="array" ref="F1044">XLOOKUP($D1044,REGOLITOS!$A:$A,REGOLITOS!F:F)</f>
        <v>#N/A</v>
      </c>
      <c r="G1044" s="48" t="str">
        <f t="array" ref="G1044">XLOOKUP($D1044,REGOLITOS!$A:$A,REGOLITOS!G:G)</f>
        <v>#N/A</v>
      </c>
      <c r="H1044" s="48" t="str">
        <f t="array" ref="H1044">XLOOKUP($D1044,REGOLITOS!$A:$A,REGOLITOS!H:H)</f>
        <v>#N/A</v>
      </c>
      <c r="I1044" s="48" t="str">
        <f t="array" ref="I1044">XLOOKUP($D1044,REGOLITOS!$A:$A,REGOLITOS!I:I)</f>
        <v>#N/A</v>
      </c>
      <c r="J1044" s="48" t="str">
        <f t="array" ref="J1044">XLOOKUP($D1044,REGOLITOS!$A:$A,REGOLITOS!J:J)</f>
        <v>#N/A</v>
      </c>
      <c r="K1044" s="48" t="str">
        <f t="array" ref="K1044">XLOOKUP($D1044,REGOLITOS!$A:$A,REGOLITOS!K:K)</f>
        <v>#N/A</v>
      </c>
      <c r="L1044" s="76"/>
      <c r="M1044" s="5" t="s">
        <v>1080</v>
      </c>
      <c r="N1044" s="5" t="s">
        <v>1080</v>
      </c>
      <c r="O1044" s="5" t="s">
        <v>1080</v>
      </c>
      <c r="P1044" s="5" t="s">
        <v>1080</v>
      </c>
      <c r="Q1044" s="5" t="s">
        <v>1080</v>
      </c>
      <c r="X1044" s="71">
        <f t="shared" si="5"/>
        <v>0</v>
      </c>
      <c r="Y1044" s="5" t="b">
        <v>0</v>
      </c>
    </row>
    <row r="1045">
      <c r="B1045" s="5" t="str">
        <f t="array" ref="B1045">XLOOKUP(A1045, CURSOS!A:A, CURSOS!B:B)</f>
        <v>#N/A</v>
      </c>
      <c r="C1045" s="75" t="str">
        <f t="array" ref="C1045">XLOOKUP(A1045, CURSOS!A:A, CURSOS!C:C)</f>
        <v>#N/A</v>
      </c>
      <c r="D1045" s="70" t="e">
        <v>#N/A</v>
      </c>
      <c r="E1045" s="48"/>
      <c r="F1045" s="48" t="str">
        <f t="array" ref="F1045">XLOOKUP($D1045,REGOLITOS!$A:$A,REGOLITOS!F:F)</f>
        <v>#N/A</v>
      </c>
      <c r="G1045" s="48" t="str">
        <f t="array" ref="G1045">XLOOKUP($D1045,REGOLITOS!$A:$A,REGOLITOS!G:G)</f>
        <v>#N/A</v>
      </c>
      <c r="H1045" s="48" t="str">
        <f t="array" ref="H1045">XLOOKUP($D1045,REGOLITOS!$A:$A,REGOLITOS!H:H)</f>
        <v>#N/A</v>
      </c>
      <c r="I1045" s="48" t="str">
        <f t="array" ref="I1045">XLOOKUP($D1045,REGOLITOS!$A:$A,REGOLITOS!I:I)</f>
        <v>#N/A</v>
      </c>
      <c r="J1045" s="48" t="str">
        <f t="array" ref="J1045">XLOOKUP($D1045,REGOLITOS!$A:$A,REGOLITOS!J:J)</f>
        <v>#N/A</v>
      </c>
      <c r="K1045" s="48" t="str">
        <f t="array" ref="K1045">XLOOKUP($D1045,REGOLITOS!$A:$A,REGOLITOS!K:K)</f>
        <v>#N/A</v>
      </c>
      <c r="L1045" s="76"/>
      <c r="M1045" s="5" t="s">
        <v>1080</v>
      </c>
      <c r="N1045" s="5" t="s">
        <v>1080</v>
      </c>
      <c r="O1045" s="5" t="s">
        <v>1080</v>
      </c>
      <c r="P1045" s="5" t="s">
        <v>1080</v>
      </c>
      <c r="Q1045" s="5" t="s">
        <v>1080</v>
      </c>
      <c r="X1045" s="71">
        <f t="shared" si="5"/>
        <v>0</v>
      </c>
      <c r="Y1045" s="5" t="b">
        <v>0</v>
      </c>
    </row>
    <row r="1046">
      <c r="B1046" s="5" t="str">
        <f t="array" ref="B1046">XLOOKUP(A1046, CURSOS!A:A, CURSOS!B:B)</f>
        <v>#N/A</v>
      </c>
      <c r="C1046" s="75" t="str">
        <f t="array" ref="C1046">XLOOKUP(A1046, CURSOS!A:A, CURSOS!C:C)</f>
        <v>#N/A</v>
      </c>
      <c r="D1046" s="70" t="e">
        <v>#N/A</v>
      </c>
      <c r="E1046" s="48"/>
      <c r="F1046" s="48" t="str">
        <f t="array" ref="F1046">XLOOKUP($D1046,REGOLITOS!$A:$A,REGOLITOS!F:F)</f>
        <v>#N/A</v>
      </c>
      <c r="G1046" s="48" t="str">
        <f t="array" ref="G1046">XLOOKUP($D1046,REGOLITOS!$A:$A,REGOLITOS!G:G)</f>
        <v>#N/A</v>
      </c>
      <c r="H1046" s="48" t="str">
        <f t="array" ref="H1046">XLOOKUP($D1046,REGOLITOS!$A:$A,REGOLITOS!H:H)</f>
        <v>#N/A</v>
      </c>
      <c r="I1046" s="48" t="str">
        <f t="array" ref="I1046">XLOOKUP($D1046,REGOLITOS!$A:$A,REGOLITOS!I:I)</f>
        <v>#N/A</v>
      </c>
      <c r="J1046" s="48" t="str">
        <f t="array" ref="J1046">XLOOKUP($D1046,REGOLITOS!$A:$A,REGOLITOS!J:J)</f>
        <v>#N/A</v>
      </c>
      <c r="K1046" s="48" t="str">
        <f t="array" ref="K1046">XLOOKUP($D1046,REGOLITOS!$A:$A,REGOLITOS!K:K)</f>
        <v>#N/A</v>
      </c>
      <c r="L1046" s="76"/>
      <c r="M1046" s="5" t="s">
        <v>1080</v>
      </c>
      <c r="N1046" s="5" t="s">
        <v>1080</v>
      </c>
      <c r="O1046" s="5" t="s">
        <v>1080</v>
      </c>
      <c r="P1046" s="5" t="s">
        <v>1080</v>
      </c>
      <c r="Q1046" s="5" t="s">
        <v>1080</v>
      </c>
      <c r="X1046" s="71">
        <f t="shared" si="5"/>
        <v>0</v>
      </c>
      <c r="Y1046" s="5" t="b">
        <v>0</v>
      </c>
    </row>
    <row r="1047">
      <c r="B1047" s="5" t="str">
        <f t="array" ref="B1047">XLOOKUP(A1047, CURSOS!A:A, CURSOS!B:B)</f>
        <v>#N/A</v>
      </c>
      <c r="C1047" s="75" t="str">
        <f t="array" ref="C1047">XLOOKUP(A1047, CURSOS!A:A, CURSOS!C:C)</f>
        <v>#N/A</v>
      </c>
      <c r="D1047" s="70" t="e">
        <v>#N/A</v>
      </c>
      <c r="E1047" s="48"/>
      <c r="F1047" s="48" t="str">
        <f t="array" ref="F1047">XLOOKUP($D1047,REGOLITOS!$A:$A,REGOLITOS!F:F)</f>
        <v>#N/A</v>
      </c>
      <c r="G1047" s="48" t="str">
        <f t="array" ref="G1047">XLOOKUP($D1047,REGOLITOS!$A:$A,REGOLITOS!G:G)</f>
        <v>#N/A</v>
      </c>
      <c r="H1047" s="48" t="str">
        <f t="array" ref="H1047">XLOOKUP($D1047,REGOLITOS!$A:$A,REGOLITOS!H:H)</f>
        <v>#N/A</v>
      </c>
      <c r="I1047" s="48" t="str">
        <f t="array" ref="I1047">XLOOKUP($D1047,REGOLITOS!$A:$A,REGOLITOS!I:I)</f>
        <v>#N/A</v>
      </c>
      <c r="J1047" s="48" t="str">
        <f t="array" ref="J1047">XLOOKUP($D1047,REGOLITOS!$A:$A,REGOLITOS!J:J)</f>
        <v>#N/A</v>
      </c>
      <c r="K1047" s="48" t="str">
        <f t="array" ref="K1047">XLOOKUP($D1047,REGOLITOS!$A:$A,REGOLITOS!K:K)</f>
        <v>#N/A</v>
      </c>
      <c r="L1047" s="76"/>
      <c r="M1047" s="5" t="s">
        <v>1080</v>
      </c>
      <c r="N1047" s="5" t="s">
        <v>1080</v>
      </c>
      <c r="O1047" s="5" t="s">
        <v>1080</v>
      </c>
      <c r="P1047" s="5" t="s">
        <v>1080</v>
      </c>
      <c r="Q1047" s="5" t="s">
        <v>1080</v>
      </c>
      <c r="X1047" s="71">
        <f t="shared" si="5"/>
        <v>0</v>
      </c>
      <c r="Y1047" s="5" t="b">
        <v>0</v>
      </c>
    </row>
    <row r="1048">
      <c r="B1048" s="5" t="str">
        <f t="array" ref="B1048">XLOOKUP(A1048, CURSOS!A:A, CURSOS!B:B)</f>
        <v>#N/A</v>
      </c>
      <c r="C1048" s="75" t="str">
        <f t="array" ref="C1048">XLOOKUP(A1048, CURSOS!A:A, CURSOS!C:C)</f>
        <v>#N/A</v>
      </c>
      <c r="D1048" s="70" t="e">
        <v>#N/A</v>
      </c>
      <c r="E1048" s="48"/>
      <c r="F1048" s="48" t="str">
        <f t="array" ref="F1048">XLOOKUP($D1048,REGOLITOS!$A:$A,REGOLITOS!F:F)</f>
        <v>#N/A</v>
      </c>
      <c r="G1048" s="48" t="str">
        <f t="array" ref="G1048">XLOOKUP($D1048,REGOLITOS!$A:$A,REGOLITOS!G:G)</f>
        <v>#N/A</v>
      </c>
      <c r="H1048" s="48" t="str">
        <f t="array" ref="H1048">XLOOKUP($D1048,REGOLITOS!$A:$A,REGOLITOS!H:H)</f>
        <v>#N/A</v>
      </c>
      <c r="I1048" s="48" t="str">
        <f t="array" ref="I1048">XLOOKUP($D1048,REGOLITOS!$A:$A,REGOLITOS!I:I)</f>
        <v>#N/A</v>
      </c>
      <c r="J1048" s="48" t="str">
        <f t="array" ref="J1048">XLOOKUP($D1048,REGOLITOS!$A:$A,REGOLITOS!J:J)</f>
        <v>#N/A</v>
      </c>
      <c r="K1048" s="48" t="str">
        <f t="array" ref="K1048">XLOOKUP($D1048,REGOLITOS!$A:$A,REGOLITOS!K:K)</f>
        <v>#N/A</v>
      </c>
      <c r="L1048" s="76"/>
      <c r="M1048" s="5" t="s">
        <v>1080</v>
      </c>
      <c r="N1048" s="5" t="s">
        <v>1080</v>
      </c>
      <c r="O1048" s="5" t="s">
        <v>1080</v>
      </c>
      <c r="P1048" s="5" t="s">
        <v>1080</v>
      </c>
      <c r="Q1048" s="5" t="s">
        <v>1080</v>
      </c>
      <c r="X1048" s="71">
        <f t="shared" si="5"/>
        <v>0</v>
      </c>
      <c r="Y1048" s="5" t="b">
        <v>0</v>
      </c>
    </row>
    <row r="1049">
      <c r="B1049" s="5" t="str">
        <f t="array" ref="B1049">XLOOKUP(A1049, CURSOS!A:A, CURSOS!B:B)</f>
        <v>#N/A</v>
      </c>
      <c r="C1049" s="75" t="str">
        <f t="array" ref="C1049">XLOOKUP(A1049, CURSOS!A:A, CURSOS!C:C)</f>
        <v>#N/A</v>
      </c>
      <c r="D1049" s="70" t="e">
        <v>#N/A</v>
      </c>
      <c r="E1049" s="48"/>
      <c r="F1049" s="48" t="str">
        <f t="array" ref="F1049">XLOOKUP($D1049,REGOLITOS!$A:$A,REGOLITOS!F:F)</f>
        <v>#N/A</v>
      </c>
      <c r="G1049" s="48" t="str">
        <f t="array" ref="G1049">XLOOKUP($D1049,REGOLITOS!$A:$A,REGOLITOS!G:G)</f>
        <v>#N/A</v>
      </c>
      <c r="H1049" s="48" t="str">
        <f t="array" ref="H1049">XLOOKUP($D1049,REGOLITOS!$A:$A,REGOLITOS!H:H)</f>
        <v>#N/A</v>
      </c>
      <c r="I1049" s="48" t="str">
        <f t="array" ref="I1049">XLOOKUP($D1049,REGOLITOS!$A:$A,REGOLITOS!I:I)</f>
        <v>#N/A</v>
      </c>
      <c r="J1049" s="48" t="str">
        <f t="array" ref="J1049">XLOOKUP($D1049,REGOLITOS!$A:$A,REGOLITOS!J:J)</f>
        <v>#N/A</v>
      </c>
      <c r="K1049" s="48" t="str">
        <f t="array" ref="K1049">XLOOKUP($D1049,REGOLITOS!$A:$A,REGOLITOS!K:K)</f>
        <v>#N/A</v>
      </c>
      <c r="L1049" s="76"/>
      <c r="M1049" s="5" t="s">
        <v>1080</v>
      </c>
      <c r="N1049" s="5" t="s">
        <v>1080</v>
      </c>
      <c r="O1049" s="5" t="s">
        <v>1080</v>
      </c>
      <c r="P1049" s="5" t="s">
        <v>1080</v>
      </c>
      <c r="Q1049" s="5" t="s">
        <v>1080</v>
      </c>
      <c r="X1049" s="71">
        <f t="shared" si="5"/>
        <v>0</v>
      </c>
      <c r="Y1049" s="5" t="b">
        <v>0</v>
      </c>
    </row>
    <row r="1050">
      <c r="B1050" s="5" t="str">
        <f t="array" ref="B1050">XLOOKUP(A1050, CURSOS!A:A, CURSOS!B:B)</f>
        <v>#N/A</v>
      </c>
      <c r="C1050" s="75" t="str">
        <f t="array" ref="C1050">XLOOKUP(A1050, CURSOS!A:A, CURSOS!C:C)</f>
        <v>#N/A</v>
      </c>
      <c r="D1050" s="70" t="e">
        <v>#N/A</v>
      </c>
      <c r="E1050" s="48"/>
      <c r="F1050" s="48" t="str">
        <f t="array" ref="F1050">XLOOKUP($D1050,REGOLITOS!$A:$A,REGOLITOS!F:F)</f>
        <v>#N/A</v>
      </c>
      <c r="G1050" s="48" t="str">
        <f t="array" ref="G1050">XLOOKUP($D1050,REGOLITOS!$A:$A,REGOLITOS!G:G)</f>
        <v>#N/A</v>
      </c>
      <c r="H1050" s="48" t="str">
        <f t="array" ref="H1050">XLOOKUP($D1050,REGOLITOS!$A:$A,REGOLITOS!H:H)</f>
        <v>#N/A</v>
      </c>
      <c r="I1050" s="48" t="str">
        <f t="array" ref="I1050">XLOOKUP($D1050,REGOLITOS!$A:$A,REGOLITOS!I:I)</f>
        <v>#N/A</v>
      </c>
      <c r="J1050" s="48" t="str">
        <f t="array" ref="J1050">XLOOKUP($D1050,REGOLITOS!$A:$A,REGOLITOS!J:J)</f>
        <v>#N/A</v>
      </c>
      <c r="K1050" s="48" t="str">
        <f t="array" ref="K1050">XLOOKUP($D1050,REGOLITOS!$A:$A,REGOLITOS!K:K)</f>
        <v>#N/A</v>
      </c>
      <c r="L1050" s="76"/>
      <c r="M1050" s="5" t="s">
        <v>1080</v>
      </c>
      <c r="N1050" s="5" t="s">
        <v>1080</v>
      </c>
      <c r="O1050" s="5" t="s">
        <v>1080</v>
      </c>
      <c r="P1050" s="5" t="s">
        <v>1080</v>
      </c>
      <c r="Q1050" s="5" t="s">
        <v>1080</v>
      </c>
      <c r="X1050" s="71">
        <f t="shared" si="5"/>
        <v>0</v>
      </c>
      <c r="Y1050" s="5" t="b">
        <v>0</v>
      </c>
    </row>
    <row r="1051">
      <c r="B1051" s="5" t="str">
        <f t="array" ref="B1051">XLOOKUP(A1051, CURSOS!A:A, CURSOS!B:B)</f>
        <v>#N/A</v>
      </c>
      <c r="C1051" s="75" t="str">
        <f t="array" ref="C1051">XLOOKUP(A1051, CURSOS!A:A, CURSOS!C:C)</f>
        <v>#N/A</v>
      </c>
      <c r="D1051" s="70" t="e">
        <v>#N/A</v>
      </c>
      <c r="E1051" s="48"/>
      <c r="F1051" s="48" t="str">
        <f t="array" ref="F1051">XLOOKUP($D1051,REGOLITOS!$A:$A,REGOLITOS!F:F)</f>
        <v>#N/A</v>
      </c>
      <c r="G1051" s="48" t="str">
        <f t="array" ref="G1051">XLOOKUP($D1051,REGOLITOS!$A:$A,REGOLITOS!G:G)</f>
        <v>#N/A</v>
      </c>
      <c r="H1051" s="48" t="str">
        <f t="array" ref="H1051">XLOOKUP($D1051,REGOLITOS!$A:$A,REGOLITOS!H:H)</f>
        <v>#N/A</v>
      </c>
      <c r="I1051" s="48" t="str">
        <f t="array" ref="I1051">XLOOKUP($D1051,REGOLITOS!$A:$A,REGOLITOS!I:I)</f>
        <v>#N/A</v>
      </c>
      <c r="J1051" s="48" t="str">
        <f t="array" ref="J1051">XLOOKUP($D1051,REGOLITOS!$A:$A,REGOLITOS!J:J)</f>
        <v>#N/A</v>
      </c>
      <c r="K1051" s="48" t="str">
        <f t="array" ref="K1051">XLOOKUP($D1051,REGOLITOS!$A:$A,REGOLITOS!K:K)</f>
        <v>#N/A</v>
      </c>
      <c r="L1051" s="76"/>
      <c r="M1051" s="5" t="s">
        <v>1080</v>
      </c>
      <c r="N1051" s="5" t="s">
        <v>1080</v>
      </c>
      <c r="O1051" s="5" t="s">
        <v>1080</v>
      </c>
      <c r="P1051" s="5" t="s">
        <v>1080</v>
      </c>
      <c r="Q1051" s="5" t="s">
        <v>1080</v>
      </c>
      <c r="X1051" s="71">
        <f t="shared" si="5"/>
        <v>0</v>
      </c>
      <c r="Y1051" s="5" t="b">
        <v>0</v>
      </c>
    </row>
    <row r="1052">
      <c r="B1052" s="5" t="str">
        <f t="array" ref="B1052">XLOOKUP(A1052, CURSOS!A:A, CURSOS!B:B)</f>
        <v>#N/A</v>
      </c>
      <c r="C1052" s="75" t="str">
        <f t="array" ref="C1052">XLOOKUP(A1052, CURSOS!A:A, CURSOS!C:C)</f>
        <v>#N/A</v>
      </c>
      <c r="D1052" s="70" t="e">
        <v>#N/A</v>
      </c>
      <c r="E1052" s="48"/>
      <c r="F1052" s="48" t="str">
        <f t="array" ref="F1052">XLOOKUP($D1052,REGOLITOS!$A:$A,REGOLITOS!F:F)</f>
        <v>#N/A</v>
      </c>
      <c r="G1052" s="48" t="str">
        <f t="array" ref="G1052">XLOOKUP($D1052,REGOLITOS!$A:$A,REGOLITOS!G:G)</f>
        <v>#N/A</v>
      </c>
      <c r="H1052" s="48" t="str">
        <f t="array" ref="H1052">XLOOKUP($D1052,REGOLITOS!$A:$A,REGOLITOS!H:H)</f>
        <v>#N/A</v>
      </c>
      <c r="I1052" s="48" t="str">
        <f t="array" ref="I1052">XLOOKUP($D1052,REGOLITOS!$A:$A,REGOLITOS!I:I)</f>
        <v>#N/A</v>
      </c>
      <c r="J1052" s="48" t="str">
        <f t="array" ref="J1052">XLOOKUP($D1052,REGOLITOS!$A:$A,REGOLITOS!J:J)</f>
        <v>#N/A</v>
      </c>
      <c r="K1052" s="48" t="str">
        <f t="array" ref="K1052">XLOOKUP($D1052,REGOLITOS!$A:$A,REGOLITOS!K:K)</f>
        <v>#N/A</v>
      </c>
      <c r="L1052" s="76"/>
      <c r="M1052" s="5" t="s">
        <v>1080</v>
      </c>
      <c r="N1052" s="5" t="s">
        <v>1080</v>
      </c>
      <c r="O1052" s="5" t="s">
        <v>1080</v>
      </c>
      <c r="P1052" s="5" t="s">
        <v>1080</v>
      </c>
      <c r="Q1052" s="5" t="s">
        <v>1080</v>
      </c>
      <c r="X1052" s="71">
        <f t="shared" si="5"/>
        <v>0</v>
      </c>
      <c r="Y1052" s="5" t="b">
        <v>0</v>
      </c>
    </row>
    <row r="1053">
      <c r="B1053" s="5" t="str">
        <f t="array" ref="B1053">XLOOKUP(A1053, CURSOS!A:A, CURSOS!B:B)</f>
        <v>#N/A</v>
      </c>
      <c r="C1053" s="75" t="str">
        <f t="array" ref="C1053">XLOOKUP(A1053, CURSOS!A:A, CURSOS!C:C)</f>
        <v>#N/A</v>
      </c>
      <c r="D1053" s="70" t="e">
        <v>#N/A</v>
      </c>
      <c r="E1053" s="48"/>
      <c r="F1053" s="48" t="str">
        <f t="array" ref="F1053">XLOOKUP($D1053,REGOLITOS!$A:$A,REGOLITOS!F:F)</f>
        <v>#N/A</v>
      </c>
      <c r="G1053" s="48" t="str">
        <f t="array" ref="G1053">XLOOKUP($D1053,REGOLITOS!$A:$A,REGOLITOS!G:G)</f>
        <v>#N/A</v>
      </c>
      <c r="H1053" s="48" t="str">
        <f t="array" ref="H1053">XLOOKUP($D1053,REGOLITOS!$A:$A,REGOLITOS!H:H)</f>
        <v>#N/A</v>
      </c>
      <c r="I1053" s="48" t="str">
        <f t="array" ref="I1053">XLOOKUP($D1053,REGOLITOS!$A:$A,REGOLITOS!I:I)</f>
        <v>#N/A</v>
      </c>
      <c r="J1053" s="48" t="str">
        <f t="array" ref="J1053">XLOOKUP($D1053,REGOLITOS!$A:$A,REGOLITOS!J:J)</f>
        <v>#N/A</v>
      </c>
      <c r="K1053" s="48" t="str">
        <f t="array" ref="K1053">XLOOKUP($D1053,REGOLITOS!$A:$A,REGOLITOS!K:K)</f>
        <v>#N/A</v>
      </c>
      <c r="L1053" s="76"/>
      <c r="M1053" s="5" t="s">
        <v>1080</v>
      </c>
      <c r="N1053" s="5" t="s">
        <v>1080</v>
      </c>
      <c r="O1053" s="5" t="s">
        <v>1080</v>
      </c>
      <c r="P1053" s="5" t="s">
        <v>1080</v>
      </c>
      <c r="Q1053" s="5" t="s">
        <v>1080</v>
      </c>
      <c r="X1053" s="71">
        <f t="shared" si="5"/>
        <v>0</v>
      </c>
      <c r="Y1053" s="5" t="b">
        <v>0</v>
      </c>
    </row>
    <row r="1054">
      <c r="B1054" s="5" t="str">
        <f t="array" ref="B1054">XLOOKUP(A1054, CURSOS!A:A, CURSOS!B:B)</f>
        <v>#N/A</v>
      </c>
      <c r="C1054" s="75" t="str">
        <f t="array" ref="C1054">XLOOKUP(A1054, CURSOS!A:A, CURSOS!C:C)</f>
        <v>#N/A</v>
      </c>
      <c r="D1054" s="70" t="e">
        <v>#N/A</v>
      </c>
      <c r="E1054" s="48"/>
      <c r="F1054" s="48" t="str">
        <f t="array" ref="F1054">XLOOKUP($D1054,REGOLITOS!$A:$A,REGOLITOS!F:F)</f>
        <v>#N/A</v>
      </c>
      <c r="G1054" s="48" t="str">
        <f t="array" ref="G1054">XLOOKUP($D1054,REGOLITOS!$A:$A,REGOLITOS!G:G)</f>
        <v>#N/A</v>
      </c>
      <c r="H1054" s="48" t="str">
        <f t="array" ref="H1054">XLOOKUP($D1054,REGOLITOS!$A:$A,REGOLITOS!H:H)</f>
        <v>#N/A</v>
      </c>
      <c r="I1054" s="48" t="str">
        <f t="array" ref="I1054">XLOOKUP($D1054,REGOLITOS!$A:$A,REGOLITOS!I:I)</f>
        <v>#N/A</v>
      </c>
      <c r="J1054" s="48" t="str">
        <f t="array" ref="J1054">XLOOKUP($D1054,REGOLITOS!$A:$A,REGOLITOS!J:J)</f>
        <v>#N/A</v>
      </c>
      <c r="K1054" s="48" t="str">
        <f t="array" ref="K1054">XLOOKUP($D1054,REGOLITOS!$A:$A,REGOLITOS!K:K)</f>
        <v>#N/A</v>
      </c>
      <c r="L1054" s="76"/>
      <c r="M1054" s="5" t="s">
        <v>1080</v>
      </c>
      <c r="N1054" s="5" t="s">
        <v>1080</v>
      </c>
      <c r="O1054" s="5" t="s">
        <v>1080</v>
      </c>
      <c r="P1054" s="5" t="s">
        <v>1080</v>
      </c>
      <c r="Q1054" s="5" t="s">
        <v>1080</v>
      </c>
      <c r="X1054" s="71">
        <f t="shared" si="5"/>
        <v>0</v>
      </c>
      <c r="Y1054" s="5" t="b">
        <v>0</v>
      </c>
    </row>
    <row r="1055">
      <c r="B1055" s="5" t="str">
        <f t="array" ref="B1055">XLOOKUP(A1055, CURSOS!A:A, CURSOS!B:B)</f>
        <v>#N/A</v>
      </c>
      <c r="C1055" s="75" t="str">
        <f t="array" ref="C1055">XLOOKUP(A1055, CURSOS!A:A, CURSOS!C:C)</f>
        <v>#N/A</v>
      </c>
      <c r="D1055" s="70" t="e">
        <v>#N/A</v>
      </c>
      <c r="E1055" s="48"/>
      <c r="F1055" s="48" t="str">
        <f t="array" ref="F1055">XLOOKUP($D1055,REGOLITOS!$A:$A,REGOLITOS!F:F)</f>
        <v>#N/A</v>
      </c>
      <c r="G1055" s="48" t="str">
        <f t="array" ref="G1055">XLOOKUP($D1055,REGOLITOS!$A:$A,REGOLITOS!G:G)</f>
        <v>#N/A</v>
      </c>
      <c r="H1055" s="48" t="str">
        <f t="array" ref="H1055">XLOOKUP($D1055,REGOLITOS!$A:$A,REGOLITOS!H:H)</f>
        <v>#N/A</v>
      </c>
      <c r="I1055" s="48" t="str">
        <f t="array" ref="I1055">XLOOKUP($D1055,REGOLITOS!$A:$A,REGOLITOS!I:I)</f>
        <v>#N/A</v>
      </c>
      <c r="J1055" s="48" t="str">
        <f t="array" ref="J1055">XLOOKUP($D1055,REGOLITOS!$A:$A,REGOLITOS!J:J)</f>
        <v>#N/A</v>
      </c>
      <c r="K1055" s="48" t="str">
        <f t="array" ref="K1055">XLOOKUP($D1055,REGOLITOS!$A:$A,REGOLITOS!K:K)</f>
        <v>#N/A</v>
      </c>
      <c r="L1055" s="76"/>
      <c r="M1055" s="5" t="s">
        <v>1080</v>
      </c>
      <c r="N1055" s="5" t="s">
        <v>1080</v>
      </c>
      <c r="O1055" s="5" t="s">
        <v>1080</v>
      </c>
      <c r="P1055" s="5" t="s">
        <v>1080</v>
      </c>
      <c r="Q1055" s="5" t="s">
        <v>1080</v>
      </c>
      <c r="X1055" s="71">
        <f t="shared" si="5"/>
        <v>0</v>
      </c>
      <c r="Y1055" s="5" t="b">
        <v>0</v>
      </c>
    </row>
    <row r="1056">
      <c r="B1056" s="5" t="str">
        <f t="array" ref="B1056">XLOOKUP(A1056, CURSOS!A:A, CURSOS!B:B)</f>
        <v>#N/A</v>
      </c>
      <c r="C1056" s="75" t="str">
        <f t="array" ref="C1056">XLOOKUP(A1056, CURSOS!A:A, CURSOS!C:C)</f>
        <v>#N/A</v>
      </c>
      <c r="D1056" s="70" t="e">
        <v>#N/A</v>
      </c>
      <c r="E1056" s="48"/>
      <c r="F1056" s="48" t="str">
        <f t="array" ref="F1056">XLOOKUP($D1056,REGOLITOS!$A:$A,REGOLITOS!F:F)</f>
        <v>#N/A</v>
      </c>
      <c r="G1056" s="48" t="str">
        <f t="array" ref="G1056">XLOOKUP($D1056,REGOLITOS!$A:$A,REGOLITOS!G:G)</f>
        <v>#N/A</v>
      </c>
      <c r="H1056" s="48" t="str">
        <f t="array" ref="H1056">XLOOKUP($D1056,REGOLITOS!$A:$A,REGOLITOS!H:H)</f>
        <v>#N/A</v>
      </c>
      <c r="I1056" s="48" t="str">
        <f t="array" ref="I1056">XLOOKUP($D1056,REGOLITOS!$A:$A,REGOLITOS!I:I)</f>
        <v>#N/A</v>
      </c>
      <c r="J1056" s="48" t="str">
        <f t="array" ref="J1056">XLOOKUP($D1056,REGOLITOS!$A:$A,REGOLITOS!J:J)</f>
        <v>#N/A</v>
      </c>
      <c r="K1056" s="48" t="str">
        <f t="array" ref="K1056">XLOOKUP($D1056,REGOLITOS!$A:$A,REGOLITOS!K:K)</f>
        <v>#N/A</v>
      </c>
      <c r="L1056" s="76"/>
      <c r="M1056" s="5" t="s">
        <v>1080</v>
      </c>
      <c r="N1056" s="5" t="s">
        <v>1080</v>
      </c>
      <c r="O1056" s="5" t="s">
        <v>1080</v>
      </c>
      <c r="P1056" s="5" t="s">
        <v>1080</v>
      </c>
      <c r="Q1056" s="5" t="s">
        <v>1080</v>
      </c>
      <c r="X1056" s="71">
        <f t="shared" si="5"/>
        <v>0</v>
      </c>
      <c r="Y1056" s="5" t="b">
        <v>0</v>
      </c>
    </row>
    <row r="1057">
      <c r="B1057" s="5" t="str">
        <f t="array" ref="B1057">XLOOKUP(A1057, CURSOS!A:A, CURSOS!B:B)</f>
        <v>#N/A</v>
      </c>
      <c r="C1057" s="75" t="str">
        <f t="array" ref="C1057">XLOOKUP(A1057, CURSOS!A:A, CURSOS!C:C)</f>
        <v>#N/A</v>
      </c>
      <c r="D1057" s="70" t="e">
        <v>#N/A</v>
      </c>
      <c r="E1057" s="48"/>
      <c r="F1057" s="48" t="str">
        <f t="array" ref="F1057">XLOOKUP($D1057,REGOLITOS!$A:$A,REGOLITOS!F:F)</f>
        <v>#N/A</v>
      </c>
      <c r="G1057" s="48" t="str">
        <f t="array" ref="G1057">XLOOKUP($D1057,REGOLITOS!$A:$A,REGOLITOS!G:G)</f>
        <v>#N/A</v>
      </c>
      <c r="H1057" s="48" t="str">
        <f t="array" ref="H1057">XLOOKUP($D1057,REGOLITOS!$A:$A,REGOLITOS!H:H)</f>
        <v>#N/A</v>
      </c>
      <c r="I1057" s="48" t="str">
        <f t="array" ref="I1057">XLOOKUP($D1057,REGOLITOS!$A:$A,REGOLITOS!I:I)</f>
        <v>#N/A</v>
      </c>
      <c r="J1057" s="48" t="str">
        <f t="array" ref="J1057">XLOOKUP($D1057,REGOLITOS!$A:$A,REGOLITOS!J:J)</f>
        <v>#N/A</v>
      </c>
      <c r="K1057" s="48" t="str">
        <f t="array" ref="K1057">XLOOKUP($D1057,REGOLITOS!$A:$A,REGOLITOS!K:K)</f>
        <v>#N/A</v>
      </c>
      <c r="L1057" s="76"/>
      <c r="M1057" s="5" t="s">
        <v>1080</v>
      </c>
      <c r="N1057" s="5" t="s">
        <v>1080</v>
      </c>
      <c r="O1057" s="5" t="s">
        <v>1080</v>
      </c>
      <c r="P1057" s="5" t="s">
        <v>1080</v>
      </c>
      <c r="Q1057" s="5" t="s">
        <v>1080</v>
      </c>
      <c r="X1057" s="71">
        <f t="shared" si="5"/>
        <v>0</v>
      </c>
      <c r="Y1057" s="5" t="b">
        <v>0</v>
      </c>
    </row>
    <row r="1058">
      <c r="B1058" s="5" t="str">
        <f t="array" ref="B1058">XLOOKUP(A1058, CURSOS!A:A, CURSOS!B:B)</f>
        <v>#N/A</v>
      </c>
      <c r="C1058" s="75" t="str">
        <f t="array" ref="C1058">XLOOKUP(A1058, CURSOS!A:A, CURSOS!C:C)</f>
        <v>#N/A</v>
      </c>
      <c r="D1058" s="70" t="e">
        <v>#N/A</v>
      </c>
      <c r="E1058" s="48"/>
      <c r="F1058" s="48" t="str">
        <f t="array" ref="F1058">XLOOKUP($D1058,REGOLITOS!$A:$A,REGOLITOS!F:F)</f>
        <v>#N/A</v>
      </c>
      <c r="G1058" s="48" t="str">
        <f t="array" ref="G1058">XLOOKUP($D1058,REGOLITOS!$A:$A,REGOLITOS!G:G)</f>
        <v>#N/A</v>
      </c>
      <c r="H1058" s="48" t="str">
        <f t="array" ref="H1058">XLOOKUP($D1058,REGOLITOS!$A:$A,REGOLITOS!H:H)</f>
        <v>#N/A</v>
      </c>
      <c r="I1058" s="48" t="str">
        <f t="array" ref="I1058">XLOOKUP($D1058,REGOLITOS!$A:$A,REGOLITOS!I:I)</f>
        <v>#N/A</v>
      </c>
      <c r="J1058" s="48" t="str">
        <f t="array" ref="J1058">XLOOKUP($D1058,REGOLITOS!$A:$A,REGOLITOS!J:J)</f>
        <v>#N/A</v>
      </c>
      <c r="K1058" s="48" t="str">
        <f t="array" ref="K1058">XLOOKUP($D1058,REGOLITOS!$A:$A,REGOLITOS!K:K)</f>
        <v>#N/A</v>
      </c>
      <c r="L1058" s="76"/>
      <c r="M1058" s="5" t="s">
        <v>1080</v>
      </c>
      <c r="N1058" s="5" t="s">
        <v>1080</v>
      </c>
      <c r="O1058" s="5" t="s">
        <v>1080</v>
      </c>
      <c r="P1058" s="5" t="s">
        <v>1080</v>
      </c>
      <c r="Q1058" s="5" t="s">
        <v>1080</v>
      </c>
      <c r="X1058" s="71">
        <f t="shared" si="5"/>
        <v>0</v>
      </c>
      <c r="Y1058" s="5" t="b">
        <v>0</v>
      </c>
    </row>
    <row r="1059">
      <c r="B1059" s="5" t="str">
        <f t="array" ref="B1059">XLOOKUP(A1059, CURSOS!A:A, CURSOS!B:B)</f>
        <v>#N/A</v>
      </c>
      <c r="C1059" s="75" t="str">
        <f t="array" ref="C1059">XLOOKUP(A1059, CURSOS!A:A, CURSOS!C:C)</f>
        <v>#N/A</v>
      </c>
      <c r="D1059" s="70" t="e">
        <v>#N/A</v>
      </c>
      <c r="E1059" s="48"/>
      <c r="F1059" s="48" t="str">
        <f t="array" ref="F1059">XLOOKUP($D1059,REGOLITOS!$A:$A,REGOLITOS!F:F)</f>
        <v>#N/A</v>
      </c>
      <c r="G1059" s="48" t="str">
        <f t="array" ref="G1059">XLOOKUP($D1059,REGOLITOS!$A:$A,REGOLITOS!G:G)</f>
        <v>#N/A</v>
      </c>
      <c r="H1059" s="48" t="str">
        <f t="array" ref="H1059">XLOOKUP($D1059,REGOLITOS!$A:$A,REGOLITOS!H:H)</f>
        <v>#N/A</v>
      </c>
      <c r="I1059" s="48" t="str">
        <f t="array" ref="I1059">XLOOKUP($D1059,REGOLITOS!$A:$A,REGOLITOS!I:I)</f>
        <v>#N/A</v>
      </c>
      <c r="J1059" s="48" t="str">
        <f t="array" ref="J1059">XLOOKUP($D1059,REGOLITOS!$A:$A,REGOLITOS!J:J)</f>
        <v>#N/A</v>
      </c>
      <c r="K1059" s="48" t="str">
        <f t="array" ref="K1059">XLOOKUP($D1059,REGOLITOS!$A:$A,REGOLITOS!K:K)</f>
        <v>#N/A</v>
      </c>
      <c r="L1059" s="76"/>
      <c r="M1059" s="5" t="s">
        <v>1080</v>
      </c>
      <c r="N1059" s="5" t="s">
        <v>1080</v>
      </c>
      <c r="O1059" s="5" t="s">
        <v>1080</v>
      </c>
      <c r="P1059" s="5" t="s">
        <v>1080</v>
      </c>
      <c r="Q1059" s="5" t="s">
        <v>1080</v>
      </c>
      <c r="X1059" s="71">
        <f t="shared" si="5"/>
        <v>0</v>
      </c>
      <c r="Y1059" s="5" t="b">
        <v>0</v>
      </c>
    </row>
    <row r="1060">
      <c r="B1060" s="5" t="str">
        <f t="array" ref="B1060">XLOOKUP(A1060, CURSOS!A:A, CURSOS!B:B)</f>
        <v>#N/A</v>
      </c>
      <c r="C1060" s="75" t="str">
        <f t="array" ref="C1060">XLOOKUP(A1060, CURSOS!A:A, CURSOS!C:C)</f>
        <v>#N/A</v>
      </c>
      <c r="D1060" s="70" t="e">
        <v>#N/A</v>
      </c>
      <c r="E1060" s="48"/>
      <c r="F1060" s="48" t="str">
        <f t="array" ref="F1060">XLOOKUP($D1060,REGOLITOS!$A:$A,REGOLITOS!F:F)</f>
        <v>#N/A</v>
      </c>
      <c r="G1060" s="48" t="str">
        <f t="array" ref="G1060">XLOOKUP($D1060,REGOLITOS!$A:$A,REGOLITOS!G:G)</f>
        <v>#N/A</v>
      </c>
      <c r="H1060" s="48" t="str">
        <f t="array" ref="H1060">XLOOKUP($D1060,REGOLITOS!$A:$A,REGOLITOS!H:H)</f>
        <v>#N/A</v>
      </c>
      <c r="I1060" s="48" t="str">
        <f t="array" ref="I1060">XLOOKUP($D1060,REGOLITOS!$A:$A,REGOLITOS!I:I)</f>
        <v>#N/A</v>
      </c>
      <c r="J1060" s="48" t="str">
        <f t="array" ref="J1060">XLOOKUP($D1060,REGOLITOS!$A:$A,REGOLITOS!J:J)</f>
        <v>#N/A</v>
      </c>
      <c r="K1060" s="48" t="str">
        <f t="array" ref="K1060">XLOOKUP($D1060,REGOLITOS!$A:$A,REGOLITOS!K:K)</f>
        <v>#N/A</v>
      </c>
      <c r="L1060" s="76"/>
      <c r="M1060" s="5" t="s">
        <v>1080</v>
      </c>
      <c r="N1060" s="5" t="s">
        <v>1080</v>
      </c>
      <c r="O1060" s="5" t="s">
        <v>1080</v>
      </c>
      <c r="P1060" s="5" t="s">
        <v>1080</v>
      </c>
      <c r="Q1060" s="5" t="s">
        <v>1080</v>
      </c>
      <c r="X1060" s="71">
        <f t="shared" si="5"/>
        <v>0</v>
      </c>
      <c r="Y1060" s="5" t="b">
        <v>0</v>
      </c>
    </row>
    <row r="1061">
      <c r="B1061" s="5" t="str">
        <f t="array" ref="B1061">XLOOKUP(A1061, CURSOS!A:A, CURSOS!B:B)</f>
        <v>#N/A</v>
      </c>
      <c r="C1061" s="75" t="str">
        <f t="array" ref="C1061">XLOOKUP(A1061, CURSOS!A:A, CURSOS!C:C)</f>
        <v>#N/A</v>
      </c>
      <c r="D1061" s="70" t="e">
        <v>#N/A</v>
      </c>
      <c r="E1061" s="48"/>
      <c r="F1061" s="48" t="str">
        <f t="array" ref="F1061">XLOOKUP($D1061,REGOLITOS!$A:$A,REGOLITOS!F:F)</f>
        <v>#N/A</v>
      </c>
      <c r="G1061" s="48" t="str">
        <f t="array" ref="G1061">XLOOKUP($D1061,REGOLITOS!$A:$A,REGOLITOS!G:G)</f>
        <v>#N/A</v>
      </c>
      <c r="H1061" s="48" t="str">
        <f t="array" ref="H1061">XLOOKUP($D1061,REGOLITOS!$A:$A,REGOLITOS!H:H)</f>
        <v>#N/A</v>
      </c>
      <c r="I1061" s="48" t="str">
        <f t="array" ref="I1061">XLOOKUP($D1061,REGOLITOS!$A:$A,REGOLITOS!I:I)</f>
        <v>#N/A</v>
      </c>
      <c r="J1061" s="48" t="str">
        <f t="array" ref="J1061">XLOOKUP($D1061,REGOLITOS!$A:$A,REGOLITOS!J:J)</f>
        <v>#N/A</v>
      </c>
      <c r="K1061" s="48" t="str">
        <f t="array" ref="K1061">XLOOKUP($D1061,REGOLITOS!$A:$A,REGOLITOS!K:K)</f>
        <v>#N/A</v>
      </c>
      <c r="L1061" s="76"/>
      <c r="M1061" s="5" t="s">
        <v>1080</v>
      </c>
      <c r="N1061" s="5" t="s">
        <v>1080</v>
      </c>
      <c r="O1061" s="5" t="s">
        <v>1080</v>
      </c>
      <c r="P1061" s="5" t="s">
        <v>1080</v>
      </c>
      <c r="Q1061" s="5" t="s">
        <v>1080</v>
      </c>
      <c r="X1061" s="71">
        <f t="shared" si="5"/>
        <v>0</v>
      </c>
      <c r="Y1061" s="5" t="b">
        <v>0</v>
      </c>
    </row>
    <row r="1062">
      <c r="B1062" s="5" t="str">
        <f t="array" ref="B1062">XLOOKUP(A1062, CURSOS!A:A, CURSOS!B:B)</f>
        <v>#N/A</v>
      </c>
      <c r="C1062" s="75" t="str">
        <f t="array" ref="C1062">XLOOKUP(A1062, CURSOS!A:A, CURSOS!C:C)</f>
        <v>#N/A</v>
      </c>
      <c r="D1062" s="70" t="e">
        <v>#N/A</v>
      </c>
      <c r="E1062" s="48"/>
      <c r="F1062" s="48" t="str">
        <f t="array" ref="F1062">XLOOKUP($D1062,REGOLITOS!$A:$A,REGOLITOS!F:F)</f>
        <v>#N/A</v>
      </c>
      <c r="G1062" s="48" t="str">
        <f t="array" ref="G1062">XLOOKUP($D1062,REGOLITOS!$A:$A,REGOLITOS!G:G)</f>
        <v>#N/A</v>
      </c>
      <c r="H1062" s="48" t="str">
        <f t="array" ref="H1062">XLOOKUP($D1062,REGOLITOS!$A:$A,REGOLITOS!H:H)</f>
        <v>#N/A</v>
      </c>
      <c r="I1062" s="48" t="str">
        <f t="array" ref="I1062">XLOOKUP($D1062,REGOLITOS!$A:$A,REGOLITOS!I:I)</f>
        <v>#N/A</v>
      </c>
      <c r="J1062" s="48" t="str">
        <f t="array" ref="J1062">XLOOKUP($D1062,REGOLITOS!$A:$A,REGOLITOS!J:J)</f>
        <v>#N/A</v>
      </c>
      <c r="K1062" s="48" t="str">
        <f t="array" ref="K1062">XLOOKUP($D1062,REGOLITOS!$A:$A,REGOLITOS!K:K)</f>
        <v>#N/A</v>
      </c>
      <c r="L1062" s="76"/>
      <c r="M1062" s="5" t="s">
        <v>1080</v>
      </c>
      <c r="N1062" s="5" t="s">
        <v>1080</v>
      </c>
      <c r="O1062" s="5" t="s">
        <v>1080</v>
      </c>
      <c r="P1062" s="5" t="s">
        <v>1080</v>
      </c>
      <c r="Q1062" s="5" t="s">
        <v>1080</v>
      </c>
      <c r="X1062" s="71">
        <f t="shared" si="5"/>
        <v>0</v>
      </c>
      <c r="Y1062" s="5" t="b">
        <v>0</v>
      </c>
    </row>
    <row r="1063">
      <c r="B1063" s="5" t="str">
        <f t="array" ref="B1063">XLOOKUP(A1063, CURSOS!A:A, CURSOS!B:B)</f>
        <v>#N/A</v>
      </c>
      <c r="C1063" s="75" t="str">
        <f t="array" ref="C1063">XLOOKUP(A1063, CURSOS!A:A, CURSOS!C:C)</f>
        <v>#N/A</v>
      </c>
      <c r="D1063" s="70" t="e">
        <v>#N/A</v>
      </c>
      <c r="E1063" s="48"/>
      <c r="F1063" s="48" t="str">
        <f t="array" ref="F1063">XLOOKUP($D1063,REGOLITOS!$A:$A,REGOLITOS!F:F)</f>
        <v>#N/A</v>
      </c>
      <c r="G1063" s="48" t="str">
        <f t="array" ref="G1063">XLOOKUP($D1063,REGOLITOS!$A:$A,REGOLITOS!G:G)</f>
        <v>#N/A</v>
      </c>
      <c r="H1063" s="48" t="str">
        <f t="array" ref="H1063">XLOOKUP($D1063,REGOLITOS!$A:$A,REGOLITOS!H:H)</f>
        <v>#N/A</v>
      </c>
      <c r="I1063" s="48" t="str">
        <f t="array" ref="I1063">XLOOKUP($D1063,REGOLITOS!$A:$A,REGOLITOS!I:I)</f>
        <v>#N/A</v>
      </c>
      <c r="J1063" s="48" t="str">
        <f t="array" ref="J1063">XLOOKUP($D1063,REGOLITOS!$A:$A,REGOLITOS!J:J)</f>
        <v>#N/A</v>
      </c>
      <c r="K1063" s="48" t="str">
        <f t="array" ref="K1063">XLOOKUP($D1063,REGOLITOS!$A:$A,REGOLITOS!K:K)</f>
        <v>#N/A</v>
      </c>
      <c r="L1063" s="76"/>
      <c r="M1063" s="5" t="s">
        <v>1080</v>
      </c>
      <c r="N1063" s="5" t="s">
        <v>1080</v>
      </c>
      <c r="O1063" s="5" t="s">
        <v>1080</v>
      </c>
      <c r="P1063" s="5" t="s">
        <v>1080</v>
      </c>
      <c r="Q1063" s="5" t="s">
        <v>1080</v>
      </c>
      <c r="X1063" s="71">
        <f t="shared" si="5"/>
        <v>0</v>
      </c>
      <c r="Y1063" s="5" t="b">
        <v>0</v>
      </c>
    </row>
    <row r="1064">
      <c r="B1064" s="5" t="str">
        <f t="array" ref="B1064">XLOOKUP(A1064, CURSOS!A:A, CURSOS!B:B)</f>
        <v>#N/A</v>
      </c>
      <c r="C1064" s="75" t="str">
        <f t="array" ref="C1064">XLOOKUP(A1064, CURSOS!A:A, CURSOS!C:C)</f>
        <v>#N/A</v>
      </c>
      <c r="D1064" s="70" t="e">
        <v>#N/A</v>
      </c>
      <c r="E1064" s="48"/>
      <c r="F1064" s="48" t="str">
        <f t="array" ref="F1064">XLOOKUP($D1064,REGOLITOS!$A:$A,REGOLITOS!F:F)</f>
        <v>#N/A</v>
      </c>
      <c r="G1064" s="48" t="str">
        <f t="array" ref="G1064">XLOOKUP($D1064,REGOLITOS!$A:$A,REGOLITOS!G:G)</f>
        <v>#N/A</v>
      </c>
      <c r="H1064" s="48" t="str">
        <f t="array" ref="H1064">XLOOKUP($D1064,REGOLITOS!$A:$A,REGOLITOS!H:H)</f>
        <v>#N/A</v>
      </c>
      <c r="I1064" s="48" t="str">
        <f t="array" ref="I1064">XLOOKUP($D1064,REGOLITOS!$A:$A,REGOLITOS!I:I)</f>
        <v>#N/A</v>
      </c>
      <c r="J1064" s="48" t="str">
        <f t="array" ref="J1064">XLOOKUP($D1064,REGOLITOS!$A:$A,REGOLITOS!J:J)</f>
        <v>#N/A</v>
      </c>
      <c r="K1064" s="48" t="str">
        <f t="array" ref="K1064">XLOOKUP($D1064,REGOLITOS!$A:$A,REGOLITOS!K:K)</f>
        <v>#N/A</v>
      </c>
      <c r="L1064" s="76"/>
      <c r="M1064" s="5" t="s">
        <v>1080</v>
      </c>
      <c r="N1064" s="5" t="s">
        <v>1080</v>
      </c>
      <c r="O1064" s="5" t="s">
        <v>1080</v>
      </c>
      <c r="P1064" s="5" t="s">
        <v>1080</v>
      </c>
      <c r="Q1064" s="5" t="s">
        <v>1080</v>
      </c>
      <c r="X1064" s="71">
        <f t="shared" si="5"/>
        <v>0</v>
      </c>
      <c r="Y1064" s="5" t="b">
        <v>0</v>
      </c>
    </row>
    <row r="1065">
      <c r="B1065" s="5" t="str">
        <f t="array" ref="B1065">XLOOKUP(A1065, CURSOS!A:A, CURSOS!B:B)</f>
        <v>#N/A</v>
      </c>
      <c r="C1065" s="75" t="str">
        <f t="array" ref="C1065">XLOOKUP(A1065, CURSOS!A:A, CURSOS!C:C)</f>
        <v>#N/A</v>
      </c>
      <c r="D1065" s="70" t="e">
        <v>#N/A</v>
      </c>
      <c r="E1065" s="48"/>
      <c r="F1065" s="48" t="str">
        <f t="array" ref="F1065">XLOOKUP($D1065,REGOLITOS!$A:$A,REGOLITOS!F:F)</f>
        <v>#N/A</v>
      </c>
      <c r="G1065" s="48" t="str">
        <f t="array" ref="G1065">XLOOKUP($D1065,REGOLITOS!$A:$A,REGOLITOS!G:G)</f>
        <v>#N/A</v>
      </c>
      <c r="H1065" s="48" t="str">
        <f t="array" ref="H1065">XLOOKUP($D1065,REGOLITOS!$A:$A,REGOLITOS!H:H)</f>
        <v>#N/A</v>
      </c>
      <c r="I1065" s="48" t="str">
        <f t="array" ref="I1065">XLOOKUP($D1065,REGOLITOS!$A:$A,REGOLITOS!I:I)</f>
        <v>#N/A</v>
      </c>
      <c r="J1065" s="48" t="str">
        <f t="array" ref="J1065">XLOOKUP($D1065,REGOLITOS!$A:$A,REGOLITOS!J:J)</f>
        <v>#N/A</v>
      </c>
      <c r="K1065" s="48" t="str">
        <f t="array" ref="K1065">XLOOKUP($D1065,REGOLITOS!$A:$A,REGOLITOS!K:K)</f>
        <v>#N/A</v>
      </c>
      <c r="L1065" s="76"/>
      <c r="M1065" s="5" t="s">
        <v>1080</v>
      </c>
      <c r="N1065" s="5" t="s">
        <v>1080</v>
      </c>
      <c r="O1065" s="5" t="s">
        <v>1080</v>
      </c>
      <c r="P1065" s="5" t="s">
        <v>1080</v>
      </c>
      <c r="Q1065" s="5" t="s">
        <v>1080</v>
      </c>
      <c r="X1065" s="71">
        <f t="shared" si="5"/>
        <v>0</v>
      </c>
      <c r="Y1065" s="5" t="b">
        <v>0</v>
      </c>
    </row>
    <row r="1066">
      <c r="B1066" s="5" t="str">
        <f t="array" ref="B1066">XLOOKUP(A1066, CURSOS!A:A, CURSOS!B:B)</f>
        <v>#N/A</v>
      </c>
      <c r="C1066" s="75" t="str">
        <f t="array" ref="C1066">XLOOKUP(A1066, CURSOS!A:A, CURSOS!C:C)</f>
        <v>#N/A</v>
      </c>
      <c r="D1066" s="70" t="e">
        <v>#N/A</v>
      </c>
      <c r="E1066" s="48"/>
      <c r="F1066" s="48" t="str">
        <f t="array" ref="F1066">XLOOKUP($D1066,REGOLITOS!$A:$A,REGOLITOS!F:F)</f>
        <v>#N/A</v>
      </c>
      <c r="G1066" s="48" t="str">
        <f t="array" ref="G1066">XLOOKUP($D1066,REGOLITOS!$A:$A,REGOLITOS!G:G)</f>
        <v>#N/A</v>
      </c>
      <c r="H1066" s="48" t="str">
        <f t="array" ref="H1066">XLOOKUP($D1066,REGOLITOS!$A:$A,REGOLITOS!H:H)</f>
        <v>#N/A</v>
      </c>
      <c r="I1066" s="48" t="str">
        <f t="array" ref="I1066">XLOOKUP($D1066,REGOLITOS!$A:$A,REGOLITOS!I:I)</f>
        <v>#N/A</v>
      </c>
      <c r="J1066" s="48" t="str">
        <f t="array" ref="J1066">XLOOKUP($D1066,REGOLITOS!$A:$A,REGOLITOS!J:J)</f>
        <v>#N/A</v>
      </c>
      <c r="K1066" s="48" t="str">
        <f t="array" ref="K1066">XLOOKUP($D1066,REGOLITOS!$A:$A,REGOLITOS!K:K)</f>
        <v>#N/A</v>
      </c>
      <c r="L1066" s="76"/>
      <c r="M1066" s="5" t="s">
        <v>1080</v>
      </c>
      <c r="N1066" s="5" t="s">
        <v>1080</v>
      </c>
      <c r="O1066" s="5" t="s">
        <v>1080</v>
      </c>
      <c r="P1066" s="5" t="s">
        <v>1080</v>
      </c>
      <c r="Q1066" s="5" t="s">
        <v>1080</v>
      </c>
      <c r="X1066" s="71">
        <f t="shared" si="5"/>
        <v>0</v>
      </c>
      <c r="Y1066" s="5" t="b">
        <v>0</v>
      </c>
    </row>
    <row r="1067">
      <c r="B1067" s="5" t="str">
        <f t="array" ref="B1067">XLOOKUP(A1067, CURSOS!A:A, CURSOS!B:B)</f>
        <v>#N/A</v>
      </c>
      <c r="C1067" s="75" t="str">
        <f t="array" ref="C1067">XLOOKUP(A1067, CURSOS!A:A, CURSOS!C:C)</f>
        <v>#N/A</v>
      </c>
      <c r="D1067" s="70" t="e">
        <v>#N/A</v>
      </c>
      <c r="E1067" s="48"/>
      <c r="F1067" s="48" t="str">
        <f t="array" ref="F1067">XLOOKUP($D1067,REGOLITOS!$A:$A,REGOLITOS!F:F)</f>
        <v>#N/A</v>
      </c>
      <c r="G1067" s="48" t="str">
        <f t="array" ref="G1067">XLOOKUP($D1067,REGOLITOS!$A:$A,REGOLITOS!G:G)</f>
        <v>#N/A</v>
      </c>
      <c r="H1067" s="48" t="str">
        <f t="array" ref="H1067">XLOOKUP($D1067,REGOLITOS!$A:$A,REGOLITOS!H:H)</f>
        <v>#N/A</v>
      </c>
      <c r="I1067" s="48" t="str">
        <f t="array" ref="I1067">XLOOKUP($D1067,REGOLITOS!$A:$A,REGOLITOS!I:I)</f>
        <v>#N/A</v>
      </c>
      <c r="J1067" s="48" t="str">
        <f t="array" ref="J1067">XLOOKUP($D1067,REGOLITOS!$A:$A,REGOLITOS!J:J)</f>
        <v>#N/A</v>
      </c>
      <c r="K1067" s="48" t="str">
        <f t="array" ref="K1067">XLOOKUP($D1067,REGOLITOS!$A:$A,REGOLITOS!K:K)</f>
        <v>#N/A</v>
      </c>
      <c r="L1067" s="76"/>
      <c r="M1067" s="5" t="s">
        <v>1080</v>
      </c>
      <c r="N1067" s="5" t="s">
        <v>1080</v>
      </c>
      <c r="O1067" s="5" t="s">
        <v>1080</v>
      </c>
      <c r="P1067" s="5" t="s">
        <v>1080</v>
      </c>
      <c r="Q1067" s="5" t="s">
        <v>1080</v>
      </c>
      <c r="X1067" s="71">
        <f t="shared" si="5"/>
        <v>0</v>
      </c>
      <c r="Y1067" s="5" t="b">
        <v>0</v>
      </c>
    </row>
    <row r="1068">
      <c r="B1068" s="5" t="str">
        <f t="array" ref="B1068">XLOOKUP(A1068, CURSOS!A:A, CURSOS!B:B)</f>
        <v>#N/A</v>
      </c>
      <c r="C1068" s="75" t="str">
        <f t="array" ref="C1068">XLOOKUP(A1068, CURSOS!A:A, CURSOS!C:C)</f>
        <v>#N/A</v>
      </c>
      <c r="D1068" s="70" t="e">
        <v>#N/A</v>
      </c>
      <c r="E1068" s="48"/>
      <c r="F1068" s="48" t="str">
        <f t="array" ref="F1068">XLOOKUP($D1068,REGOLITOS!$A:$A,REGOLITOS!F:F)</f>
        <v>#N/A</v>
      </c>
      <c r="G1068" s="48" t="str">
        <f t="array" ref="G1068">XLOOKUP($D1068,REGOLITOS!$A:$A,REGOLITOS!G:G)</f>
        <v>#N/A</v>
      </c>
      <c r="H1068" s="48" t="str">
        <f t="array" ref="H1068">XLOOKUP($D1068,REGOLITOS!$A:$A,REGOLITOS!H:H)</f>
        <v>#N/A</v>
      </c>
      <c r="I1068" s="48" t="str">
        <f t="array" ref="I1068">XLOOKUP($D1068,REGOLITOS!$A:$A,REGOLITOS!I:I)</f>
        <v>#N/A</v>
      </c>
      <c r="J1068" s="48" t="str">
        <f t="array" ref="J1068">XLOOKUP($D1068,REGOLITOS!$A:$A,REGOLITOS!J:J)</f>
        <v>#N/A</v>
      </c>
      <c r="K1068" s="48" t="str">
        <f t="array" ref="K1068">XLOOKUP($D1068,REGOLITOS!$A:$A,REGOLITOS!K:K)</f>
        <v>#N/A</v>
      </c>
      <c r="L1068" s="76"/>
      <c r="M1068" s="5" t="s">
        <v>1080</v>
      </c>
      <c r="N1068" s="5" t="s">
        <v>1080</v>
      </c>
      <c r="O1068" s="5" t="s">
        <v>1080</v>
      </c>
      <c r="P1068" s="5" t="s">
        <v>1080</v>
      </c>
      <c r="Q1068" s="5" t="s">
        <v>1080</v>
      </c>
      <c r="X1068" s="71">
        <f t="shared" si="5"/>
        <v>0</v>
      </c>
      <c r="Y1068" s="5" t="b">
        <v>0</v>
      </c>
    </row>
    <row r="1069">
      <c r="B1069" s="5" t="str">
        <f t="array" ref="B1069">XLOOKUP(A1069, CURSOS!A:A, CURSOS!B:B)</f>
        <v>#N/A</v>
      </c>
      <c r="C1069" s="75" t="str">
        <f t="array" ref="C1069">XLOOKUP(A1069, CURSOS!A:A, CURSOS!C:C)</f>
        <v>#N/A</v>
      </c>
      <c r="D1069" s="70" t="e">
        <v>#N/A</v>
      </c>
      <c r="E1069" s="48"/>
      <c r="F1069" s="48" t="str">
        <f t="array" ref="F1069">XLOOKUP($D1069,REGOLITOS!$A:$A,REGOLITOS!F:F)</f>
        <v>#N/A</v>
      </c>
      <c r="G1069" s="48" t="str">
        <f t="array" ref="G1069">XLOOKUP($D1069,REGOLITOS!$A:$A,REGOLITOS!G:G)</f>
        <v>#N/A</v>
      </c>
      <c r="H1069" s="48" t="str">
        <f t="array" ref="H1069">XLOOKUP($D1069,REGOLITOS!$A:$A,REGOLITOS!H:H)</f>
        <v>#N/A</v>
      </c>
      <c r="I1069" s="48" t="str">
        <f t="array" ref="I1069">XLOOKUP($D1069,REGOLITOS!$A:$A,REGOLITOS!I:I)</f>
        <v>#N/A</v>
      </c>
      <c r="J1069" s="48" t="str">
        <f t="array" ref="J1069">XLOOKUP($D1069,REGOLITOS!$A:$A,REGOLITOS!J:J)</f>
        <v>#N/A</v>
      </c>
      <c r="K1069" s="48" t="str">
        <f t="array" ref="K1069">XLOOKUP($D1069,REGOLITOS!$A:$A,REGOLITOS!K:K)</f>
        <v>#N/A</v>
      </c>
      <c r="L1069" s="76"/>
      <c r="M1069" s="5" t="s">
        <v>1080</v>
      </c>
      <c r="N1069" s="5" t="s">
        <v>1080</v>
      </c>
      <c r="O1069" s="5" t="s">
        <v>1080</v>
      </c>
      <c r="P1069" s="5" t="s">
        <v>1080</v>
      </c>
      <c r="Q1069" s="5" t="s">
        <v>1080</v>
      </c>
      <c r="X1069" s="71">
        <f t="shared" si="5"/>
        <v>0</v>
      </c>
      <c r="Y1069" s="5" t="b">
        <v>0</v>
      </c>
    </row>
    <row r="1070">
      <c r="B1070" s="5" t="str">
        <f t="array" ref="B1070">XLOOKUP(A1070, CURSOS!A:A, CURSOS!B:B)</f>
        <v>#N/A</v>
      </c>
      <c r="C1070" s="75" t="str">
        <f t="array" ref="C1070">XLOOKUP(A1070, CURSOS!A:A, CURSOS!C:C)</f>
        <v>#N/A</v>
      </c>
      <c r="D1070" s="70" t="e">
        <v>#N/A</v>
      </c>
      <c r="E1070" s="48"/>
      <c r="F1070" s="48" t="str">
        <f t="array" ref="F1070">XLOOKUP($D1070,REGOLITOS!$A:$A,REGOLITOS!F:F)</f>
        <v>#N/A</v>
      </c>
      <c r="G1070" s="48" t="str">
        <f t="array" ref="G1070">XLOOKUP($D1070,REGOLITOS!$A:$A,REGOLITOS!G:G)</f>
        <v>#N/A</v>
      </c>
      <c r="H1070" s="48" t="str">
        <f t="array" ref="H1070">XLOOKUP($D1070,REGOLITOS!$A:$A,REGOLITOS!H:H)</f>
        <v>#N/A</v>
      </c>
      <c r="I1070" s="48" t="str">
        <f t="array" ref="I1070">XLOOKUP($D1070,REGOLITOS!$A:$A,REGOLITOS!I:I)</f>
        <v>#N/A</v>
      </c>
      <c r="J1070" s="48" t="str">
        <f t="array" ref="J1070">XLOOKUP($D1070,REGOLITOS!$A:$A,REGOLITOS!J:J)</f>
        <v>#N/A</v>
      </c>
      <c r="K1070" s="48" t="str">
        <f t="array" ref="K1070">XLOOKUP($D1070,REGOLITOS!$A:$A,REGOLITOS!K:K)</f>
        <v>#N/A</v>
      </c>
      <c r="L1070" s="76"/>
      <c r="M1070" s="5" t="s">
        <v>1080</v>
      </c>
      <c r="N1070" s="5" t="s">
        <v>1080</v>
      </c>
      <c r="O1070" s="5" t="s">
        <v>1080</v>
      </c>
      <c r="P1070" s="5" t="s">
        <v>1080</v>
      </c>
      <c r="Q1070" s="5" t="s">
        <v>1080</v>
      </c>
      <c r="X1070" s="71">
        <f t="shared" si="5"/>
        <v>0</v>
      </c>
      <c r="Y1070" s="5" t="b">
        <v>0</v>
      </c>
    </row>
    <row r="1071">
      <c r="B1071" s="5" t="str">
        <f t="array" ref="B1071">XLOOKUP(A1071, CURSOS!A:A, CURSOS!B:B)</f>
        <v>#N/A</v>
      </c>
      <c r="C1071" s="75" t="str">
        <f t="array" ref="C1071">XLOOKUP(A1071, CURSOS!A:A, CURSOS!C:C)</f>
        <v>#N/A</v>
      </c>
      <c r="D1071" s="70" t="e">
        <v>#N/A</v>
      </c>
      <c r="E1071" s="48"/>
      <c r="F1071" s="48" t="str">
        <f t="array" ref="F1071">XLOOKUP($D1071,REGOLITOS!$A:$A,REGOLITOS!F:F)</f>
        <v>#N/A</v>
      </c>
      <c r="G1071" s="48" t="str">
        <f t="array" ref="G1071">XLOOKUP($D1071,REGOLITOS!$A:$A,REGOLITOS!G:G)</f>
        <v>#N/A</v>
      </c>
      <c r="H1071" s="48" t="str">
        <f t="array" ref="H1071">XLOOKUP($D1071,REGOLITOS!$A:$A,REGOLITOS!H:H)</f>
        <v>#N/A</v>
      </c>
      <c r="I1071" s="48" t="str">
        <f t="array" ref="I1071">XLOOKUP($D1071,REGOLITOS!$A:$A,REGOLITOS!I:I)</f>
        <v>#N/A</v>
      </c>
      <c r="J1071" s="48" t="str">
        <f t="array" ref="J1071">XLOOKUP($D1071,REGOLITOS!$A:$A,REGOLITOS!J:J)</f>
        <v>#N/A</v>
      </c>
      <c r="K1071" s="48" t="str">
        <f t="array" ref="K1071">XLOOKUP($D1071,REGOLITOS!$A:$A,REGOLITOS!K:K)</f>
        <v>#N/A</v>
      </c>
      <c r="L1071" s="76"/>
      <c r="M1071" s="5" t="s">
        <v>1080</v>
      </c>
      <c r="N1071" s="5" t="s">
        <v>1080</v>
      </c>
      <c r="O1071" s="5" t="s">
        <v>1080</v>
      </c>
      <c r="P1071" s="5" t="s">
        <v>1080</v>
      </c>
      <c r="Q1071" s="5" t="s">
        <v>1080</v>
      </c>
      <c r="X1071" s="71">
        <f t="shared" si="5"/>
        <v>0</v>
      </c>
      <c r="Y1071" s="5" t="b">
        <v>0</v>
      </c>
    </row>
    <row r="1072">
      <c r="B1072" s="5" t="str">
        <f t="array" ref="B1072">XLOOKUP(A1072, CURSOS!A:A, CURSOS!B:B)</f>
        <v>#N/A</v>
      </c>
      <c r="C1072" s="75" t="str">
        <f t="array" ref="C1072">XLOOKUP(A1072, CURSOS!A:A, CURSOS!C:C)</f>
        <v>#N/A</v>
      </c>
      <c r="D1072" s="70" t="e">
        <v>#N/A</v>
      </c>
      <c r="E1072" s="48"/>
      <c r="F1072" s="48" t="str">
        <f t="array" ref="F1072">XLOOKUP($D1072,REGOLITOS!$A:$A,REGOLITOS!F:F)</f>
        <v>#N/A</v>
      </c>
      <c r="G1072" s="48" t="str">
        <f t="array" ref="G1072">XLOOKUP($D1072,REGOLITOS!$A:$A,REGOLITOS!G:G)</f>
        <v>#N/A</v>
      </c>
      <c r="H1072" s="48" t="str">
        <f t="array" ref="H1072">XLOOKUP($D1072,REGOLITOS!$A:$A,REGOLITOS!H:H)</f>
        <v>#N/A</v>
      </c>
      <c r="I1072" s="48" t="str">
        <f t="array" ref="I1072">XLOOKUP($D1072,REGOLITOS!$A:$A,REGOLITOS!I:I)</f>
        <v>#N/A</v>
      </c>
      <c r="J1072" s="48" t="str">
        <f t="array" ref="J1072">XLOOKUP($D1072,REGOLITOS!$A:$A,REGOLITOS!J:J)</f>
        <v>#N/A</v>
      </c>
      <c r="K1072" s="48" t="str">
        <f t="array" ref="K1072">XLOOKUP($D1072,REGOLITOS!$A:$A,REGOLITOS!K:K)</f>
        <v>#N/A</v>
      </c>
      <c r="L1072" s="76"/>
      <c r="M1072" s="5" t="s">
        <v>1080</v>
      </c>
      <c r="N1072" s="5" t="s">
        <v>1080</v>
      </c>
      <c r="O1072" s="5" t="s">
        <v>1080</v>
      </c>
      <c r="P1072" s="5" t="s">
        <v>1080</v>
      </c>
      <c r="Q1072" s="5" t="s">
        <v>1080</v>
      </c>
      <c r="X1072" s="71">
        <f t="shared" si="5"/>
        <v>0</v>
      </c>
      <c r="Y1072" s="5" t="b">
        <v>0</v>
      </c>
    </row>
    <row r="1073">
      <c r="B1073" s="5" t="str">
        <f t="array" ref="B1073">XLOOKUP(A1073, CURSOS!A:A, CURSOS!B:B)</f>
        <v>#N/A</v>
      </c>
      <c r="C1073" s="75" t="str">
        <f t="array" ref="C1073">XLOOKUP(A1073, CURSOS!A:A, CURSOS!C:C)</f>
        <v>#N/A</v>
      </c>
      <c r="D1073" s="70" t="e">
        <v>#N/A</v>
      </c>
      <c r="E1073" s="48"/>
      <c r="F1073" s="48" t="str">
        <f t="array" ref="F1073">XLOOKUP($D1073,REGOLITOS!$A:$A,REGOLITOS!F:F)</f>
        <v>#N/A</v>
      </c>
      <c r="G1073" s="48" t="str">
        <f t="array" ref="G1073">XLOOKUP($D1073,REGOLITOS!$A:$A,REGOLITOS!G:G)</f>
        <v>#N/A</v>
      </c>
      <c r="H1073" s="48" t="str">
        <f t="array" ref="H1073">XLOOKUP($D1073,REGOLITOS!$A:$A,REGOLITOS!H:H)</f>
        <v>#N/A</v>
      </c>
      <c r="I1073" s="48" t="str">
        <f t="array" ref="I1073">XLOOKUP($D1073,REGOLITOS!$A:$A,REGOLITOS!I:I)</f>
        <v>#N/A</v>
      </c>
      <c r="J1073" s="48" t="str">
        <f t="array" ref="J1073">XLOOKUP($D1073,REGOLITOS!$A:$A,REGOLITOS!J:J)</f>
        <v>#N/A</v>
      </c>
      <c r="K1073" s="48" t="str">
        <f t="array" ref="K1073">XLOOKUP($D1073,REGOLITOS!$A:$A,REGOLITOS!K:K)</f>
        <v>#N/A</v>
      </c>
      <c r="L1073" s="76"/>
      <c r="M1073" s="5" t="s">
        <v>1080</v>
      </c>
      <c r="N1073" s="5" t="s">
        <v>1080</v>
      </c>
      <c r="O1073" s="5" t="s">
        <v>1080</v>
      </c>
      <c r="P1073" s="5" t="s">
        <v>1080</v>
      </c>
      <c r="Q1073" s="5" t="s">
        <v>1080</v>
      </c>
      <c r="X1073" s="71">
        <f t="shared" si="5"/>
        <v>0</v>
      </c>
      <c r="Y1073" s="5" t="b">
        <v>0</v>
      </c>
    </row>
    <row r="1074">
      <c r="B1074" s="5" t="str">
        <f t="array" ref="B1074">XLOOKUP(A1074, CURSOS!A:A, CURSOS!B:B)</f>
        <v>#N/A</v>
      </c>
      <c r="C1074" s="75" t="str">
        <f t="array" ref="C1074">XLOOKUP(A1074, CURSOS!A:A, CURSOS!C:C)</f>
        <v>#N/A</v>
      </c>
      <c r="D1074" s="70" t="e">
        <v>#N/A</v>
      </c>
      <c r="E1074" s="48"/>
      <c r="F1074" s="48" t="str">
        <f t="array" ref="F1074">XLOOKUP($D1074,REGOLITOS!$A:$A,REGOLITOS!F:F)</f>
        <v>#N/A</v>
      </c>
      <c r="G1074" s="48" t="str">
        <f t="array" ref="G1074">XLOOKUP($D1074,REGOLITOS!$A:$A,REGOLITOS!G:G)</f>
        <v>#N/A</v>
      </c>
      <c r="H1074" s="48" t="str">
        <f t="array" ref="H1074">XLOOKUP($D1074,REGOLITOS!$A:$A,REGOLITOS!H:H)</f>
        <v>#N/A</v>
      </c>
      <c r="I1074" s="48" t="str">
        <f t="array" ref="I1074">XLOOKUP($D1074,REGOLITOS!$A:$A,REGOLITOS!I:I)</f>
        <v>#N/A</v>
      </c>
      <c r="J1074" s="48" t="str">
        <f t="array" ref="J1074">XLOOKUP($D1074,REGOLITOS!$A:$A,REGOLITOS!J:J)</f>
        <v>#N/A</v>
      </c>
      <c r="K1074" s="48" t="str">
        <f t="array" ref="K1074">XLOOKUP($D1074,REGOLITOS!$A:$A,REGOLITOS!K:K)</f>
        <v>#N/A</v>
      </c>
      <c r="L1074" s="76"/>
      <c r="M1074" s="5" t="s">
        <v>1080</v>
      </c>
      <c r="N1074" s="5" t="s">
        <v>1080</v>
      </c>
      <c r="O1074" s="5" t="s">
        <v>1080</v>
      </c>
      <c r="P1074" s="5" t="s">
        <v>1080</v>
      </c>
      <c r="Q1074" s="5" t="s">
        <v>1080</v>
      </c>
      <c r="X1074" s="71">
        <f t="shared" si="5"/>
        <v>0</v>
      </c>
      <c r="Y1074" s="5" t="b">
        <v>0</v>
      </c>
    </row>
    <row r="1075">
      <c r="B1075" s="5" t="str">
        <f t="array" ref="B1075">XLOOKUP(A1075, CURSOS!A:A, CURSOS!B:B)</f>
        <v>#N/A</v>
      </c>
      <c r="C1075" s="75" t="str">
        <f t="array" ref="C1075">XLOOKUP(A1075, CURSOS!A:A, CURSOS!C:C)</f>
        <v>#N/A</v>
      </c>
      <c r="D1075" s="70" t="e">
        <v>#N/A</v>
      </c>
      <c r="E1075" s="48"/>
      <c r="F1075" s="48" t="str">
        <f t="array" ref="F1075">XLOOKUP($D1075,REGOLITOS!$A:$A,REGOLITOS!F:F)</f>
        <v>#N/A</v>
      </c>
      <c r="G1075" s="48" t="str">
        <f t="array" ref="G1075">XLOOKUP($D1075,REGOLITOS!$A:$A,REGOLITOS!G:G)</f>
        <v>#N/A</v>
      </c>
      <c r="H1075" s="48" t="str">
        <f t="array" ref="H1075">XLOOKUP($D1075,REGOLITOS!$A:$A,REGOLITOS!H:H)</f>
        <v>#N/A</v>
      </c>
      <c r="I1075" s="48" t="str">
        <f t="array" ref="I1075">XLOOKUP($D1075,REGOLITOS!$A:$A,REGOLITOS!I:I)</f>
        <v>#N/A</v>
      </c>
      <c r="J1075" s="48" t="str">
        <f t="array" ref="J1075">XLOOKUP($D1075,REGOLITOS!$A:$A,REGOLITOS!J:J)</f>
        <v>#N/A</v>
      </c>
      <c r="K1075" s="48" t="str">
        <f t="array" ref="K1075">XLOOKUP($D1075,REGOLITOS!$A:$A,REGOLITOS!K:K)</f>
        <v>#N/A</v>
      </c>
      <c r="L1075" s="76"/>
      <c r="M1075" s="5" t="s">
        <v>1080</v>
      </c>
      <c r="N1075" s="5" t="s">
        <v>1080</v>
      </c>
      <c r="O1075" s="5" t="s">
        <v>1080</v>
      </c>
      <c r="P1075" s="5" t="s">
        <v>1080</v>
      </c>
      <c r="Q1075" s="5" t="s">
        <v>1080</v>
      </c>
      <c r="X1075" s="71">
        <f t="shared" si="5"/>
        <v>0</v>
      </c>
      <c r="Y1075" s="5" t="b">
        <v>0</v>
      </c>
    </row>
    <row r="1076">
      <c r="B1076" s="5" t="str">
        <f t="array" ref="B1076">XLOOKUP(A1076, CURSOS!A:A, CURSOS!B:B)</f>
        <v>#N/A</v>
      </c>
      <c r="C1076" s="75" t="str">
        <f t="array" ref="C1076">XLOOKUP(A1076, CURSOS!A:A, CURSOS!C:C)</f>
        <v>#N/A</v>
      </c>
      <c r="D1076" s="70" t="e">
        <v>#N/A</v>
      </c>
      <c r="E1076" s="48"/>
      <c r="F1076" s="48" t="str">
        <f t="array" ref="F1076">XLOOKUP($D1076,REGOLITOS!$A:$A,REGOLITOS!F:F)</f>
        <v>#N/A</v>
      </c>
      <c r="G1076" s="48" t="str">
        <f t="array" ref="G1076">XLOOKUP($D1076,REGOLITOS!$A:$A,REGOLITOS!G:G)</f>
        <v>#N/A</v>
      </c>
      <c r="H1076" s="48" t="str">
        <f t="array" ref="H1076">XLOOKUP($D1076,REGOLITOS!$A:$A,REGOLITOS!H:H)</f>
        <v>#N/A</v>
      </c>
      <c r="I1076" s="48" t="str">
        <f t="array" ref="I1076">XLOOKUP($D1076,REGOLITOS!$A:$A,REGOLITOS!I:I)</f>
        <v>#N/A</v>
      </c>
      <c r="J1076" s="48" t="str">
        <f t="array" ref="J1076">XLOOKUP($D1076,REGOLITOS!$A:$A,REGOLITOS!J:J)</f>
        <v>#N/A</v>
      </c>
      <c r="K1076" s="48" t="str">
        <f t="array" ref="K1076">XLOOKUP($D1076,REGOLITOS!$A:$A,REGOLITOS!K:K)</f>
        <v>#N/A</v>
      </c>
      <c r="L1076" s="76"/>
      <c r="M1076" s="5" t="s">
        <v>1080</v>
      </c>
      <c r="N1076" s="5" t="s">
        <v>1080</v>
      </c>
      <c r="O1076" s="5" t="s">
        <v>1080</v>
      </c>
      <c r="P1076" s="5" t="s">
        <v>1080</v>
      </c>
      <c r="Q1076" s="5" t="s">
        <v>1080</v>
      </c>
      <c r="X1076" s="71">
        <f t="shared" si="5"/>
        <v>0</v>
      </c>
      <c r="Y1076" s="5" t="b">
        <v>0</v>
      </c>
    </row>
    <row r="1077">
      <c r="B1077" s="5" t="str">
        <f t="array" ref="B1077">XLOOKUP(A1077, CURSOS!A:A, CURSOS!B:B)</f>
        <v>#N/A</v>
      </c>
      <c r="C1077" s="75" t="str">
        <f t="array" ref="C1077">XLOOKUP(A1077, CURSOS!A:A, CURSOS!C:C)</f>
        <v>#N/A</v>
      </c>
      <c r="D1077" s="70" t="e">
        <v>#N/A</v>
      </c>
      <c r="E1077" s="48"/>
      <c r="F1077" s="48" t="str">
        <f t="array" ref="F1077">XLOOKUP($D1077,REGOLITOS!$A:$A,REGOLITOS!F:F)</f>
        <v>#N/A</v>
      </c>
      <c r="G1077" s="48" t="str">
        <f t="array" ref="G1077">XLOOKUP($D1077,REGOLITOS!$A:$A,REGOLITOS!G:G)</f>
        <v>#N/A</v>
      </c>
      <c r="H1077" s="48" t="str">
        <f t="array" ref="H1077">XLOOKUP($D1077,REGOLITOS!$A:$A,REGOLITOS!H:H)</f>
        <v>#N/A</v>
      </c>
      <c r="I1077" s="48" t="str">
        <f t="array" ref="I1077">XLOOKUP($D1077,REGOLITOS!$A:$A,REGOLITOS!I:I)</f>
        <v>#N/A</v>
      </c>
      <c r="J1077" s="48" t="str">
        <f t="array" ref="J1077">XLOOKUP($D1077,REGOLITOS!$A:$A,REGOLITOS!J:J)</f>
        <v>#N/A</v>
      </c>
      <c r="K1077" s="48" t="str">
        <f t="array" ref="K1077">XLOOKUP($D1077,REGOLITOS!$A:$A,REGOLITOS!K:K)</f>
        <v>#N/A</v>
      </c>
      <c r="L1077" s="76"/>
      <c r="M1077" s="5" t="s">
        <v>1080</v>
      </c>
      <c r="N1077" s="5" t="s">
        <v>1080</v>
      </c>
      <c r="O1077" s="5" t="s">
        <v>1080</v>
      </c>
      <c r="P1077" s="5" t="s">
        <v>1080</v>
      </c>
      <c r="Q1077" s="5" t="s">
        <v>1080</v>
      </c>
      <c r="X1077" s="71">
        <f t="shared" si="5"/>
        <v>0</v>
      </c>
      <c r="Y1077" s="5" t="b">
        <v>0</v>
      </c>
    </row>
    <row r="1078">
      <c r="B1078" s="5" t="str">
        <f t="array" ref="B1078">XLOOKUP(A1078, CURSOS!A:A, CURSOS!B:B)</f>
        <v>#N/A</v>
      </c>
      <c r="C1078" s="75" t="str">
        <f t="array" ref="C1078">XLOOKUP(A1078, CURSOS!A:A, CURSOS!C:C)</f>
        <v>#N/A</v>
      </c>
      <c r="D1078" s="70" t="e">
        <v>#N/A</v>
      </c>
      <c r="E1078" s="48"/>
      <c r="F1078" s="48" t="str">
        <f t="array" ref="F1078">XLOOKUP($D1078,REGOLITOS!$A:$A,REGOLITOS!F:F)</f>
        <v>#N/A</v>
      </c>
      <c r="G1078" s="48" t="str">
        <f t="array" ref="G1078">XLOOKUP($D1078,REGOLITOS!$A:$A,REGOLITOS!G:G)</f>
        <v>#N/A</v>
      </c>
      <c r="H1078" s="48" t="str">
        <f t="array" ref="H1078">XLOOKUP($D1078,REGOLITOS!$A:$A,REGOLITOS!H:H)</f>
        <v>#N/A</v>
      </c>
      <c r="I1078" s="48" t="str">
        <f t="array" ref="I1078">XLOOKUP($D1078,REGOLITOS!$A:$A,REGOLITOS!I:I)</f>
        <v>#N/A</v>
      </c>
      <c r="J1078" s="48" t="str">
        <f t="array" ref="J1078">XLOOKUP($D1078,REGOLITOS!$A:$A,REGOLITOS!J:J)</f>
        <v>#N/A</v>
      </c>
      <c r="K1078" s="48" t="str">
        <f t="array" ref="K1078">XLOOKUP($D1078,REGOLITOS!$A:$A,REGOLITOS!K:K)</f>
        <v>#N/A</v>
      </c>
      <c r="L1078" s="76"/>
      <c r="M1078" s="5" t="s">
        <v>1080</v>
      </c>
      <c r="N1078" s="5" t="s">
        <v>1080</v>
      </c>
      <c r="O1078" s="5" t="s">
        <v>1080</v>
      </c>
      <c r="P1078" s="5" t="s">
        <v>1080</v>
      </c>
      <c r="Q1078" s="5" t="s">
        <v>1080</v>
      </c>
      <c r="X1078" s="71">
        <f t="shared" si="5"/>
        <v>0</v>
      </c>
      <c r="Y1078" s="5" t="b">
        <v>0</v>
      </c>
    </row>
    <row r="1079">
      <c r="B1079" s="5" t="str">
        <f t="array" ref="B1079">XLOOKUP(A1079, CURSOS!A:A, CURSOS!B:B)</f>
        <v>#N/A</v>
      </c>
      <c r="C1079" s="75" t="str">
        <f t="array" ref="C1079">XLOOKUP(A1079, CURSOS!A:A, CURSOS!C:C)</f>
        <v>#N/A</v>
      </c>
      <c r="D1079" s="70" t="e">
        <v>#N/A</v>
      </c>
      <c r="E1079" s="48"/>
      <c r="F1079" s="48" t="str">
        <f t="array" ref="F1079">XLOOKUP($D1079,REGOLITOS!$A:$A,REGOLITOS!F:F)</f>
        <v>#N/A</v>
      </c>
      <c r="G1079" s="48" t="str">
        <f t="array" ref="G1079">XLOOKUP($D1079,REGOLITOS!$A:$A,REGOLITOS!G:G)</f>
        <v>#N/A</v>
      </c>
      <c r="H1079" s="48" t="str">
        <f t="array" ref="H1079">XLOOKUP($D1079,REGOLITOS!$A:$A,REGOLITOS!H:H)</f>
        <v>#N/A</v>
      </c>
      <c r="I1079" s="48" t="str">
        <f t="array" ref="I1079">XLOOKUP($D1079,REGOLITOS!$A:$A,REGOLITOS!I:I)</f>
        <v>#N/A</v>
      </c>
      <c r="J1079" s="48" t="str">
        <f t="array" ref="J1079">XLOOKUP($D1079,REGOLITOS!$A:$A,REGOLITOS!J:J)</f>
        <v>#N/A</v>
      </c>
      <c r="K1079" s="48" t="str">
        <f t="array" ref="K1079">XLOOKUP($D1079,REGOLITOS!$A:$A,REGOLITOS!K:K)</f>
        <v>#N/A</v>
      </c>
      <c r="L1079" s="76"/>
      <c r="M1079" s="5" t="s">
        <v>1080</v>
      </c>
      <c r="N1079" s="5" t="s">
        <v>1080</v>
      </c>
      <c r="O1079" s="5" t="s">
        <v>1080</v>
      </c>
      <c r="P1079" s="5" t="s">
        <v>1080</v>
      </c>
      <c r="Q1079" s="5" t="s">
        <v>1080</v>
      </c>
      <c r="X1079" s="71">
        <f t="shared" si="5"/>
        <v>0</v>
      </c>
      <c r="Y1079" s="5" t="b">
        <v>0</v>
      </c>
    </row>
    <row r="1080">
      <c r="B1080" s="5" t="str">
        <f t="array" ref="B1080">XLOOKUP(A1080, CURSOS!A:A, CURSOS!B:B)</f>
        <v>#N/A</v>
      </c>
      <c r="C1080" s="75" t="str">
        <f t="array" ref="C1080">XLOOKUP(A1080, CURSOS!A:A, CURSOS!C:C)</f>
        <v>#N/A</v>
      </c>
      <c r="D1080" s="70" t="e">
        <v>#N/A</v>
      </c>
      <c r="E1080" s="48"/>
      <c r="F1080" s="48" t="str">
        <f t="array" ref="F1080">XLOOKUP($D1080,REGOLITOS!$A:$A,REGOLITOS!F:F)</f>
        <v>#N/A</v>
      </c>
      <c r="G1080" s="48" t="str">
        <f t="array" ref="G1080">XLOOKUP($D1080,REGOLITOS!$A:$A,REGOLITOS!G:G)</f>
        <v>#N/A</v>
      </c>
      <c r="H1080" s="48" t="str">
        <f t="array" ref="H1080">XLOOKUP($D1080,REGOLITOS!$A:$A,REGOLITOS!H:H)</f>
        <v>#N/A</v>
      </c>
      <c r="I1080" s="48" t="str">
        <f t="array" ref="I1080">XLOOKUP($D1080,REGOLITOS!$A:$A,REGOLITOS!I:I)</f>
        <v>#N/A</v>
      </c>
      <c r="J1080" s="48" t="str">
        <f t="array" ref="J1080">XLOOKUP($D1080,REGOLITOS!$A:$A,REGOLITOS!J:J)</f>
        <v>#N/A</v>
      </c>
      <c r="K1080" s="48" t="str">
        <f t="array" ref="K1080">XLOOKUP($D1080,REGOLITOS!$A:$A,REGOLITOS!K:K)</f>
        <v>#N/A</v>
      </c>
      <c r="L1080" s="76"/>
      <c r="M1080" s="5" t="s">
        <v>1080</v>
      </c>
      <c r="N1080" s="5" t="s">
        <v>1080</v>
      </c>
      <c r="O1080" s="5" t="s">
        <v>1080</v>
      </c>
      <c r="P1080" s="5" t="s">
        <v>1080</v>
      </c>
      <c r="Q1080" s="5" t="s">
        <v>1080</v>
      </c>
      <c r="X1080" s="71">
        <f t="shared" si="5"/>
        <v>0</v>
      </c>
      <c r="Y1080" s="5" t="b">
        <v>0</v>
      </c>
    </row>
    <row r="1081">
      <c r="B1081" s="5" t="str">
        <f t="array" ref="B1081">XLOOKUP(A1081, CURSOS!A:A, CURSOS!B:B)</f>
        <v>#N/A</v>
      </c>
      <c r="C1081" s="75" t="str">
        <f t="array" ref="C1081">XLOOKUP(A1081, CURSOS!A:A, CURSOS!C:C)</f>
        <v>#N/A</v>
      </c>
      <c r="D1081" s="70" t="e">
        <v>#N/A</v>
      </c>
      <c r="E1081" s="48"/>
      <c r="F1081" s="48" t="str">
        <f t="array" ref="F1081">XLOOKUP($D1081,REGOLITOS!$A:$A,REGOLITOS!F:F)</f>
        <v>#N/A</v>
      </c>
      <c r="G1081" s="48" t="str">
        <f t="array" ref="G1081">XLOOKUP($D1081,REGOLITOS!$A:$A,REGOLITOS!G:G)</f>
        <v>#N/A</v>
      </c>
      <c r="H1081" s="48" t="str">
        <f t="array" ref="H1081">XLOOKUP($D1081,REGOLITOS!$A:$A,REGOLITOS!H:H)</f>
        <v>#N/A</v>
      </c>
      <c r="I1081" s="48" t="str">
        <f t="array" ref="I1081">XLOOKUP($D1081,REGOLITOS!$A:$A,REGOLITOS!I:I)</f>
        <v>#N/A</v>
      </c>
      <c r="J1081" s="48" t="str">
        <f t="array" ref="J1081">XLOOKUP($D1081,REGOLITOS!$A:$A,REGOLITOS!J:J)</f>
        <v>#N/A</v>
      </c>
      <c r="K1081" s="48" t="str">
        <f t="array" ref="K1081">XLOOKUP($D1081,REGOLITOS!$A:$A,REGOLITOS!K:K)</f>
        <v>#N/A</v>
      </c>
      <c r="L1081" s="76"/>
      <c r="M1081" s="5" t="s">
        <v>1080</v>
      </c>
      <c r="N1081" s="5" t="s">
        <v>1080</v>
      </c>
      <c r="O1081" s="5" t="s">
        <v>1080</v>
      </c>
      <c r="P1081" s="5" t="s">
        <v>1080</v>
      </c>
      <c r="Q1081" s="5" t="s">
        <v>1080</v>
      </c>
      <c r="X1081" s="71">
        <f t="shared" si="5"/>
        <v>0</v>
      </c>
      <c r="Y1081" s="5" t="b">
        <v>0</v>
      </c>
    </row>
    <row r="1082">
      <c r="B1082" s="5" t="str">
        <f t="array" ref="B1082">XLOOKUP(A1082, CURSOS!A:A, CURSOS!B:B)</f>
        <v>#N/A</v>
      </c>
      <c r="C1082" s="75" t="str">
        <f t="array" ref="C1082">XLOOKUP(A1082, CURSOS!A:A, CURSOS!C:C)</f>
        <v>#N/A</v>
      </c>
      <c r="D1082" s="70" t="e">
        <v>#N/A</v>
      </c>
      <c r="E1082" s="48"/>
      <c r="F1082" s="48" t="str">
        <f t="array" ref="F1082">XLOOKUP($D1082,REGOLITOS!$A:$A,REGOLITOS!F:F)</f>
        <v>#N/A</v>
      </c>
      <c r="G1082" s="48" t="str">
        <f t="array" ref="G1082">XLOOKUP($D1082,REGOLITOS!$A:$A,REGOLITOS!G:G)</f>
        <v>#N/A</v>
      </c>
      <c r="H1082" s="48" t="str">
        <f t="array" ref="H1082">XLOOKUP($D1082,REGOLITOS!$A:$A,REGOLITOS!H:H)</f>
        <v>#N/A</v>
      </c>
      <c r="I1082" s="48" t="str">
        <f t="array" ref="I1082">XLOOKUP($D1082,REGOLITOS!$A:$A,REGOLITOS!I:I)</f>
        <v>#N/A</v>
      </c>
      <c r="J1082" s="48" t="str">
        <f t="array" ref="J1082">XLOOKUP($D1082,REGOLITOS!$A:$A,REGOLITOS!J:J)</f>
        <v>#N/A</v>
      </c>
      <c r="K1082" s="48" t="str">
        <f t="array" ref="K1082">XLOOKUP($D1082,REGOLITOS!$A:$A,REGOLITOS!K:K)</f>
        <v>#N/A</v>
      </c>
      <c r="L1082" s="76"/>
      <c r="M1082" s="5" t="s">
        <v>1080</v>
      </c>
      <c r="N1082" s="5" t="s">
        <v>1080</v>
      </c>
      <c r="O1082" s="5" t="s">
        <v>1080</v>
      </c>
      <c r="P1082" s="5" t="s">
        <v>1080</v>
      </c>
      <c r="Q1082" s="5" t="s">
        <v>1080</v>
      </c>
      <c r="X1082" s="71">
        <f t="shared" si="5"/>
        <v>0</v>
      </c>
      <c r="Y1082" s="5" t="b">
        <v>0</v>
      </c>
    </row>
    <row r="1083">
      <c r="B1083" s="5" t="str">
        <f t="array" ref="B1083">XLOOKUP(A1083, CURSOS!A:A, CURSOS!B:B)</f>
        <v>#N/A</v>
      </c>
      <c r="C1083" s="75" t="str">
        <f t="array" ref="C1083">XLOOKUP(A1083, CURSOS!A:A, CURSOS!C:C)</f>
        <v>#N/A</v>
      </c>
      <c r="D1083" s="70" t="e">
        <v>#N/A</v>
      </c>
      <c r="E1083" s="48"/>
      <c r="F1083" s="48" t="str">
        <f t="array" ref="F1083">XLOOKUP($D1083,REGOLITOS!$A:$A,REGOLITOS!F:F)</f>
        <v>#N/A</v>
      </c>
      <c r="G1083" s="48" t="str">
        <f t="array" ref="G1083">XLOOKUP($D1083,REGOLITOS!$A:$A,REGOLITOS!G:G)</f>
        <v>#N/A</v>
      </c>
      <c r="H1083" s="48" t="str">
        <f t="array" ref="H1083">XLOOKUP($D1083,REGOLITOS!$A:$A,REGOLITOS!H:H)</f>
        <v>#N/A</v>
      </c>
      <c r="I1083" s="48" t="str">
        <f t="array" ref="I1083">XLOOKUP($D1083,REGOLITOS!$A:$A,REGOLITOS!I:I)</f>
        <v>#N/A</v>
      </c>
      <c r="J1083" s="48" t="str">
        <f t="array" ref="J1083">XLOOKUP($D1083,REGOLITOS!$A:$A,REGOLITOS!J:J)</f>
        <v>#N/A</v>
      </c>
      <c r="K1083" s="48" t="str">
        <f t="array" ref="K1083">XLOOKUP($D1083,REGOLITOS!$A:$A,REGOLITOS!K:K)</f>
        <v>#N/A</v>
      </c>
      <c r="L1083" s="76"/>
      <c r="M1083" s="5" t="s">
        <v>1080</v>
      </c>
      <c r="N1083" s="5" t="s">
        <v>1080</v>
      </c>
      <c r="O1083" s="5" t="s">
        <v>1080</v>
      </c>
      <c r="P1083" s="5" t="s">
        <v>1080</v>
      </c>
      <c r="Q1083" s="5" t="s">
        <v>1080</v>
      </c>
      <c r="X1083" s="71">
        <f t="shared" si="5"/>
        <v>0</v>
      </c>
      <c r="Y1083" s="5" t="b">
        <v>0</v>
      </c>
    </row>
    <row r="1084">
      <c r="B1084" s="5" t="str">
        <f t="array" ref="B1084">XLOOKUP(A1084, CURSOS!A:A, CURSOS!B:B)</f>
        <v>#N/A</v>
      </c>
      <c r="C1084" s="75" t="str">
        <f t="array" ref="C1084">XLOOKUP(A1084, CURSOS!A:A, CURSOS!C:C)</f>
        <v>#N/A</v>
      </c>
      <c r="D1084" s="70" t="e">
        <v>#N/A</v>
      </c>
      <c r="E1084" s="48"/>
      <c r="F1084" s="48" t="str">
        <f t="array" ref="F1084">XLOOKUP($D1084,REGOLITOS!$A:$A,REGOLITOS!F:F)</f>
        <v>#N/A</v>
      </c>
      <c r="G1084" s="48" t="str">
        <f t="array" ref="G1084">XLOOKUP($D1084,REGOLITOS!$A:$A,REGOLITOS!G:G)</f>
        <v>#N/A</v>
      </c>
      <c r="H1084" s="48" t="str">
        <f t="array" ref="H1084">XLOOKUP($D1084,REGOLITOS!$A:$A,REGOLITOS!H:H)</f>
        <v>#N/A</v>
      </c>
      <c r="I1084" s="48" t="str">
        <f t="array" ref="I1084">XLOOKUP($D1084,REGOLITOS!$A:$A,REGOLITOS!I:I)</f>
        <v>#N/A</v>
      </c>
      <c r="J1084" s="48" t="str">
        <f t="array" ref="J1084">XLOOKUP($D1084,REGOLITOS!$A:$A,REGOLITOS!J:J)</f>
        <v>#N/A</v>
      </c>
      <c r="K1084" s="48" t="str">
        <f t="array" ref="K1084">XLOOKUP($D1084,REGOLITOS!$A:$A,REGOLITOS!K:K)</f>
        <v>#N/A</v>
      </c>
      <c r="L1084" s="76"/>
      <c r="M1084" s="5" t="s">
        <v>1080</v>
      </c>
      <c r="N1084" s="5" t="s">
        <v>1080</v>
      </c>
      <c r="O1084" s="5" t="s">
        <v>1080</v>
      </c>
      <c r="P1084" s="5" t="s">
        <v>1080</v>
      </c>
      <c r="Q1084" s="5" t="s">
        <v>1080</v>
      </c>
      <c r="X1084" s="71">
        <f t="shared" si="5"/>
        <v>0</v>
      </c>
      <c r="Y1084" s="5" t="b">
        <v>0</v>
      </c>
    </row>
    <row r="1085">
      <c r="B1085" s="5" t="str">
        <f t="array" ref="B1085">XLOOKUP(A1085, CURSOS!A:A, CURSOS!B:B)</f>
        <v>#N/A</v>
      </c>
      <c r="C1085" s="75" t="str">
        <f t="array" ref="C1085">XLOOKUP(A1085, CURSOS!A:A, CURSOS!C:C)</f>
        <v>#N/A</v>
      </c>
      <c r="D1085" s="70" t="e">
        <v>#N/A</v>
      </c>
      <c r="E1085" s="48"/>
      <c r="F1085" s="48" t="str">
        <f t="array" ref="F1085">XLOOKUP($D1085,REGOLITOS!$A:$A,REGOLITOS!F:F)</f>
        <v>#N/A</v>
      </c>
      <c r="G1085" s="48" t="str">
        <f t="array" ref="G1085">XLOOKUP($D1085,REGOLITOS!$A:$A,REGOLITOS!G:G)</f>
        <v>#N/A</v>
      </c>
      <c r="H1085" s="48" t="str">
        <f t="array" ref="H1085">XLOOKUP($D1085,REGOLITOS!$A:$A,REGOLITOS!H:H)</f>
        <v>#N/A</v>
      </c>
      <c r="I1085" s="48" t="str">
        <f t="array" ref="I1085">XLOOKUP($D1085,REGOLITOS!$A:$A,REGOLITOS!I:I)</f>
        <v>#N/A</v>
      </c>
      <c r="J1085" s="48" t="str">
        <f t="array" ref="J1085">XLOOKUP($D1085,REGOLITOS!$A:$A,REGOLITOS!J:J)</f>
        <v>#N/A</v>
      </c>
      <c r="K1085" s="48" t="str">
        <f t="array" ref="K1085">XLOOKUP($D1085,REGOLITOS!$A:$A,REGOLITOS!K:K)</f>
        <v>#N/A</v>
      </c>
      <c r="L1085" s="76"/>
      <c r="M1085" s="5" t="s">
        <v>1080</v>
      </c>
      <c r="N1085" s="5" t="s">
        <v>1080</v>
      </c>
      <c r="O1085" s="5" t="s">
        <v>1080</v>
      </c>
      <c r="P1085" s="5" t="s">
        <v>1080</v>
      </c>
      <c r="Q1085" s="5" t="s">
        <v>1080</v>
      </c>
      <c r="X1085" s="71">
        <f t="shared" si="5"/>
        <v>0</v>
      </c>
      <c r="Y1085" s="5" t="b">
        <v>0</v>
      </c>
    </row>
    <row r="1086">
      <c r="B1086" s="5" t="str">
        <f t="array" ref="B1086">XLOOKUP(A1086, CURSOS!A:A, CURSOS!B:B)</f>
        <v>#N/A</v>
      </c>
      <c r="C1086" s="75" t="str">
        <f t="array" ref="C1086">XLOOKUP(A1086, CURSOS!A:A, CURSOS!C:C)</f>
        <v>#N/A</v>
      </c>
      <c r="D1086" s="70" t="e">
        <v>#N/A</v>
      </c>
      <c r="E1086" s="48"/>
      <c r="F1086" s="48" t="str">
        <f t="array" ref="F1086">XLOOKUP($D1086,REGOLITOS!$A:$A,REGOLITOS!F:F)</f>
        <v>#N/A</v>
      </c>
      <c r="G1086" s="48" t="str">
        <f t="array" ref="G1086">XLOOKUP($D1086,REGOLITOS!$A:$A,REGOLITOS!G:G)</f>
        <v>#N/A</v>
      </c>
      <c r="H1086" s="48" t="str">
        <f t="array" ref="H1086">XLOOKUP($D1086,REGOLITOS!$A:$A,REGOLITOS!H:H)</f>
        <v>#N/A</v>
      </c>
      <c r="I1086" s="48" t="str">
        <f t="array" ref="I1086">XLOOKUP($D1086,REGOLITOS!$A:$A,REGOLITOS!I:I)</f>
        <v>#N/A</v>
      </c>
      <c r="J1086" s="48" t="str">
        <f t="array" ref="J1086">XLOOKUP($D1086,REGOLITOS!$A:$A,REGOLITOS!J:J)</f>
        <v>#N/A</v>
      </c>
      <c r="K1086" s="48" t="str">
        <f t="array" ref="K1086">XLOOKUP($D1086,REGOLITOS!$A:$A,REGOLITOS!K:K)</f>
        <v>#N/A</v>
      </c>
      <c r="L1086" s="76"/>
      <c r="M1086" s="5" t="s">
        <v>1080</v>
      </c>
      <c r="N1086" s="5" t="s">
        <v>1080</v>
      </c>
      <c r="O1086" s="5" t="s">
        <v>1080</v>
      </c>
      <c r="P1086" s="5" t="s">
        <v>1080</v>
      </c>
      <c r="Q1086" s="5" t="s">
        <v>1080</v>
      </c>
      <c r="X1086" s="71">
        <f t="shared" si="5"/>
        <v>0</v>
      </c>
      <c r="Y1086" s="5" t="b">
        <v>0</v>
      </c>
    </row>
  </sheetData>
  <autoFilter ref="$A$1:$AI$1086">
    <sortState ref="A1:AI1086">
      <sortCondition ref="B1:B1086"/>
      <sortCondition descending="1" ref="Y1:Y1086"/>
    </sortState>
  </autoFilter>
  <conditionalFormatting sqref="L1:L1086">
    <cfRule type="containsBlanks" dxfId="2" priority="1">
      <formula>LEN(TRIM(L1))=0</formula>
    </cfRule>
  </conditionalFormatting>
  <conditionalFormatting sqref="L2:L1086">
    <cfRule type="notContainsBlanks" dxfId="3" priority="2">
      <formula>LEN(TRIM(L2))&gt;0</formula>
    </cfRule>
  </conditionalFormatting>
  <conditionalFormatting sqref="Y1:Y1086">
    <cfRule type="containsText" dxfId="4" priority="3" operator="containsText" text="TRUE">
      <formula>NOT(ISERROR(SEARCH(("TRUE"),(Y1))))</formula>
    </cfRule>
  </conditionalFormatting>
  <conditionalFormatting sqref="Y1:Y1086">
    <cfRule type="containsText" dxfId="2" priority="4" operator="containsText" text="FALSE">
      <formula>NOT(ISERROR(SEARCH(("FALSE"),(Y1))))</formula>
    </cfRule>
  </conditionalFormatting>
  <dataValidations>
    <dataValidation type="list" allowBlank="1" showErrorMessage="1" sqref="K2:K326 K328:K1086">
      <formula1>"Infancia,Adolescente,Jóven adulto,Adulto,Adulto Mayor,Desconocido"</formula1>
    </dataValidation>
    <dataValidation type="list" allowBlank="1" showErrorMessage="1" sqref="M2:P8 M9:Q102 M103:O116 M117:Q129 M130:T151 M152:Q194 M195:T202 M203:V286 M287:R302 M303:U311 M312:Q326 M328:Q364 M365:T371 M372:W378 M379:Q1086">
      <formula1>"Asistió,Faltó,Asíncrono"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</cols>
  <sheetData>
    <row r="1">
      <c r="A1" s="1" t="s">
        <v>3</v>
      </c>
      <c r="B1" s="1" t="s">
        <v>1087</v>
      </c>
      <c r="C1" s="1" t="s">
        <v>10</v>
      </c>
    </row>
    <row r="2">
      <c r="A2" s="5" t="s">
        <v>14</v>
      </c>
      <c r="B2" s="7">
        <f>IFERROR(AVERAGEIF(CURSOS!$E:$E, $A2, CURSOS!J:J), 0)</f>
        <v>64.7091675</v>
      </c>
      <c r="C2" s="7">
        <f>IFERROR(AVERAGEIF(CURSOS!$E:$E, $A2, CURSOS!K:K), 0)</f>
        <v>65.9147801</v>
      </c>
    </row>
    <row r="3">
      <c r="A3" s="5" t="s">
        <v>46</v>
      </c>
      <c r="B3" s="7">
        <f>IFERROR(AVERAGEIF(CURSOS!$E:$E, $A3, CURSOS!J:J), 0)</f>
        <v>63.63185426</v>
      </c>
      <c r="C3" s="7">
        <f>IFERROR(AVERAGEIF(CURSOS!$E:$E, $A3, CURSOS!K:K), 0)</f>
        <v>57.38636364</v>
      </c>
    </row>
    <row r="4">
      <c r="A4" s="5" t="s">
        <v>78</v>
      </c>
      <c r="B4" s="7">
        <f>IFERROR(AVERAGEIF(CURSOS!$E:$E, $A4, CURSOS!J:J), 0)</f>
        <v>0</v>
      </c>
      <c r="C4" s="7">
        <f>IFERROR(AVERAGEIF(CURSOS!$E:$E, $A4, CURSOS!K:K), 0)</f>
        <v>0</v>
      </c>
    </row>
  </sheetData>
  <dataValidations>
    <dataValidation type="list" allowBlank="1" showErrorMessage="1" sqref="A2:A4">
      <formula1>"ASTRO,FIS,MATE"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